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if.nayab\Documents\IES\automation project\Pricing sheets\"/>
    </mc:Choice>
  </mc:AlternateContent>
  <xr:revisionPtr revIDLastSave="0" documentId="13_ncr:1_{2B66724C-D5F8-4E04-B413-40E64FD1E0FA}" xr6:coauthVersionLast="36" xr6:coauthVersionMax="47" xr10:uidLastSave="{00000000-0000-0000-0000-000000000000}"/>
  <bookViews>
    <workbookView xWindow="20370" yWindow="-120" windowWidth="29040" windowHeight="15840" tabRatio="871" activeTab="1" xr2:uid="{00000000-000D-0000-FFFF-FFFF00000000}"/>
  </bookViews>
  <sheets>
    <sheet name="Demolition" sheetId="23" r:id="rId1"/>
    <sheet name="High Voltage Switchgear " sheetId="24" r:id="rId2"/>
    <sheet name="Distribution Switchgear" sheetId="25" r:id="rId3"/>
    <sheet name="Motor Control Center" sheetId="26" r:id="rId4"/>
    <sheet name="H.Voltage Motor Control Center" sheetId="27" r:id="rId5"/>
    <sheet name="Metering &amp; Splitters" sheetId="28" r:id="rId6"/>
    <sheet name="Voltage Regulator &amp; UPS" sheetId="29" r:id="rId7"/>
    <sheet name="Grounding" sheetId="30" r:id="rId8"/>
    <sheet name="Breakers" sheetId="13" r:id="rId9"/>
    <sheet name="Receptacles" sheetId="1" r:id="rId10"/>
    <sheet name="Receptacles (FOR NM)" sheetId="22" r:id="rId11"/>
    <sheet name="Switches" sheetId="2" r:id="rId12"/>
    <sheet name="Disconnect Switches" sheetId="17" r:id="rId13"/>
    <sheet name="Junction Box" sheetId="21" r:id="rId14"/>
    <sheet name="Voice &amp; Data" sheetId="8" r:id="rId15"/>
    <sheet name="Transformers" sheetId="18" r:id="rId16"/>
    <sheet name="Generators" sheetId="19" r:id="rId17"/>
    <sheet name="Transfer Switches" sheetId="20" r:id="rId18"/>
  </sheets>
  <definedNames>
    <definedName name="_xlnm.Print_Area" localSheetId="8">Breakers!$A$1:$U$372</definedName>
    <definedName name="_xlnm.Print_Area" localSheetId="7">Grounding!$A$1:$R$18</definedName>
    <definedName name="_xlnm.Print_Area" localSheetId="4">'H.Voltage Motor Control Center'!$A$1:$O$198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24" l="1"/>
  <c r="E14" i="24"/>
  <c r="I14" i="24" s="1"/>
  <c r="M14" i="24" l="1"/>
  <c r="N14" i="24" s="1"/>
  <c r="O14" i="24" s="1"/>
  <c r="C26" i="8"/>
  <c r="C25" i="8"/>
  <c r="C20" i="8" l="1"/>
  <c r="C21" i="8" s="1"/>
  <c r="C151" i="2" l="1"/>
  <c r="C155" i="2" s="1"/>
  <c r="C153" i="2" l="1"/>
  <c r="C152" i="2"/>
  <c r="C154" i="2"/>
  <c r="C19" i="2"/>
  <c r="J18" i="2"/>
  <c r="E18" i="2"/>
  <c r="J15" i="2"/>
  <c r="C15" i="2"/>
  <c r="E15" i="2" s="1"/>
  <c r="J14" i="2"/>
  <c r="C14" i="2"/>
  <c r="E14" i="2" s="1"/>
  <c r="J13" i="2"/>
  <c r="C13" i="2"/>
  <c r="E13" i="2" s="1"/>
  <c r="M13" i="2" s="1"/>
  <c r="N13" i="2" s="1"/>
  <c r="J12" i="2"/>
  <c r="C12" i="2"/>
  <c r="E12" i="2" s="1"/>
  <c r="J11" i="2"/>
  <c r="C11" i="2"/>
  <c r="E11" i="2" s="1"/>
  <c r="I11" i="2" s="1"/>
  <c r="J10" i="2"/>
  <c r="E10" i="2"/>
  <c r="M10" i="2" s="1"/>
  <c r="N10" i="2" s="1"/>
  <c r="I10" i="2" l="1"/>
  <c r="O10" i="2" s="1"/>
  <c r="I18" i="2"/>
  <c r="M18" i="2"/>
  <c r="N18" i="2" s="1"/>
  <c r="O18" i="2" s="1"/>
  <c r="M12" i="2"/>
  <c r="N12" i="2" s="1"/>
  <c r="I12" i="2"/>
  <c r="M14" i="2"/>
  <c r="N14" i="2" s="1"/>
  <c r="I14" i="2"/>
  <c r="I15" i="2"/>
  <c r="M15" i="2"/>
  <c r="N15" i="2" s="1"/>
  <c r="O15" i="2" s="1"/>
  <c r="M11" i="2"/>
  <c r="N11" i="2" s="1"/>
  <c r="O11" i="2" s="1"/>
  <c r="I13" i="2"/>
  <c r="O13" i="2" s="1"/>
  <c r="O14" i="2" l="1"/>
  <c r="O12" i="2"/>
  <c r="J155" i="2" l="1"/>
  <c r="E155" i="2"/>
  <c r="J148" i="2"/>
  <c r="C148" i="2"/>
  <c r="E148" i="2" s="1"/>
  <c r="J147" i="2"/>
  <c r="C147" i="2"/>
  <c r="E147" i="2" s="1"/>
  <c r="J146" i="2"/>
  <c r="E146" i="2"/>
  <c r="M146" i="2" s="1"/>
  <c r="N146" i="2" s="1"/>
  <c r="C146" i="2"/>
  <c r="J145" i="2"/>
  <c r="C145" i="2"/>
  <c r="E145" i="2" s="1"/>
  <c r="J144" i="2"/>
  <c r="C144" i="2"/>
  <c r="E144" i="2" s="1"/>
  <c r="J143" i="2"/>
  <c r="I143" i="2"/>
  <c r="E143" i="2"/>
  <c r="M143" i="2" s="1"/>
  <c r="N143" i="2" s="1"/>
  <c r="O143" i="2" s="1"/>
  <c r="I155" i="2" l="1"/>
  <c r="M155" i="2"/>
  <c r="N155" i="2" s="1"/>
  <c r="I148" i="2"/>
  <c r="M148" i="2"/>
  <c r="N148" i="2" s="1"/>
  <c r="M147" i="2"/>
  <c r="N147" i="2" s="1"/>
  <c r="I147" i="2"/>
  <c r="I144" i="2"/>
  <c r="M144" i="2"/>
  <c r="N144" i="2" s="1"/>
  <c r="O146" i="2"/>
  <c r="I145" i="2"/>
  <c r="M145" i="2"/>
  <c r="N145" i="2" s="1"/>
  <c r="I146" i="2"/>
  <c r="O144" i="2" l="1"/>
  <c r="O148" i="2"/>
  <c r="O155" i="2"/>
  <c r="O147" i="2"/>
  <c r="O145" i="2"/>
  <c r="J140" i="1" l="1"/>
  <c r="C140" i="1"/>
  <c r="E140" i="1" s="1"/>
  <c r="J139" i="1"/>
  <c r="C139" i="1"/>
  <c r="E139" i="1" s="1"/>
  <c r="J138" i="1"/>
  <c r="E138" i="1"/>
  <c r="M138" i="1" s="1"/>
  <c r="N138" i="1" s="1"/>
  <c r="J220" i="1"/>
  <c r="C220" i="1"/>
  <c r="E220" i="1" s="1"/>
  <c r="J219" i="1"/>
  <c r="C219" i="1"/>
  <c r="E219" i="1" s="1"/>
  <c r="J218" i="1"/>
  <c r="E218" i="1"/>
  <c r="M218" i="1" s="1"/>
  <c r="N218" i="1" s="1"/>
  <c r="C218" i="1"/>
  <c r="J96" i="1"/>
  <c r="C96" i="1"/>
  <c r="E96" i="1" s="1"/>
  <c r="J95" i="1"/>
  <c r="C95" i="1"/>
  <c r="E95" i="1" s="1"/>
  <c r="J94" i="1"/>
  <c r="C94" i="1"/>
  <c r="E94" i="1" s="1"/>
  <c r="M94" i="1" s="1"/>
  <c r="N94" i="1" s="1"/>
  <c r="J93" i="1"/>
  <c r="C93" i="1"/>
  <c r="E93" i="1" s="1"/>
  <c r="M92" i="1"/>
  <c r="J92" i="1"/>
  <c r="E92" i="1"/>
  <c r="I92" i="1" s="1"/>
  <c r="J216" i="1"/>
  <c r="C216" i="1"/>
  <c r="E216" i="1" s="1"/>
  <c r="J215" i="1"/>
  <c r="C215" i="1"/>
  <c r="E215" i="1" s="1"/>
  <c r="J214" i="1"/>
  <c r="E214" i="1"/>
  <c r="M214" i="1" s="1"/>
  <c r="N214" i="1" s="1"/>
  <c r="M213" i="1"/>
  <c r="N213" i="1" s="1"/>
  <c r="O213" i="1" s="1"/>
  <c r="J213" i="1"/>
  <c r="E213" i="1"/>
  <c r="I213" i="1" s="1"/>
  <c r="J212" i="1"/>
  <c r="E212" i="1"/>
  <c r="M212" i="1" s="1"/>
  <c r="N212" i="1" s="1"/>
  <c r="J211" i="1"/>
  <c r="E211" i="1"/>
  <c r="I211" i="1" s="1"/>
  <c r="J210" i="1"/>
  <c r="E210" i="1"/>
  <c r="M210" i="1" s="1"/>
  <c r="J209" i="1"/>
  <c r="I209" i="1"/>
  <c r="E209" i="1"/>
  <c r="M209" i="1" s="1"/>
  <c r="N209" i="1" s="1"/>
  <c r="O209" i="1" s="1"/>
  <c r="J208" i="1"/>
  <c r="E208" i="1"/>
  <c r="M208" i="1" s="1"/>
  <c r="N208" i="1" s="1"/>
  <c r="M207" i="1"/>
  <c r="N207" i="1" s="1"/>
  <c r="J207" i="1"/>
  <c r="E207" i="1"/>
  <c r="I207" i="1" s="1"/>
  <c r="J206" i="1"/>
  <c r="E206" i="1"/>
  <c r="M206" i="1" s="1"/>
  <c r="J205" i="1"/>
  <c r="I205" i="1"/>
  <c r="E205" i="1"/>
  <c r="M205" i="1" s="1"/>
  <c r="N205" i="1" s="1"/>
  <c r="O205" i="1" s="1"/>
  <c r="J204" i="1"/>
  <c r="E204" i="1"/>
  <c r="M204" i="1" s="1"/>
  <c r="N204" i="1" s="1"/>
  <c r="M203" i="1"/>
  <c r="N203" i="1" s="1"/>
  <c r="J203" i="1"/>
  <c r="E203" i="1"/>
  <c r="I203" i="1" s="1"/>
  <c r="J202" i="1"/>
  <c r="E202" i="1"/>
  <c r="M202" i="1" s="1"/>
  <c r="J201" i="1"/>
  <c r="I201" i="1"/>
  <c r="E201" i="1"/>
  <c r="M201" i="1" s="1"/>
  <c r="N201" i="1" s="1"/>
  <c r="O201" i="1" s="1"/>
  <c r="J200" i="1"/>
  <c r="E200" i="1"/>
  <c r="M200" i="1" s="1"/>
  <c r="N200" i="1" s="1"/>
  <c r="M199" i="1"/>
  <c r="N199" i="1" s="1"/>
  <c r="J199" i="1"/>
  <c r="E199" i="1"/>
  <c r="I199" i="1" s="1"/>
  <c r="N92" i="1" l="1"/>
  <c r="O92" i="1" s="1"/>
  <c r="O199" i="1"/>
  <c r="O207" i="1"/>
  <c r="O203" i="1"/>
  <c r="N202" i="1"/>
  <c r="N206" i="1"/>
  <c r="N210" i="1"/>
  <c r="M211" i="1"/>
  <c r="N211" i="1" s="1"/>
  <c r="O211" i="1" s="1"/>
  <c r="M139" i="1"/>
  <c r="N139" i="1" s="1"/>
  <c r="I139" i="1"/>
  <c r="I140" i="1"/>
  <c r="M140" i="1"/>
  <c r="N140" i="1" s="1"/>
  <c r="I138" i="1"/>
  <c r="O138" i="1" s="1"/>
  <c r="I219" i="1"/>
  <c r="M219" i="1"/>
  <c r="N219" i="1" s="1"/>
  <c r="I220" i="1"/>
  <c r="M220" i="1"/>
  <c r="N220" i="1"/>
  <c r="I218" i="1"/>
  <c r="O218" i="1" s="1"/>
  <c r="M95" i="1"/>
  <c r="N95" i="1" s="1"/>
  <c r="O95" i="1" s="1"/>
  <c r="I95" i="1"/>
  <c r="I96" i="1"/>
  <c r="M96" i="1"/>
  <c r="N96" i="1" s="1"/>
  <c r="I93" i="1"/>
  <c r="M93" i="1"/>
  <c r="N93" i="1" s="1"/>
  <c r="I94" i="1"/>
  <c r="O94" i="1" s="1"/>
  <c r="M215" i="1"/>
  <c r="N215" i="1" s="1"/>
  <c r="I215" i="1"/>
  <c r="I216" i="1"/>
  <c r="M216" i="1"/>
  <c r="N216" i="1" s="1"/>
  <c r="I202" i="1"/>
  <c r="O202" i="1" s="1"/>
  <c r="I204" i="1"/>
  <c r="O204" i="1" s="1"/>
  <c r="I206" i="1"/>
  <c r="O206" i="1" s="1"/>
  <c r="I208" i="1"/>
  <c r="O208" i="1" s="1"/>
  <c r="I210" i="1"/>
  <c r="O210" i="1" s="1"/>
  <c r="I212" i="1"/>
  <c r="O212" i="1" s="1"/>
  <c r="I214" i="1"/>
  <c r="O214" i="1" s="1"/>
  <c r="I200" i="1"/>
  <c r="O200" i="1" s="1"/>
  <c r="O93" i="1" l="1"/>
  <c r="O215" i="1"/>
  <c r="O139" i="1"/>
  <c r="O140" i="1"/>
  <c r="O220" i="1"/>
  <c r="O219" i="1"/>
  <c r="O96" i="1"/>
  <c r="O216" i="1"/>
  <c r="J42" i="21" l="1"/>
  <c r="J41" i="21"/>
  <c r="J40" i="21"/>
  <c r="M39" i="21"/>
  <c r="N39" i="21" s="1"/>
  <c r="O39" i="21" s="1"/>
  <c r="J39" i="21"/>
  <c r="I39" i="21"/>
  <c r="C39" i="21"/>
  <c r="C40" i="21" s="1"/>
  <c r="E40" i="21" s="1"/>
  <c r="C45" i="21"/>
  <c r="C47" i="21" s="1"/>
  <c r="C33" i="21"/>
  <c r="C35" i="21" s="1"/>
  <c r="C30" i="21"/>
  <c r="E30" i="21" s="1"/>
  <c r="J30" i="21"/>
  <c r="J23" i="21"/>
  <c r="J22" i="21"/>
  <c r="J21" i="21"/>
  <c r="J20" i="21"/>
  <c r="C20" i="21"/>
  <c r="C21" i="21" s="1"/>
  <c r="E21" i="21" s="1"/>
  <c r="C26" i="21"/>
  <c r="C29" i="21" s="1"/>
  <c r="C14" i="21"/>
  <c r="C17" i="21" s="1"/>
  <c r="J17" i="21"/>
  <c r="J16" i="21"/>
  <c r="J15" i="21"/>
  <c r="J14" i="21"/>
  <c r="C8" i="21"/>
  <c r="C11" i="21" s="1"/>
  <c r="J17" i="8"/>
  <c r="J11" i="8"/>
  <c r="J10" i="8"/>
  <c r="J9" i="8"/>
  <c r="C9" i="8"/>
  <c r="E8" i="8"/>
  <c r="J24" i="8"/>
  <c r="C36" i="21" l="1"/>
  <c r="C48" i="21"/>
  <c r="C34" i="21"/>
  <c r="C46" i="21"/>
  <c r="C11" i="8"/>
  <c r="C10" i="8"/>
  <c r="E10" i="8" s="1"/>
  <c r="M40" i="21"/>
  <c r="N40" i="21" s="1"/>
  <c r="I40" i="21"/>
  <c r="C41" i="21"/>
  <c r="E41" i="21" s="1"/>
  <c r="C42" i="21"/>
  <c r="E42" i="21" s="1"/>
  <c r="I30" i="21"/>
  <c r="M30" i="21"/>
  <c r="N30" i="21" s="1"/>
  <c r="O30" i="21" s="1"/>
  <c r="C15" i="21"/>
  <c r="C16" i="21"/>
  <c r="E16" i="21" s="1"/>
  <c r="M16" i="21" s="1"/>
  <c r="N16" i="21" s="1"/>
  <c r="C28" i="21"/>
  <c r="C27" i="21"/>
  <c r="M21" i="21"/>
  <c r="N21" i="21" s="1"/>
  <c r="I21" i="21"/>
  <c r="E20" i="21"/>
  <c r="C23" i="21"/>
  <c r="E23" i="21" s="1"/>
  <c r="C22" i="21"/>
  <c r="E22" i="21" s="1"/>
  <c r="E17" i="21"/>
  <c r="M17" i="21" s="1"/>
  <c r="N17" i="21" s="1"/>
  <c r="E15" i="21"/>
  <c r="M15" i="21" s="1"/>
  <c r="N15" i="21" s="1"/>
  <c r="E14" i="21"/>
  <c r="I17" i="21"/>
  <c r="I15" i="21"/>
  <c r="O15" i="21" s="1"/>
  <c r="C9" i="21"/>
  <c r="C10" i="21"/>
  <c r="E9" i="8"/>
  <c r="E11" i="8"/>
  <c r="I10" i="8" l="1"/>
  <c r="M10" i="8"/>
  <c r="N10" i="8" s="1"/>
  <c r="O21" i="21"/>
  <c r="M41" i="21"/>
  <c r="N41" i="21" s="1"/>
  <c r="I41" i="21"/>
  <c r="I42" i="21"/>
  <c r="M42" i="21"/>
  <c r="N42" i="21" s="1"/>
  <c r="O42" i="21" s="1"/>
  <c r="O40" i="21"/>
  <c r="I16" i="21"/>
  <c r="I20" i="21"/>
  <c r="M20" i="21"/>
  <c r="N20" i="21" s="1"/>
  <c r="O20" i="21" s="1"/>
  <c r="I23" i="21"/>
  <c r="M23" i="21"/>
  <c r="N23" i="21" s="1"/>
  <c r="I22" i="21"/>
  <c r="M22" i="21"/>
  <c r="N22" i="21" s="1"/>
  <c r="O22" i="21" s="1"/>
  <c r="O16" i="21"/>
  <c r="I14" i="21"/>
  <c r="M14" i="21"/>
  <c r="N14" i="21" s="1"/>
  <c r="O17" i="21"/>
  <c r="I11" i="8"/>
  <c r="M11" i="8"/>
  <c r="N11" i="8" s="1"/>
  <c r="I9" i="8"/>
  <c r="M9" i="8"/>
  <c r="N9" i="8" s="1"/>
  <c r="O9" i="8" s="1"/>
  <c r="O14" i="21" l="1"/>
  <c r="O10" i="8"/>
  <c r="O11" i="8"/>
  <c r="O41" i="21"/>
  <c r="O23" i="21"/>
  <c r="C14" i="8" l="1"/>
  <c r="J26" i="8"/>
  <c r="E26" i="8"/>
  <c r="J25" i="8"/>
  <c r="E25" i="8"/>
  <c r="C24" i="8"/>
  <c r="E24" i="8" s="1"/>
  <c r="E23" i="8"/>
  <c r="C51" i="21"/>
  <c r="C53" i="21" s="1"/>
  <c r="C17" i="8" l="1"/>
  <c r="E17" i="8" s="1"/>
  <c r="I17" i="8" s="1"/>
  <c r="C16" i="8"/>
  <c r="C15" i="8"/>
  <c r="M24" i="8"/>
  <c r="N24" i="8" s="1"/>
  <c r="I24" i="8"/>
  <c r="C52" i="21"/>
  <c r="I26" i="8"/>
  <c r="M26" i="8"/>
  <c r="N26" i="8" s="1"/>
  <c r="I25" i="8"/>
  <c r="M25" i="8"/>
  <c r="N25" i="8" s="1"/>
  <c r="O25" i="8" s="1"/>
  <c r="M17" i="8" l="1"/>
  <c r="N17" i="8" s="1"/>
  <c r="O17" i="8" s="1"/>
  <c r="O24" i="8"/>
  <c r="O26" i="8"/>
  <c r="J14" i="30" l="1"/>
  <c r="M12" i="30"/>
  <c r="N12" i="30" s="1"/>
  <c r="J12" i="30"/>
  <c r="I12" i="30"/>
  <c r="E12" i="30"/>
  <c r="O12" i="30" l="1"/>
  <c r="J17" i="30" l="1"/>
  <c r="E17" i="30"/>
  <c r="M17" i="30" s="1"/>
  <c r="N17" i="30" s="1"/>
  <c r="J16" i="30"/>
  <c r="E16" i="30"/>
  <c r="M16" i="30" s="1"/>
  <c r="N16" i="30" s="1"/>
  <c r="J15" i="30"/>
  <c r="E15" i="30"/>
  <c r="M15" i="30" s="1"/>
  <c r="N15" i="30" s="1"/>
  <c r="E14" i="30"/>
  <c r="J13" i="30"/>
  <c r="E13" i="30"/>
  <c r="M13" i="30" s="1"/>
  <c r="J11" i="30"/>
  <c r="E11" i="30"/>
  <c r="I11" i="30" s="1"/>
  <c r="J10" i="30"/>
  <c r="E10" i="30"/>
  <c r="M10" i="30" s="1"/>
  <c r="J9" i="30"/>
  <c r="E9" i="30"/>
  <c r="I9" i="30" s="1"/>
  <c r="J8" i="30"/>
  <c r="E8" i="30"/>
  <c r="M8" i="30" s="1"/>
  <c r="E8" i="29"/>
  <c r="M8" i="29" s="1"/>
  <c r="J8" i="29"/>
  <c r="E9" i="29"/>
  <c r="I9" i="29"/>
  <c r="J9" i="29"/>
  <c r="M9" i="29"/>
  <c r="N9" i="29" s="1"/>
  <c r="O9" i="29" s="1"/>
  <c r="E10" i="29"/>
  <c r="I10" i="29" s="1"/>
  <c r="J10" i="29"/>
  <c r="E11" i="29"/>
  <c r="I11" i="29"/>
  <c r="J11" i="29"/>
  <c r="M11" i="29"/>
  <c r="N11" i="29" s="1"/>
  <c r="E12" i="29"/>
  <c r="M12" i="29" s="1"/>
  <c r="J12" i="29"/>
  <c r="E13" i="29"/>
  <c r="I13" i="29" s="1"/>
  <c r="J13" i="29"/>
  <c r="E14" i="29"/>
  <c r="M14" i="29" s="1"/>
  <c r="I14" i="29"/>
  <c r="J14" i="29"/>
  <c r="E15" i="29"/>
  <c r="I15" i="29" s="1"/>
  <c r="J15" i="29"/>
  <c r="M15" i="29"/>
  <c r="N15" i="29" s="1"/>
  <c r="E16" i="29"/>
  <c r="M16" i="29" s="1"/>
  <c r="N16" i="29" s="1"/>
  <c r="I16" i="29"/>
  <c r="J16" i="29"/>
  <c r="E17" i="29"/>
  <c r="I17" i="29" s="1"/>
  <c r="J17" i="29"/>
  <c r="E18" i="29"/>
  <c r="I18" i="29" s="1"/>
  <c r="J18" i="29"/>
  <c r="E19" i="29"/>
  <c r="I19" i="29" s="1"/>
  <c r="J19" i="29"/>
  <c r="E20" i="29"/>
  <c r="M20" i="29" s="1"/>
  <c r="J20" i="29"/>
  <c r="E21" i="29"/>
  <c r="I21" i="29" s="1"/>
  <c r="J21" i="29"/>
  <c r="E22" i="29"/>
  <c r="I22" i="29" s="1"/>
  <c r="J22" i="29"/>
  <c r="E23" i="29"/>
  <c r="I23" i="29" s="1"/>
  <c r="J23" i="29"/>
  <c r="E25" i="29"/>
  <c r="M25" i="29" s="1"/>
  <c r="J25" i="29"/>
  <c r="E26" i="29"/>
  <c r="I26" i="29" s="1"/>
  <c r="J26" i="29"/>
  <c r="E27" i="29"/>
  <c r="I27" i="29"/>
  <c r="J27" i="29"/>
  <c r="M27" i="29"/>
  <c r="E28" i="29"/>
  <c r="I28" i="29" s="1"/>
  <c r="J28" i="29"/>
  <c r="E29" i="29"/>
  <c r="M29" i="29" s="1"/>
  <c r="N29" i="29" s="1"/>
  <c r="J29" i="29"/>
  <c r="E30" i="29"/>
  <c r="M30" i="29" s="1"/>
  <c r="N30" i="29" s="1"/>
  <c r="J30" i="29"/>
  <c r="E31" i="29"/>
  <c r="I31" i="29"/>
  <c r="J31" i="29"/>
  <c r="M31" i="29"/>
  <c r="E32" i="29"/>
  <c r="M32" i="29" s="1"/>
  <c r="I32" i="29"/>
  <c r="J32" i="29"/>
  <c r="E33" i="29"/>
  <c r="M33" i="29" s="1"/>
  <c r="J33" i="29"/>
  <c r="E35" i="29"/>
  <c r="M35" i="29" s="1"/>
  <c r="N35" i="29" s="1"/>
  <c r="J35" i="29"/>
  <c r="E36" i="29"/>
  <c r="I36" i="29" s="1"/>
  <c r="J36" i="29"/>
  <c r="E37" i="29"/>
  <c r="I37" i="29" s="1"/>
  <c r="J37" i="29"/>
  <c r="E38" i="29"/>
  <c r="M38" i="29" s="1"/>
  <c r="J38" i="29"/>
  <c r="E39" i="29"/>
  <c r="I39" i="29" s="1"/>
  <c r="J39" i="29"/>
  <c r="M39" i="29"/>
  <c r="E40" i="29"/>
  <c r="I40" i="29" s="1"/>
  <c r="J40" i="29"/>
  <c r="M40" i="29"/>
  <c r="E41" i="29"/>
  <c r="I41" i="29" s="1"/>
  <c r="J41" i="29"/>
  <c r="M41" i="29"/>
  <c r="N41" i="29" s="1"/>
  <c r="E42" i="29"/>
  <c r="M42" i="29" s="1"/>
  <c r="N42" i="29" s="1"/>
  <c r="J42" i="29"/>
  <c r="E43" i="29"/>
  <c r="I43" i="29"/>
  <c r="J43" i="29"/>
  <c r="M43" i="29"/>
  <c r="E44" i="29"/>
  <c r="I44" i="29" s="1"/>
  <c r="J44" i="29"/>
  <c r="E45" i="29"/>
  <c r="I45" i="29" s="1"/>
  <c r="J45" i="29"/>
  <c r="M45" i="29"/>
  <c r="N45" i="29" s="1"/>
  <c r="E46" i="29"/>
  <c r="M46" i="29" s="1"/>
  <c r="N46" i="29" s="1"/>
  <c r="J46" i="29"/>
  <c r="E47" i="29"/>
  <c r="I47" i="29" s="1"/>
  <c r="J47" i="29"/>
  <c r="E48" i="29"/>
  <c r="M48" i="29" s="1"/>
  <c r="N48" i="29" s="1"/>
  <c r="I48" i="29"/>
  <c r="J48" i="29"/>
  <c r="E50" i="29"/>
  <c r="I50" i="29" s="1"/>
  <c r="J50" i="29"/>
  <c r="E51" i="29"/>
  <c r="M51" i="29" s="1"/>
  <c r="N51" i="29" s="1"/>
  <c r="J51" i="29"/>
  <c r="E52" i="29"/>
  <c r="I52" i="29"/>
  <c r="J52" i="29"/>
  <c r="M52" i="29"/>
  <c r="N52" i="29" s="1"/>
  <c r="E53" i="29"/>
  <c r="I53" i="29"/>
  <c r="J53" i="29"/>
  <c r="M53" i="29"/>
  <c r="E54" i="29"/>
  <c r="I54" i="29"/>
  <c r="J54" i="29"/>
  <c r="M54" i="29"/>
  <c r="N54" i="29" s="1"/>
  <c r="E55" i="29"/>
  <c r="M55" i="29" s="1"/>
  <c r="I55" i="29"/>
  <c r="J55" i="29"/>
  <c r="E56" i="29"/>
  <c r="I56" i="29" s="1"/>
  <c r="J56" i="29"/>
  <c r="M56" i="29"/>
  <c r="N56" i="29" s="1"/>
  <c r="E57" i="29"/>
  <c r="I57" i="29" s="1"/>
  <c r="J57" i="29"/>
  <c r="E58" i="29"/>
  <c r="I58" i="29" s="1"/>
  <c r="J58" i="29"/>
  <c r="E59" i="29"/>
  <c r="M59" i="29" s="1"/>
  <c r="J59" i="29"/>
  <c r="E60" i="29"/>
  <c r="I60" i="29" s="1"/>
  <c r="J60" i="29"/>
  <c r="E61" i="29"/>
  <c r="I61" i="29" s="1"/>
  <c r="J61" i="29"/>
  <c r="E62" i="29"/>
  <c r="I62" i="29" s="1"/>
  <c r="J62" i="29"/>
  <c r="E63" i="29"/>
  <c r="M63" i="29" s="1"/>
  <c r="J63" i="29"/>
  <c r="E64" i="29"/>
  <c r="M64" i="29" s="1"/>
  <c r="N64" i="29" s="1"/>
  <c r="I64" i="29"/>
  <c r="J64" i="29"/>
  <c r="I66" i="29"/>
  <c r="J66" i="29"/>
  <c r="M66" i="29"/>
  <c r="N66" i="29" s="1"/>
  <c r="E67" i="29"/>
  <c r="I67" i="29" s="1"/>
  <c r="J67" i="29"/>
  <c r="E68" i="29"/>
  <c r="I68" i="29" s="1"/>
  <c r="J68" i="29"/>
  <c r="E71" i="29"/>
  <c r="I71" i="29" s="1"/>
  <c r="J71" i="29"/>
  <c r="M71" i="29"/>
  <c r="E72" i="29"/>
  <c r="I72" i="29" s="1"/>
  <c r="J72" i="29"/>
  <c r="E73" i="29"/>
  <c r="I73" i="29" s="1"/>
  <c r="J73" i="29"/>
  <c r="E74" i="29"/>
  <c r="I74" i="29" s="1"/>
  <c r="J74" i="29"/>
  <c r="E75" i="29"/>
  <c r="I75" i="29" s="1"/>
  <c r="J75" i="29"/>
  <c r="E76" i="29"/>
  <c r="I76" i="29" s="1"/>
  <c r="J76" i="29"/>
  <c r="E77" i="29"/>
  <c r="I77" i="29" s="1"/>
  <c r="J77" i="29"/>
  <c r="E78" i="29"/>
  <c r="I78" i="29" s="1"/>
  <c r="J78" i="29"/>
  <c r="E79" i="29"/>
  <c r="I79" i="29" s="1"/>
  <c r="J79" i="29"/>
  <c r="E80" i="29"/>
  <c r="I80" i="29" s="1"/>
  <c r="J80" i="29"/>
  <c r="E81" i="29"/>
  <c r="I81" i="29" s="1"/>
  <c r="J81" i="29"/>
  <c r="E82" i="29"/>
  <c r="I82" i="29" s="1"/>
  <c r="J82" i="29"/>
  <c r="E83" i="29"/>
  <c r="I83" i="29"/>
  <c r="J83" i="29"/>
  <c r="M83" i="29"/>
  <c r="E84" i="29"/>
  <c r="I84" i="29" s="1"/>
  <c r="J84" i="29"/>
  <c r="E85" i="29"/>
  <c r="I85" i="29" s="1"/>
  <c r="J85" i="29"/>
  <c r="E86" i="29"/>
  <c r="I86" i="29" s="1"/>
  <c r="J86" i="29"/>
  <c r="E87" i="29"/>
  <c r="I87" i="29" s="1"/>
  <c r="J87" i="29"/>
  <c r="E89" i="29"/>
  <c r="I89" i="29" s="1"/>
  <c r="J89" i="29"/>
  <c r="E90" i="29"/>
  <c r="I90" i="29" s="1"/>
  <c r="J90" i="29"/>
  <c r="E91" i="29"/>
  <c r="I91" i="29" s="1"/>
  <c r="J91" i="29"/>
  <c r="E92" i="29"/>
  <c r="I92" i="29" s="1"/>
  <c r="J92" i="29"/>
  <c r="M92" i="29"/>
  <c r="E93" i="29"/>
  <c r="I93" i="29" s="1"/>
  <c r="J93" i="29"/>
  <c r="E94" i="29"/>
  <c r="I94" i="29" s="1"/>
  <c r="J94" i="29"/>
  <c r="E95" i="29"/>
  <c r="I95" i="29" s="1"/>
  <c r="J95" i="29"/>
  <c r="E96" i="29"/>
  <c r="I96" i="29" s="1"/>
  <c r="J96" i="29"/>
  <c r="E97" i="29"/>
  <c r="I97" i="29" s="1"/>
  <c r="J97" i="29"/>
  <c r="E98" i="29"/>
  <c r="I98" i="29" s="1"/>
  <c r="J98" i="29"/>
  <c r="E100" i="29"/>
  <c r="I100" i="29" s="1"/>
  <c r="J100" i="29"/>
  <c r="E101" i="29"/>
  <c r="M101" i="29" s="1"/>
  <c r="J101" i="29"/>
  <c r="E102" i="29"/>
  <c r="I102" i="29" s="1"/>
  <c r="J102" i="29"/>
  <c r="E103" i="29"/>
  <c r="I103" i="29" s="1"/>
  <c r="J103" i="29"/>
  <c r="E104" i="29"/>
  <c r="I104" i="29" s="1"/>
  <c r="J104" i="29"/>
  <c r="E105" i="29"/>
  <c r="I105" i="29" s="1"/>
  <c r="J105" i="29"/>
  <c r="E106" i="29"/>
  <c r="M106" i="29" s="1"/>
  <c r="N106" i="29" s="1"/>
  <c r="I106" i="29"/>
  <c r="J106" i="29"/>
  <c r="E108" i="29"/>
  <c r="I108" i="29" s="1"/>
  <c r="J108" i="29"/>
  <c r="E109" i="29"/>
  <c r="I109" i="29" s="1"/>
  <c r="J109" i="29"/>
  <c r="E110" i="29"/>
  <c r="I110" i="29" s="1"/>
  <c r="J110" i="29"/>
  <c r="E111" i="29"/>
  <c r="M111" i="29" s="1"/>
  <c r="N111" i="29" s="1"/>
  <c r="J111" i="29"/>
  <c r="E113" i="29"/>
  <c r="I113" i="29" s="1"/>
  <c r="J113" i="29"/>
  <c r="E114" i="29"/>
  <c r="I114" i="29" s="1"/>
  <c r="J114" i="29"/>
  <c r="E115" i="29"/>
  <c r="I115" i="29"/>
  <c r="J115" i="29"/>
  <c r="M115" i="29"/>
  <c r="E116" i="29"/>
  <c r="I116" i="29" s="1"/>
  <c r="J116" i="29"/>
  <c r="M116" i="29"/>
  <c r="E117" i="29"/>
  <c r="I117" i="29" s="1"/>
  <c r="J117" i="29"/>
  <c r="J6" i="28"/>
  <c r="E6" i="28"/>
  <c r="M6" i="28" s="1"/>
  <c r="E8" i="28"/>
  <c r="I8" i="28" s="1"/>
  <c r="J8" i="28"/>
  <c r="E9" i="28"/>
  <c r="M9" i="28" s="1"/>
  <c r="J9" i="28"/>
  <c r="E10" i="28"/>
  <c r="I10" i="28" s="1"/>
  <c r="J10" i="28"/>
  <c r="E11" i="28"/>
  <c r="I11" i="28" s="1"/>
  <c r="J11" i="28"/>
  <c r="E12" i="28"/>
  <c r="I12" i="28" s="1"/>
  <c r="J12" i="28"/>
  <c r="E13" i="28"/>
  <c r="M13" i="28" s="1"/>
  <c r="J13" i="28"/>
  <c r="E14" i="28"/>
  <c r="I14" i="28" s="1"/>
  <c r="J14" i="28"/>
  <c r="E15" i="28"/>
  <c r="I15" i="28" s="1"/>
  <c r="J15" i="28"/>
  <c r="E16" i="28"/>
  <c r="I16" i="28" s="1"/>
  <c r="J16" i="28"/>
  <c r="E17" i="28"/>
  <c r="M17" i="28" s="1"/>
  <c r="N17" i="28" s="1"/>
  <c r="J17" i="28"/>
  <c r="E18" i="28"/>
  <c r="I18" i="28" s="1"/>
  <c r="J18" i="28"/>
  <c r="E19" i="28"/>
  <c r="I19" i="28" s="1"/>
  <c r="J19" i="28"/>
  <c r="E20" i="28"/>
  <c r="I20" i="28" s="1"/>
  <c r="J20" i="28"/>
  <c r="E21" i="28"/>
  <c r="I21" i="28" s="1"/>
  <c r="J21" i="28"/>
  <c r="E22" i="28"/>
  <c r="I22" i="28" s="1"/>
  <c r="J22" i="28"/>
  <c r="E24" i="28"/>
  <c r="M24" i="28" s="1"/>
  <c r="N24" i="28" s="1"/>
  <c r="J24" i="28"/>
  <c r="E25" i="28"/>
  <c r="I25" i="28" s="1"/>
  <c r="J25" i="28"/>
  <c r="E26" i="28"/>
  <c r="I26" i="28" s="1"/>
  <c r="J26" i="28"/>
  <c r="E27" i="28"/>
  <c r="I27" i="28" s="1"/>
  <c r="J27" i="28"/>
  <c r="E28" i="28"/>
  <c r="I28" i="28" s="1"/>
  <c r="J28" i="28"/>
  <c r="E29" i="28"/>
  <c r="I29" i="28" s="1"/>
  <c r="J29" i="28"/>
  <c r="E30" i="28"/>
  <c r="M30" i="28" s="1"/>
  <c r="J30" i="28"/>
  <c r="E31" i="28"/>
  <c r="I31" i="28" s="1"/>
  <c r="J31" i="28"/>
  <c r="E32" i="28"/>
  <c r="I32" i="28" s="1"/>
  <c r="J32" i="28"/>
  <c r="M32" i="28"/>
  <c r="N32" i="28" s="1"/>
  <c r="E33" i="28"/>
  <c r="I33" i="28" s="1"/>
  <c r="J33" i="28"/>
  <c r="E34" i="28"/>
  <c r="I34" i="28" s="1"/>
  <c r="J34" i="28"/>
  <c r="E35" i="28"/>
  <c r="I35" i="28" s="1"/>
  <c r="J35" i="28"/>
  <c r="E37" i="28"/>
  <c r="I37" i="28" s="1"/>
  <c r="J37" i="28"/>
  <c r="E38" i="28"/>
  <c r="I38" i="28" s="1"/>
  <c r="J38" i="28"/>
  <c r="E39" i="28"/>
  <c r="I39" i="28" s="1"/>
  <c r="J39" i="28"/>
  <c r="M39" i="28"/>
  <c r="E40" i="28"/>
  <c r="I40" i="28" s="1"/>
  <c r="J40" i="28"/>
  <c r="E41" i="28"/>
  <c r="M41" i="28" s="1"/>
  <c r="J41" i="28"/>
  <c r="E42" i="28"/>
  <c r="I42" i="28" s="1"/>
  <c r="J42" i="28"/>
  <c r="E43" i="28"/>
  <c r="I43" i="28" s="1"/>
  <c r="J43" i="28"/>
  <c r="E44" i="28"/>
  <c r="I44" i="28" s="1"/>
  <c r="J44" i="28"/>
  <c r="E45" i="28"/>
  <c r="I45" i="28" s="1"/>
  <c r="J45" i="28"/>
  <c r="E46" i="28"/>
  <c r="I46" i="28" s="1"/>
  <c r="J46" i="28"/>
  <c r="E47" i="28"/>
  <c r="M47" i="28" s="1"/>
  <c r="J47" i="28"/>
  <c r="E48" i="28"/>
  <c r="I48" i="28" s="1"/>
  <c r="J48" i="28"/>
  <c r="E50" i="28"/>
  <c r="I50" i="28" s="1"/>
  <c r="J50" i="28"/>
  <c r="E51" i="28"/>
  <c r="I51" i="28" s="1"/>
  <c r="J51" i="28"/>
  <c r="E52" i="28"/>
  <c r="M52" i="28" s="1"/>
  <c r="J52" i="28"/>
  <c r="E53" i="28"/>
  <c r="I53" i="28" s="1"/>
  <c r="J53" i="28"/>
  <c r="E54" i="28"/>
  <c r="I54" i="28" s="1"/>
  <c r="J54" i="28"/>
  <c r="E55" i="28"/>
  <c r="I55" i="28" s="1"/>
  <c r="J55" i="28"/>
  <c r="E56" i="28"/>
  <c r="I56" i="28" s="1"/>
  <c r="J56" i="28"/>
  <c r="E57" i="28"/>
  <c r="I57" i="28" s="1"/>
  <c r="J57" i="28"/>
  <c r="E58" i="28"/>
  <c r="M58" i="28" s="1"/>
  <c r="J58" i="28"/>
  <c r="E59" i="28"/>
  <c r="I59" i="28" s="1"/>
  <c r="J59" i="28"/>
  <c r="E60" i="28"/>
  <c r="I60" i="28" s="1"/>
  <c r="J60" i="28"/>
  <c r="E61" i="28"/>
  <c r="I61" i="28" s="1"/>
  <c r="J61" i="28"/>
  <c r="E8" i="27"/>
  <c r="I8" i="27" s="1"/>
  <c r="J8" i="27"/>
  <c r="E9" i="27"/>
  <c r="M9" i="27" s="1"/>
  <c r="I9" i="27"/>
  <c r="J9" i="27"/>
  <c r="E10" i="27"/>
  <c r="M10" i="27" s="1"/>
  <c r="J10" i="27"/>
  <c r="E11" i="27"/>
  <c r="I11" i="27" s="1"/>
  <c r="J11" i="27"/>
  <c r="E12" i="27"/>
  <c r="I12" i="27" s="1"/>
  <c r="J12" i="27"/>
  <c r="E13" i="27"/>
  <c r="M13" i="27" s="1"/>
  <c r="J13" i="27"/>
  <c r="E14" i="27"/>
  <c r="I14" i="27" s="1"/>
  <c r="J14" i="27"/>
  <c r="E16" i="27"/>
  <c r="I16" i="27" s="1"/>
  <c r="J16" i="27"/>
  <c r="E17" i="27"/>
  <c r="I17" i="27" s="1"/>
  <c r="J17" i="27"/>
  <c r="E18" i="27"/>
  <c r="I18" i="27" s="1"/>
  <c r="J18" i="27"/>
  <c r="M18" i="27"/>
  <c r="E19" i="27"/>
  <c r="M19" i="27" s="1"/>
  <c r="N19" i="27" s="1"/>
  <c r="J19" i="27"/>
  <c r="E20" i="27"/>
  <c r="I20" i="27" s="1"/>
  <c r="J20" i="27"/>
  <c r="E21" i="27"/>
  <c r="I21" i="27" s="1"/>
  <c r="J21" i="27"/>
  <c r="E22" i="27"/>
  <c r="M22" i="27" s="1"/>
  <c r="J22" i="27"/>
  <c r="E24" i="27"/>
  <c r="I24" i="27" s="1"/>
  <c r="J24" i="27"/>
  <c r="E25" i="27"/>
  <c r="I25" i="27" s="1"/>
  <c r="J25" i="27"/>
  <c r="E26" i="27"/>
  <c r="I26" i="27" s="1"/>
  <c r="J26" i="27"/>
  <c r="E27" i="27"/>
  <c r="I27" i="27" s="1"/>
  <c r="J27" i="27"/>
  <c r="E28" i="27"/>
  <c r="M28" i="27" s="1"/>
  <c r="N28" i="27" s="1"/>
  <c r="J28" i="27"/>
  <c r="E29" i="27"/>
  <c r="I29" i="27" s="1"/>
  <c r="J29" i="27"/>
  <c r="E30" i="27"/>
  <c r="I30" i="27" s="1"/>
  <c r="J30" i="27"/>
  <c r="E32" i="27"/>
  <c r="M32" i="27" s="1"/>
  <c r="N32" i="27" s="1"/>
  <c r="I32" i="27"/>
  <c r="J32" i="27"/>
  <c r="E33" i="27"/>
  <c r="M33" i="27" s="1"/>
  <c r="N33" i="27" s="1"/>
  <c r="O33" i="27" s="1"/>
  <c r="I33" i="27"/>
  <c r="J33" i="27"/>
  <c r="E34" i="27"/>
  <c r="I34" i="27" s="1"/>
  <c r="J34" i="27"/>
  <c r="E35" i="27"/>
  <c r="I35" i="27" s="1"/>
  <c r="J35" i="27"/>
  <c r="E36" i="27"/>
  <c r="M36" i="27" s="1"/>
  <c r="N36" i="27" s="1"/>
  <c r="O36" i="27" s="1"/>
  <c r="I36" i="27"/>
  <c r="J36" i="27"/>
  <c r="E37" i="27"/>
  <c r="I37" i="27" s="1"/>
  <c r="J37" i="27"/>
  <c r="E38" i="27"/>
  <c r="I38" i="27" s="1"/>
  <c r="J38" i="27"/>
  <c r="E40" i="27"/>
  <c r="I40" i="27" s="1"/>
  <c r="J40" i="27"/>
  <c r="E41" i="27"/>
  <c r="I41" i="27" s="1"/>
  <c r="J41" i="27"/>
  <c r="E42" i="27"/>
  <c r="M42" i="27" s="1"/>
  <c r="N42" i="27" s="1"/>
  <c r="O42" i="27" s="1"/>
  <c r="I42" i="27"/>
  <c r="J42" i="27"/>
  <c r="E43" i="27"/>
  <c r="I43" i="27" s="1"/>
  <c r="J43" i="27"/>
  <c r="E44" i="27"/>
  <c r="I44" i="27" s="1"/>
  <c r="J44" i="27"/>
  <c r="E45" i="27"/>
  <c r="M45" i="27" s="1"/>
  <c r="N45" i="27" s="1"/>
  <c r="O45" i="27" s="1"/>
  <c r="I45" i="27"/>
  <c r="J45" i="27"/>
  <c r="E46" i="27"/>
  <c r="M46" i="27" s="1"/>
  <c r="N46" i="27" s="1"/>
  <c r="I46" i="27"/>
  <c r="J46" i="27"/>
  <c r="E47" i="27"/>
  <c r="I47" i="27" s="1"/>
  <c r="J47" i="27"/>
  <c r="E48" i="27"/>
  <c r="I48" i="27" s="1"/>
  <c r="J48" i="27"/>
  <c r="E49" i="27"/>
  <c r="I49" i="27"/>
  <c r="J49" i="27"/>
  <c r="M49" i="27"/>
  <c r="N49" i="27" s="1"/>
  <c r="O49" i="27" s="1"/>
  <c r="E50" i="27"/>
  <c r="M50" i="27" s="1"/>
  <c r="I50" i="27"/>
  <c r="J50" i="27"/>
  <c r="E51" i="27"/>
  <c r="I51" i="27" s="1"/>
  <c r="J51" i="27"/>
  <c r="E52" i="27"/>
  <c r="I52" i="27" s="1"/>
  <c r="J52" i="27"/>
  <c r="E54" i="27"/>
  <c r="M54" i="27" s="1"/>
  <c r="I54" i="27"/>
  <c r="J54" i="27"/>
  <c r="E55" i="27"/>
  <c r="I55" i="27"/>
  <c r="J55" i="27"/>
  <c r="M55" i="27"/>
  <c r="N55" i="27" s="1"/>
  <c r="O55" i="27" s="1"/>
  <c r="E56" i="27"/>
  <c r="I56" i="27" s="1"/>
  <c r="J56" i="27"/>
  <c r="E57" i="27"/>
  <c r="I57" i="27" s="1"/>
  <c r="J57" i="27"/>
  <c r="E58" i="27"/>
  <c r="I58" i="27"/>
  <c r="J58" i="27"/>
  <c r="M58" i="27"/>
  <c r="N58" i="27" s="1"/>
  <c r="O58" i="27" s="1"/>
  <c r="E59" i="27"/>
  <c r="M59" i="27" s="1"/>
  <c r="N59" i="27" s="1"/>
  <c r="J59" i="27"/>
  <c r="E60" i="27"/>
  <c r="I60" i="27" s="1"/>
  <c r="J60" i="27"/>
  <c r="E61" i="27"/>
  <c r="I61" i="27" s="1"/>
  <c r="J61" i="27"/>
  <c r="E62" i="27"/>
  <c r="M62" i="27" s="1"/>
  <c r="N62" i="27" s="1"/>
  <c r="J62" i="27"/>
  <c r="E63" i="27"/>
  <c r="M63" i="27" s="1"/>
  <c r="J63" i="27"/>
  <c r="E64" i="27"/>
  <c r="I64" i="27" s="1"/>
  <c r="J64" i="27"/>
  <c r="E65" i="27"/>
  <c r="I65" i="27" s="1"/>
  <c r="J65" i="27"/>
  <c r="E66" i="27"/>
  <c r="I66" i="27"/>
  <c r="J66" i="27"/>
  <c r="M66" i="27"/>
  <c r="I68" i="27"/>
  <c r="J68" i="27"/>
  <c r="M68" i="27"/>
  <c r="N68" i="27" s="1"/>
  <c r="O68" i="27" s="1"/>
  <c r="E69" i="27"/>
  <c r="M69" i="27" s="1"/>
  <c r="N69" i="27" s="1"/>
  <c r="J69" i="27"/>
  <c r="E70" i="27"/>
  <c r="I70" i="27" s="1"/>
  <c r="J70" i="27"/>
  <c r="E71" i="27"/>
  <c r="I71" i="27" s="1"/>
  <c r="J71" i="27"/>
  <c r="E72" i="27"/>
  <c r="I72" i="27" s="1"/>
  <c r="J72" i="27"/>
  <c r="E73" i="27"/>
  <c r="M73" i="27" s="1"/>
  <c r="J73" i="27"/>
  <c r="E74" i="27"/>
  <c r="I74" i="27" s="1"/>
  <c r="J74" i="27"/>
  <c r="E75" i="27"/>
  <c r="I75" i="27" s="1"/>
  <c r="J75" i="27"/>
  <c r="M75" i="27"/>
  <c r="N75" i="27" s="1"/>
  <c r="E76" i="27"/>
  <c r="I76" i="27" s="1"/>
  <c r="J76" i="27"/>
  <c r="E77" i="27"/>
  <c r="M77" i="27" s="1"/>
  <c r="I77" i="27"/>
  <c r="J77" i="27"/>
  <c r="E78" i="27"/>
  <c r="I78" i="27" s="1"/>
  <c r="J78" i="27"/>
  <c r="E79" i="27"/>
  <c r="I79" i="27" s="1"/>
  <c r="J79" i="27"/>
  <c r="E80" i="27"/>
  <c r="I80" i="27" s="1"/>
  <c r="J80" i="27"/>
  <c r="E81" i="27"/>
  <c r="M81" i="27" s="1"/>
  <c r="J81" i="27"/>
  <c r="E82" i="27"/>
  <c r="I82" i="27" s="1"/>
  <c r="J82" i="27"/>
  <c r="E83" i="27"/>
  <c r="I83" i="27" s="1"/>
  <c r="J83" i="27"/>
  <c r="M83" i="27"/>
  <c r="N83" i="27" s="1"/>
  <c r="E84" i="27"/>
  <c r="I84" i="27" s="1"/>
  <c r="J84" i="27"/>
  <c r="E85" i="27"/>
  <c r="M85" i="27" s="1"/>
  <c r="N85" i="27" s="1"/>
  <c r="J85" i="27"/>
  <c r="E86" i="27"/>
  <c r="I86" i="27" s="1"/>
  <c r="J86" i="27"/>
  <c r="E87" i="27"/>
  <c r="I87" i="27" s="1"/>
  <c r="J87" i="27"/>
  <c r="E88" i="27"/>
  <c r="I88" i="27" s="1"/>
  <c r="J88" i="27"/>
  <c r="E90" i="27"/>
  <c r="M90" i="27" s="1"/>
  <c r="N90" i="27" s="1"/>
  <c r="J90" i="27"/>
  <c r="E91" i="27"/>
  <c r="I91" i="27" s="1"/>
  <c r="J91" i="27"/>
  <c r="E92" i="27"/>
  <c r="I92" i="27" s="1"/>
  <c r="J92" i="27"/>
  <c r="M92" i="27"/>
  <c r="N92" i="27" s="1"/>
  <c r="E93" i="27"/>
  <c r="I93" i="27" s="1"/>
  <c r="J93" i="27"/>
  <c r="M93" i="27"/>
  <c r="N93" i="27" s="1"/>
  <c r="E94" i="27"/>
  <c r="M94" i="27" s="1"/>
  <c r="J94" i="27"/>
  <c r="E95" i="27"/>
  <c r="I95" i="27" s="1"/>
  <c r="J95" i="27"/>
  <c r="E96" i="27"/>
  <c r="I96" i="27"/>
  <c r="J96" i="27"/>
  <c r="M96" i="27"/>
  <c r="E97" i="27"/>
  <c r="I97" i="27"/>
  <c r="J97" i="27"/>
  <c r="M97" i="27"/>
  <c r="E98" i="27"/>
  <c r="M98" i="27" s="1"/>
  <c r="J98" i="27"/>
  <c r="E99" i="27"/>
  <c r="I99" i="27" s="1"/>
  <c r="J99" i="27"/>
  <c r="E100" i="27"/>
  <c r="I100" i="27"/>
  <c r="J100" i="27"/>
  <c r="M100" i="27"/>
  <c r="E101" i="27"/>
  <c r="I101" i="27"/>
  <c r="J101" i="27"/>
  <c r="M101" i="27"/>
  <c r="E102" i="27"/>
  <c r="M102" i="27" s="1"/>
  <c r="N102" i="27" s="1"/>
  <c r="J102" i="27"/>
  <c r="E103" i="27"/>
  <c r="I103" i="27" s="1"/>
  <c r="J103" i="27"/>
  <c r="E104" i="27"/>
  <c r="I104" i="27" s="1"/>
  <c r="J104" i="27"/>
  <c r="M104" i="27"/>
  <c r="E105" i="27"/>
  <c r="I105" i="27"/>
  <c r="J105" i="27"/>
  <c r="M105" i="27"/>
  <c r="E106" i="27"/>
  <c r="M106" i="27" s="1"/>
  <c r="N106" i="27" s="1"/>
  <c r="J106" i="27"/>
  <c r="E107" i="27"/>
  <c r="I107" i="27" s="1"/>
  <c r="J107" i="27"/>
  <c r="E108" i="27"/>
  <c r="I108" i="27" s="1"/>
  <c r="J108" i="27"/>
  <c r="M108" i="27"/>
  <c r="E109" i="27"/>
  <c r="I109" i="27" s="1"/>
  <c r="J109" i="27"/>
  <c r="M109" i="27"/>
  <c r="E110" i="27"/>
  <c r="M110" i="27" s="1"/>
  <c r="J110" i="27"/>
  <c r="E112" i="27"/>
  <c r="I112" i="27" s="1"/>
  <c r="J112" i="27"/>
  <c r="E113" i="27"/>
  <c r="I113" i="27" s="1"/>
  <c r="J113" i="27"/>
  <c r="M113" i="27"/>
  <c r="E114" i="27"/>
  <c r="I114" i="27" s="1"/>
  <c r="J114" i="27"/>
  <c r="M114" i="27"/>
  <c r="E115" i="27"/>
  <c r="M115" i="27" s="1"/>
  <c r="N115" i="27" s="1"/>
  <c r="J115" i="27"/>
  <c r="E116" i="27"/>
  <c r="I116" i="27" s="1"/>
  <c r="J116" i="27"/>
  <c r="E117" i="27"/>
  <c r="I117" i="27" s="1"/>
  <c r="J117" i="27"/>
  <c r="M117" i="27"/>
  <c r="E118" i="27"/>
  <c r="I118" i="27" s="1"/>
  <c r="J118" i="27"/>
  <c r="M118" i="27"/>
  <c r="E119" i="27"/>
  <c r="M119" i="27" s="1"/>
  <c r="N119" i="27" s="1"/>
  <c r="J119" i="27"/>
  <c r="E120" i="27"/>
  <c r="I120" i="27" s="1"/>
  <c r="J120" i="27"/>
  <c r="E121" i="27"/>
  <c r="I121" i="27" s="1"/>
  <c r="J121" i="27"/>
  <c r="M121" i="27"/>
  <c r="E122" i="27"/>
  <c r="I122" i="27" s="1"/>
  <c r="J122" i="27"/>
  <c r="M122" i="27"/>
  <c r="E123" i="27"/>
  <c r="M123" i="27" s="1"/>
  <c r="N123" i="27" s="1"/>
  <c r="J123" i="27"/>
  <c r="E124" i="27"/>
  <c r="I124" i="27" s="1"/>
  <c r="J124" i="27"/>
  <c r="E125" i="27"/>
  <c r="I125" i="27" s="1"/>
  <c r="J125" i="27"/>
  <c r="M125" i="27"/>
  <c r="E126" i="27"/>
  <c r="I126" i="27" s="1"/>
  <c r="J126" i="27"/>
  <c r="M126" i="27"/>
  <c r="E127" i="27"/>
  <c r="M127" i="27" s="1"/>
  <c r="N127" i="27" s="1"/>
  <c r="J127" i="27"/>
  <c r="E128" i="27"/>
  <c r="I128" i="27" s="1"/>
  <c r="J128" i="27"/>
  <c r="E129" i="27"/>
  <c r="I129" i="27" s="1"/>
  <c r="J129" i="27"/>
  <c r="E130" i="27"/>
  <c r="I130" i="27" s="1"/>
  <c r="J130" i="27"/>
  <c r="E131" i="27"/>
  <c r="I131" i="27" s="1"/>
  <c r="J131" i="27"/>
  <c r="M131" i="27"/>
  <c r="E132" i="27"/>
  <c r="I132" i="27" s="1"/>
  <c r="J132" i="27"/>
  <c r="E134" i="27"/>
  <c r="I134" i="27" s="1"/>
  <c r="J134" i="27"/>
  <c r="E135" i="27"/>
  <c r="I135" i="27" s="1"/>
  <c r="J135" i="27"/>
  <c r="E136" i="27"/>
  <c r="I136" i="27" s="1"/>
  <c r="J136" i="27"/>
  <c r="E137" i="27"/>
  <c r="I137" i="27" s="1"/>
  <c r="J137" i="27"/>
  <c r="E138" i="27"/>
  <c r="I138" i="27" s="1"/>
  <c r="J138" i="27"/>
  <c r="E139" i="27"/>
  <c r="M139" i="27" s="1"/>
  <c r="N139" i="27" s="1"/>
  <c r="J139" i="27"/>
  <c r="E140" i="27"/>
  <c r="I140" i="27" s="1"/>
  <c r="J140" i="27"/>
  <c r="E141" i="27"/>
  <c r="I141" i="27" s="1"/>
  <c r="J141" i="27"/>
  <c r="E142" i="27"/>
  <c r="I142" i="27" s="1"/>
  <c r="J142" i="27"/>
  <c r="M142" i="27"/>
  <c r="E143" i="27"/>
  <c r="I143" i="27" s="1"/>
  <c r="J143" i="27"/>
  <c r="M143" i="27"/>
  <c r="E144" i="27"/>
  <c r="I144" i="27" s="1"/>
  <c r="J144" i="27"/>
  <c r="E145" i="27"/>
  <c r="I145" i="27" s="1"/>
  <c r="J145" i="27"/>
  <c r="E146" i="27"/>
  <c r="I146" i="27" s="1"/>
  <c r="J146" i="27"/>
  <c r="E147" i="27"/>
  <c r="I147" i="27" s="1"/>
  <c r="J147" i="27"/>
  <c r="E148" i="27"/>
  <c r="M148" i="27" s="1"/>
  <c r="N148" i="27" s="1"/>
  <c r="J148" i="27"/>
  <c r="E149" i="27"/>
  <c r="I149" i="27" s="1"/>
  <c r="J149" i="27"/>
  <c r="E150" i="27"/>
  <c r="I150" i="27" s="1"/>
  <c r="J150" i="27"/>
  <c r="E151" i="27"/>
  <c r="I151" i="27" s="1"/>
  <c r="J151" i="27"/>
  <c r="E152" i="27"/>
  <c r="I152" i="27" s="1"/>
  <c r="J152" i="27"/>
  <c r="E153" i="27"/>
  <c r="I153" i="27" s="1"/>
  <c r="J153" i="27"/>
  <c r="E154" i="27"/>
  <c r="M154" i="27" s="1"/>
  <c r="N154" i="27" s="1"/>
  <c r="J154" i="27"/>
  <c r="E156" i="27"/>
  <c r="I156" i="27" s="1"/>
  <c r="J156" i="27"/>
  <c r="E157" i="27"/>
  <c r="I157" i="27" s="1"/>
  <c r="J157" i="27"/>
  <c r="E158" i="27"/>
  <c r="I158" i="27" s="1"/>
  <c r="J158" i="27"/>
  <c r="E159" i="27"/>
  <c r="M159" i="27" s="1"/>
  <c r="N159" i="27" s="1"/>
  <c r="J159" i="27"/>
  <c r="E160" i="27"/>
  <c r="M160" i="27" s="1"/>
  <c r="N160" i="27" s="1"/>
  <c r="J160" i="27"/>
  <c r="E161" i="27"/>
  <c r="M161" i="27" s="1"/>
  <c r="N161" i="27" s="1"/>
  <c r="J161" i="27"/>
  <c r="E162" i="27"/>
  <c r="I162" i="27" s="1"/>
  <c r="J162" i="27"/>
  <c r="E163" i="27"/>
  <c r="I163" i="27" s="1"/>
  <c r="J163" i="27"/>
  <c r="E164" i="27"/>
  <c r="I164" i="27" s="1"/>
  <c r="J164" i="27"/>
  <c r="E165" i="27"/>
  <c r="I165" i="27" s="1"/>
  <c r="J165" i="27"/>
  <c r="M165" i="27"/>
  <c r="N165" i="27" s="1"/>
  <c r="E166" i="27"/>
  <c r="I166" i="27" s="1"/>
  <c r="J166" i="27"/>
  <c r="E167" i="27"/>
  <c r="I167" i="27"/>
  <c r="J167" i="27"/>
  <c r="M167" i="27"/>
  <c r="E168" i="27"/>
  <c r="I168" i="27"/>
  <c r="J168" i="27"/>
  <c r="M168" i="27"/>
  <c r="N168" i="27" s="1"/>
  <c r="E169" i="27"/>
  <c r="I169" i="27" s="1"/>
  <c r="J169" i="27"/>
  <c r="E170" i="27"/>
  <c r="I170" i="27" s="1"/>
  <c r="J170" i="27"/>
  <c r="E171" i="27"/>
  <c r="I171" i="27" s="1"/>
  <c r="J171" i="27"/>
  <c r="E172" i="27"/>
  <c r="M172" i="27" s="1"/>
  <c r="J172" i="27"/>
  <c r="E173" i="27"/>
  <c r="I173" i="27"/>
  <c r="J173" i="27"/>
  <c r="M173" i="27"/>
  <c r="E174" i="27"/>
  <c r="I174" i="27" s="1"/>
  <c r="J174" i="27"/>
  <c r="E175" i="27"/>
  <c r="I175" i="27"/>
  <c r="J175" i="27"/>
  <c r="M175" i="27"/>
  <c r="N175" i="27" s="1"/>
  <c r="O175" i="27" s="1"/>
  <c r="E176" i="27"/>
  <c r="I176" i="27" s="1"/>
  <c r="J176" i="27"/>
  <c r="E178" i="27"/>
  <c r="I178" i="27" s="1"/>
  <c r="J178" i="27"/>
  <c r="E179" i="27"/>
  <c r="I179" i="27" s="1"/>
  <c r="J179" i="27"/>
  <c r="E180" i="27"/>
  <c r="I180" i="27" s="1"/>
  <c r="J180" i="27"/>
  <c r="E181" i="27"/>
  <c r="I181" i="27" s="1"/>
  <c r="J181" i="27"/>
  <c r="E182" i="27"/>
  <c r="I182" i="27" s="1"/>
  <c r="J182" i="27"/>
  <c r="E183" i="27"/>
  <c r="I183" i="27" s="1"/>
  <c r="J183" i="27"/>
  <c r="E184" i="27"/>
  <c r="M184" i="27" s="1"/>
  <c r="N184" i="27" s="1"/>
  <c r="J184" i="27"/>
  <c r="E185" i="27"/>
  <c r="M185" i="27" s="1"/>
  <c r="N185" i="27" s="1"/>
  <c r="J185" i="27"/>
  <c r="E186" i="27"/>
  <c r="I186" i="27" s="1"/>
  <c r="J186" i="27"/>
  <c r="E187" i="27"/>
  <c r="I187" i="27" s="1"/>
  <c r="J187" i="27"/>
  <c r="E188" i="27"/>
  <c r="M188" i="27" s="1"/>
  <c r="N188" i="27" s="1"/>
  <c r="J188" i="27"/>
  <c r="E189" i="27"/>
  <c r="I189" i="27" s="1"/>
  <c r="J189" i="27"/>
  <c r="E190" i="27"/>
  <c r="M190" i="27" s="1"/>
  <c r="N190" i="27" s="1"/>
  <c r="J190" i="27"/>
  <c r="E191" i="27"/>
  <c r="I191" i="27" s="1"/>
  <c r="J191" i="27"/>
  <c r="E192" i="27"/>
  <c r="I192" i="27" s="1"/>
  <c r="J192" i="27"/>
  <c r="E193" i="27"/>
  <c r="I193" i="27"/>
  <c r="J193" i="27"/>
  <c r="M193" i="27"/>
  <c r="N193" i="27" s="1"/>
  <c r="E194" i="27"/>
  <c r="M194" i="27" s="1"/>
  <c r="J194" i="27"/>
  <c r="E195" i="27"/>
  <c r="I195" i="27" s="1"/>
  <c r="J195" i="27"/>
  <c r="E196" i="27"/>
  <c r="I196" i="27" s="1"/>
  <c r="J196" i="27"/>
  <c r="E197" i="27"/>
  <c r="I197" i="27" s="1"/>
  <c r="J197" i="27"/>
  <c r="E198" i="27"/>
  <c r="I198" i="27" s="1"/>
  <c r="J198" i="27"/>
  <c r="E8" i="26"/>
  <c r="M8" i="26" s="1"/>
  <c r="I8" i="26"/>
  <c r="J8" i="26"/>
  <c r="E9" i="26"/>
  <c r="I9" i="26"/>
  <c r="J9" i="26"/>
  <c r="M9" i="26"/>
  <c r="N9" i="26" s="1"/>
  <c r="O9" i="26" s="1"/>
  <c r="E10" i="26"/>
  <c r="I10" i="26"/>
  <c r="J10" i="26"/>
  <c r="M10" i="26"/>
  <c r="E11" i="26"/>
  <c r="I11" i="26" s="1"/>
  <c r="J11" i="26"/>
  <c r="E12" i="26"/>
  <c r="M12" i="26" s="1"/>
  <c r="N12" i="26" s="1"/>
  <c r="I12" i="26"/>
  <c r="J12" i="26"/>
  <c r="E13" i="26"/>
  <c r="I13" i="26" s="1"/>
  <c r="J13" i="26"/>
  <c r="E14" i="26"/>
  <c r="M14" i="26" s="1"/>
  <c r="N14" i="26" s="1"/>
  <c r="J14" i="26"/>
  <c r="E16" i="26"/>
  <c r="I16" i="26" s="1"/>
  <c r="J16" i="26"/>
  <c r="E17" i="26"/>
  <c r="M17" i="26" s="1"/>
  <c r="J17" i="26"/>
  <c r="E18" i="26"/>
  <c r="I18" i="26"/>
  <c r="J18" i="26"/>
  <c r="M18" i="26"/>
  <c r="N18" i="26" s="1"/>
  <c r="E19" i="26"/>
  <c r="I19" i="26"/>
  <c r="J19" i="26"/>
  <c r="M19" i="26"/>
  <c r="N19" i="26" s="1"/>
  <c r="E20" i="26"/>
  <c r="I20" i="26" s="1"/>
  <c r="J20" i="26"/>
  <c r="E21" i="26"/>
  <c r="M21" i="26" s="1"/>
  <c r="I21" i="26"/>
  <c r="J21" i="26"/>
  <c r="E22" i="26"/>
  <c r="I22" i="26" s="1"/>
  <c r="J22" i="26"/>
  <c r="E24" i="26"/>
  <c r="I24" i="26" s="1"/>
  <c r="J24" i="26"/>
  <c r="E25" i="26"/>
  <c r="I25" i="26" s="1"/>
  <c r="J25" i="26"/>
  <c r="E26" i="26"/>
  <c r="M26" i="26" s="1"/>
  <c r="J26" i="26"/>
  <c r="E27" i="26"/>
  <c r="I27" i="26" s="1"/>
  <c r="J27" i="26"/>
  <c r="E28" i="26"/>
  <c r="I28" i="26" s="1"/>
  <c r="J28" i="26"/>
  <c r="E29" i="26"/>
  <c r="I29" i="26" s="1"/>
  <c r="J29" i="26"/>
  <c r="E30" i="26"/>
  <c r="M30" i="26" s="1"/>
  <c r="J30" i="26"/>
  <c r="E32" i="26"/>
  <c r="M32" i="26" s="1"/>
  <c r="J32" i="26"/>
  <c r="E33" i="26"/>
  <c r="I33" i="26"/>
  <c r="J33" i="26"/>
  <c r="M33" i="26"/>
  <c r="E34" i="26"/>
  <c r="I34" i="26" s="1"/>
  <c r="J34" i="26"/>
  <c r="E35" i="26"/>
  <c r="M35" i="26" s="1"/>
  <c r="J35" i="26"/>
  <c r="E36" i="26"/>
  <c r="I36" i="26"/>
  <c r="J36" i="26"/>
  <c r="M36" i="26"/>
  <c r="N36" i="26" s="1"/>
  <c r="E37" i="26"/>
  <c r="I37" i="26"/>
  <c r="J37" i="26"/>
  <c r="M37" i="26"/>
  <c r="N37" i="26" s="1"/>
  <c r="E38" i="26"/>
  <c r="I38" i="26" s="1"/>
  <c r="J38" i="26"/>
  <c r="E40" i="26"/>
  <c r="M40" i="26" s="1"/>
  <c r="J40" i="26"/>
  <c r="E41" i="26"/>
  <c r="I41" i="26"/>
  <c r="J41" i="26"/>
  <c r="M41" i="26"/>
  <c r="N41" i="26" s="1"/>
  <c r="E42" i="26"/>
  <c r="I42" i="26"/>
  <c r="J42" i="26"/>
  <c r="M42" i="26"/>
  <c r="N42" i="26" s="1"/>
  <c r="E43" i="26"/>
  <c r="I43" i="26"/>
  <c r="J43" i="26"/>
  <c r="M43" i="26"/>
  <c r="N43" i="26" s="1"/>
  <c r="E44" i="26"/>
  <c r="M44" i="26" s="1"/>
  <c r="N44" i="26" s="1"/>
  <c r="I44" i="26"/>
  <c r="J44" i="26"/>
  <c r="E45" i="26"/>
  <c r="I45" i="26" s="1"/>
  <c r="J45" i="26"/>
  <c r="E46" i="26"/>
  <c r="I46" i="26" s="1"/>
  <c r="J46" i="26"/>
  <c r="E48" i="26"/>
  <c r="I48" i="26" s="1"/>
  <c r="J48" i="26"/>
  <c r="E49" i="26"/>
  <c r="M49" i="26" s="1"/>
  <c r="J49" i="26"/>
  <c r="E50" i="26"/>
  <c r="M50" i="26" s="1"/>
  <c r="J50" i="26"/>
  <c r="E51" i="26"/>
  <c r="M51" i="26" s="1"/>
  <c r="J51" i="26"/>
  <c r="E52" i="26"/>
  <c r="J52" i="26"/>
  <c r="E53" i="26"/>
  <c r="J53" i="26"/>
  <c r="E54" i="26"/>
  <c r="M54" i="26" s="1"/>
  <c r="J54" i="26"/>
  <c r="E55" i="26"/>
  <c r="I55" i="26" s="1"/>
  <c r="J55" i="26"/>
  <c r="E56" i="26"/>
  <c r="I56" i="26"/>
  <c r="J56" i="26"/>
  <c r="M56" i="26"/>
  <c r="N56" i="26" s="1"/>
  <c r="E57" i="26"/>
  <c r="M57" i="26" s="1"/>
  <c r="I57" i="26"/>
  <c r="J57" i="26"/>
  <c r="E58" i="26"/>
  <c r="M58" i="26" s="1"/>
  <c r="N58" i="26" s="1"/>
  <c r="J58" i="26"/>
  <c r="E59" i="26"/>
  <c r="M59" i="26" s="1"/>
  <c r="N59" i="26" s="1"/>
  <c r="J59" i="26"/>
  <c r="E60" i="26"/>
  <c r="I60" i="26"/>
  <c r="J60" i="26"/>
  <c r="M60" i="26"/>
  <c r="N60" i="26" s="1"/>
  <c r="E62" i="26"/>
  <c r="M62" i="26" s="1"/>
  <c r="J62" i="26"/>
  <c r="E63" i="26"/>
  <c r="I63" i="26"/>
  <c r="J63" i="26"/>
  <c r="M63" i="26"/>
  <c r="N63" i="26" s="1"/>
  <c r="E64" i="26"/>
  <c r="I64" i="26"/>
  <c r="J64" i="26"/>
  <c r="M64" i="26"/>
  <c r="N64" i="26" s="1"/>
  <c r="O64" i="26" s="1"/>
  <c r="E65" i="26"/>
  <c r="I65" i="26"/>
  <c r="J65" i="26"/>
  <c r="M65" i="26"/>
  <c r="N65" i="26" s="1"/>
  <c r="E66" i="26"/>
  <c r="M66" i="26" s="1"/>
  <c r="N66" i="26" s="1"/>
  <c r="I66" i="26"/>
  <c r="J66" i="26"/>
  <c r="E67" i="26"/>
  <c r="M67" i="26" s="1"/>
  <c r="N67" i="26" s="1"/>
  <c r="J67" i="26"/>
  <c r="E68" i="26"/>
  <c r="I68" i="26" s="1"/>
  <c r="J68" i="26"/>
  <c r="E69" i="26"/>
  <c r="M69" i="26" s="1"/>
  <c r="N69" i="26" s="1"/>
  <c r="J69" i="26"/>
  <c r="E70" i="26"/>
  <c r="M70" i="26" s="1"/>
  <c r="J70" i="26"/>
  <c r="E71" i="26"/>
  <c r="M71" i="26" s="1"/>
  <c r="J71" i="26"/>
  <c r="E72" i="26"/>
  <c r="M72" i="26" s="1"/>
  <c r="I72" i="26"/>
  <c r="J72" i="26"/>
  <c r="E73" i="26"/>
  <c r="M73" i="26" s="1"/>
  <c r="N73" i="26" s="1"/>
  <c r="J73" i="26"/>
  <c r="E74" i="26"/>
  <c r="M74" i="26" s="1"/>
  <c r="N74" i="26" s="1"/>
  <c r="J74" i="26"/>
  <c r="E76" i="26"/>
  <c r="M76" i="26" s="1"/>
  <c r="J76" i="26"/>
  <c r="E77" i="26"/>
  <c r="M77" i="26" s="1"/>
  <c r="N77" i="26" s="1"/>
  <c r="I77" i="26"/>
  <c r="J77" i="26"/>
  <c r="E78" i="26"/>
  <c r="M78" i="26" s="1"/>
  <c r="N78" i="26" s="1"/>
  <c r="J78" i="26"/>
  <c r="E79" i="26"/>
  <c r="M79" i="26" s="1"/>
  <c r="J79" i="26"/>
  <c r="E80" i="26"/>
  <c r="I80" i="26"/>
  <c r="J80" i="26"/>
  <c r="M80" i="26"/>
  <c r="N80" i="26" s="1"/>
  <c r="O80" i="26" s="1"/>
  <c r="E81" i="26"/>
  <c r="I81" i="26"/>
  <c r="J81" i="26"/>
  <c r="M81" i="26"/>
  <c r="N81" i="26" s="1"/>
  <c r="O81" i="26" s="1"/>
  <c r="E82" i="26"/>
  <c r="M82" i="26" s="1"/>
  <c r="J82" i="26"/>
  <c r="E83" i="26"/>
  <c r="M83" i="26" s="1"/>
  <c r="I83" i="26"/>
  <c r="J83" i="26"/>
  <c r="E84" i="26"/>
  <c r="I84" i="26" s="1"/>
  <c r="J84" i="26"/>
  <c r="E85" i="26"/>
  <c r="I85" i="26" s="1"/>
  <c r="J85" i="26"/>
  <c r="E86" i="26"/>
  <c r="I86" i="26" s="1"/>
  <c r="J86" i="26"/>
  <c r="E87" i="26"/>
  <c r="M87" i="26" s="1"/>
  <c r="J87" i="26"/>
  <c r="E88" i="26"/>
  <c r="I88" i="26" s="1"/>
  <c r="J88" i="26"/>
  <c r="E90" i="26"/>
  <c r="I90" i="26" s="1"/>
  <c r="J90" i="26"/>
  <c r="E91" i="26"/>
  <c r="I91" i="26"/>
  <c r="J91" i="26"/>
  <c r="M91" i="26"/>
  <c r="N91" i="26" s="1"/>
  <c r="O91" i="26" s="1"/>
  <c r="E92" i="26"/>
  <c r="M92" i="26" s="1"/>
  <c r="J92" i="26"/>
  <c r="E93" i="26"/>
  <c r="I93" i="26"/>
  <c r="J93" i="26"/>
  <c r="M93" i="26"/>
  <c r="E94" i="26"/>
  <c r="I94" i="26"/>
  <c r="J94" i="26"/>
  <c r="M94" i="26"/>
  <c r="N94" i="26" s="1"/>
  <c r="E95" i="26"/>
  <c r="I95" i="26" s="1"/>
  <c r="J95" i="26"/>
  <c r="E96" i="26"/>
  <c r="M96" i="26" s="1"/>
  <c r="J96" i="26"/>
  <c r="E97" i="26"/>
  <c r="I97" i="26"/>
  <c r="J97" i="26"/>
  <c r="M97" i="26"/>
  <c r="N97" i="26" s="1"/>
  <c r="E98" i="26"/>
  <c r="I98" i="26"/>
  <c r="J98" i="26"/>
  <c r="M98" i="26"/>
  <c r="N98" i="26" s="1"/>
  <c r="E99" i="26"/>
  <c r="I99" i="26"/>
  <c r="J99" i="26"/>
  <c r="M99" i="26"/>
  <c r="N99" i="26" s="1"/>
  <c r="E100" i="26"/>
  <c r="M100" i="26" s="1"/>
  <c r="J100" i="26"/>
  <c r="E101" i="26"/>
  <c r="I101" i="26" s="1"/>
  <c r="J101" i="26"/>
  <c r="E102" i="26"/>
  <c r="M102" i="26" s="1"/>
  <c r="J102" i="26"/>
  <c r="E103" i="26"/>
  <c r="I103" i="26" s="1"/>
  <c r="J103" i="26"/>
  <c r="E104" i="26"/>
  <c r="M104" i="26" s="1"/>
  <c r="J104" i="26"/>
  <c r="E105" i="26"/>
  <c r="I105" i="26" s="1"/>
  <c r="J105" i="26"/>
  <c r="E106" i="26"/>
  <c r="I106" i="26" s="1"/>
  <c r="J106" i="26"/>
  <c r="E107" i="26"/>
  <c r="I107" i="26" s="1"/>
  <c r="J107" i="26"/>
  <c r="E108" i="26"/>
  <c r="M108" i="26" s="1"/>
  <c r="J108" i="26"/>
  <c r="E109" i="26"/>
  <c r="M109" i="26" s="1"/>
  <c r="J109" i="26"/>
  <c r="E110" i="26"/>
  <c r="I110" i="26" s="1"/>
  <c r="J110" i="26"/>
  <c r="E112" i="26"/>
  <c r="I112" i="26"/>
  <c r="J112" i="26"/>
  <c r="M112" i="26"/>
  <c r="N112" i="26" s="1"/>
  <c r="E113" i="26"/>
  <c r="M113" i="26" s="1"/>
  <c r="N113" i="26" s="1"/>
  <c r="I113" i="26"/>
  <c r="J113" i="26"/>
  <c r="E114" i="26"/>
  <c r="M114" i="26" s="1"/>
  <c r="N114" i="26" s="1"/>
  <c r="J114" i="26"/>
  <c r="E115" i="26"/>
  <c r="M115" i="26" s="1"/>
  <c r="J115" i="26"/>
  <c r="E116" i="26"/>
  <c r="M116" i="26" s="1"/>
  <c r="J116" i="26"/>
  <c r="E117" i="26"/>
  <c r="M117" i="26" s="1"/>
  <c r="J117" i="26"/>
  <c r="E118" i="26"/>
  <c r="I118" i="26"/>
  <c r="J118" i="26"/>
  <c r="M118" i="26"/>
  <c r="N118" i="26" s="1"/>
  <c r="O118" i="26" s="1"/>
  <c r="E119" i="26"/>
  <c r="I119" i="26"/>
  <c r="J119" i="26"/>
  <c r="M119" i="26"/>
  <c r="E120" i="26"/>
  <c r="I120" i="26"/>
  <c r="J120" i="26"/>
  <c r="M120" i="26"/>
  <c r="N120" i="26" s="1"/>
  <c r="O120" i="26" s="1"/>
  <c r="E121" i="26"/>
  <c r="M121" i="26" s="1"/>
  <c r="J121" i="26"/>
  <c r="E122" i="26"/>
  <c r="I122" i="26"/>
  <c r="J122" i="26"/>
  <c r="M122" i="26"/>
  <c r="E123" i="26"/>
  <c r="I123" i="26"/>
  <c r="J123" i="26"/>
  <c r="M123" i="26"/>
  <c r="N123" i="26" s="1"/>
  <c r="E124" i="26"/>
  <c r="I124" i="26"/>
  <c r="J124" i="26"/>
  <c r="M124" i="26"/>
  <c r="N124" i="26" s="1"/>
  <c r="E125" i="26"/>
  <c r="M125" i="26" s="1"/>
  <c r="J125" i="26"/>
  <c r="E126" i="26"/>
  <c r="I126" i="26"/>
  <c r="J126" i="26"/>
  <c r="M126" i="26"/>
  <c r="E127" i="26"/>
  <c r="I127" i="26"/>
  <c r="J127" i="26"/>
  <c r="M127" i="26"/>
  <c r="N127" i="26" s="1"/>
  <c r="O127" i="26" s="1"/>
  <c r="E128" i="26"/>
  <c r="I128" i="26" s="1"/>
  <c r="J128" i="26"/>
  <c r="E129" i="26"/>
  <c r="M129" i="26" s="1"/>
  <c r="J129" i="26"/>
  <c r="E130" i="26"/>
  <c r="I130" i="26"/>
  <c r="J130" i="26"/>
  <c r="M130" i="26"/>
  <c r="N130" i="26" s="1"/>
  <c r="O130" i="26" s="1"/>
  <c r="E131" i="26"/>
  <c r="I131" i="26"/>
  <c r="J131" i="26"/>
  <c r="M131" i="26"/>
  <c r="N131" i="26" s="1"/>
  <c r="O131" i="26" s="1"/>
  <c r="E132" i="26"/>
  <c r="I132" i="26"/>
  <c r="J132" i="26"/>
  <c r="M132" i="26"/>
  <c r="N132" i="26" s="1"/>
  <c r="O132" i="26" s="1"/>
  <c r="E134" i="26"/>
  <c r="M134" i="26" s="1"/>
  <c r="J134" i="26"/>
  <c r="E135" i="26"/>
  <c r="I135" i="26" s="1"/>
  <c r="J135" i="26"/>
  <c r="E136" i="26"/>
  <c r="I136" i="26" s="1"/>
  <c r="J136" i="26"/>
  <c r="E137" i="26"/>
  <c r="I137" i="26" s="1"/>
  <c r="J137" i="26"/>
  <c r="E138" i="26"/>
  <c r="M138" i="26" s="1"/>
  <c r="J138" i="26"/>
  <c r="E139" i="26"/>
  <c r="M139" i="26" s="1"/>
  <c r="J139" i="26"/>
  <c r="E140" i="26"/>
  <c r="I140" i="26" s="1"/>
  <c r="J140" i="26"/>
  <c r="E141" i="26"/>
  <c r="M141" i="26" s="1"/>
  <c r="J141" i="26"/>
  <c r="E142" i="26"/>
  <c r="M142" i="26" s="1"/>
  <c r="J142" i="26"/>
  <c r="E143" i="26"/>
  <c r="I143" i="26" s="1"/>
  <c r="J143" i="26"/>
  <c r="E144" i="26"/>
  <c r="I144" i="26" s="1"/>
  <c r="J144" i="26"/>
  <c r="E145" i="26"/>
  <c r="I145" i="26"/>
  <c r="J145" i="26"/>
  <c r="M145" i="26"/>
  <c r="N145" i="26" s="1"/>
  <c r="E146" i="26"/>
  <c r="M146" i="26" s="1"/>
  <c r="N146" i="26" s="1"/>
  <c r="I146" i="26"/>
  <c r="J146" i="26"/>
  <c r="E147" i="26"/>
  <c r="M147" i="26" s="1"/>
  <c r="J147" i="26"/>
  <c r="E148" i="26"/>
  <c r="I148" i="26" s="1"/>
  <c r="J148" i="26"/>
  <c r="E149" i="26"/>
  <c r="I149" i="26"/>
  <c r="J149" i="26"/>
  <c r="M149" i="26"/>
  <c r="E150" i="26"/>
  <c r="M150" i="26" s="1"/>
  <c r="J150" i="26"/>
  <c r="E151" i="26"/>
  <c r="I151" i="26"/>
  <c r="J151" i="26"/>
  <c r="M151" i="26"/>
  <c r="N151" i="26" s="1"/>
  <c r="O151" i="26" s="1"/>
  <c r="E152" i="26"/>
  <c r="M152" i="26" s="1"/>
  <c r="I152" i="26"/>
  <c r="J152" i="26"/>
  <c r="E153" i="26"/>
  <c r="M153" i="26" s="1"/>
  <c r="N153" i="26" s="1"/>
  <c r="J153" i="26"/>
  <c r="E154" i="26"/>
  <c r="M154" i="26" s="1"/>
  <c r="J154" i="26"/>
  <c r="E156" i="26"/>
  <c r="I156" i="26" s="1"/>
  <c r="J156" i="26"/>
  <c r="M156" i="26"/>
  <c r="E157" i="26"/>
  <c r="I157" i="26"/>
  <c r="J157" i="26"/>
  <c r="M157" i="26"/>
  <c r="N157" i="26" s="1"/>
  <c r="O157" i="26" s="1"/>
  <c r="E158" i="26"/>
  <c r="I158" i="26"/>
  <c r="J158" i="26"/>
  <c r="M158" i="26"/>
  <c r="N158" i="26" s="1"/>
  <c r="O158" i="26" s="1"/>
  <c r="E159" i="26"/>
  <c r="M159" i="26" s="1"/>
  <c r="J159" i="26"/>
  <c r="E160" i="26"/>
  <c r="I160" i="26"/>
  <c r="J160" i="26"/>
  <c r="M160" i="26"/>
  <c r="N160" i="26" s="1"/>
  <c r="E161" i="26"/>
  <c r="I161" i="26"/>
  <c r="J161" i="26"/>
  <c r="M161" i="26"/>
  <c r="N161" i="26" s="1"/>
  <c r="E162" i="26"/>
  <c r="I162" i="26" s="1"/>
  <c r="J162" i="26"/>
  <c r="E163" i="26"/>
  <c r="M163" i="26" s="1"/>
  <c r="I163" i="26"/>
  <c r="J163" i="26"/>
  <c r="E164" i="26"/>
  <c r="M164" i="26" s="1"/>
  <c r="N164" i="26" s="1"/>
  <c r="J164" i="26"/>
  <c r="E165" i="26"/>
  <c r="M165" i="26" s="1"/>
  <c r="N165" i="26" s="1"/>
  <c r="J165" i="26"/>
  <c r="E166" i="26"/>
  <c r="M166" i="26" s="1"/>
  <c r="N166" i="26" s="1"/>
  <c r="J166" i="26"/>
  <c r="E167" i="26"/>
  <c r="M167" i="26" s="1"/>
  <c r="N167" i="26" s="1"/>
  <c r="J167" i="26"/>
  <c r="E168" i="26"/>
  <c r="M168" i="26" s="1"/>
  <c r="N168" i="26" s="1"/>
  <c r="J168" i="26"/>
  <c r="E169" i="26"/>
  <c r="I169" i="26" s="1"/>
  <c r="J169" i="26"/>
  <c r="E170" i="26"/>
  <c r="M170" i="26" s="1"/>
  <c r="N170" i="26" s="1"/>
  <c r="J170" i="26"/>
  <c r="E171" i="26"/>
  <c r="M171" i="26" s="1"/>
  <c r="N171" i="26" s="1"/>
  <c r="J171" i="26"/>
  <c r="E172" i="26"/>
  <c r="I172" i="26" s="1"/>
  <c r="J172" i="26"/>
  <c r="E173" i="26"/>
  <c r="I173" i="26" s="1"/>
  <c r="J173" i="26"/>
  <c r="E174" i="26"/>
  <c r="I174" i="26" s="1"/>
  <c r="J174" i="26"/>
  <c r="E175" i="26"/>
  <c r="I175" i="26" s="1"/>
  <c r="J175" i="26"/>
  <c r="E8" i="25"/>
  <c r="M8" i="25" s="1"/>
  <c r="N8" i="25" s="1"/>
  <c r="J8" i="25"/>
  <c r="E9" i="25"/>
  <c r="M9" i="25" s="1"/>
  <c r="N9" i="25" s="1"/>
  <c r="J9" i="25"/>
  <c r="E10" i="25"/>
  <c r="M10" i="25" s="1"/>
  <c r="J10" i="25"/>
  <c r="E11" i="25"/>
  <c r="M11" i="25" s="1"/>
  <c r="N11" i="25" s="1"/>
  <c r="J11" i="25"/>
  <c r="E12" i="25"/>
  <c r="M12" i="25" s="1"/>
  <c r="J12" i="25"/>
  <c r="E13" i="25"/>
  <c r="I13" i="25" s="1"/>
  <c r="J13" i="25"/>
  <c r="E14" i="25"/>
  <c r="M14" i="25" s="1"/>
  <c r="J14" i="25"/>
  <c r="E16" i="25"/>
  <c r="I16" i="25" s="1"/>
  <c r="J16" i="25"/>
  <c r="M16" i="25"/>
  <c r="E17" i="25"/>
  <c r="M17" i="25" s="1"/>
  <c r="J17" i="25"/>
  <c r="E18" i="25"/>
  <c r="I18" i="25" s="1"/>
  <c r="J18" i="25"/>
  <c r="E19" i="25"/>
  <c r="I19" i="25" s="1"/>
  <c r="J19" i="25"/>
  <c r="E20" i="25"/>
  <c r="I20" i="25" s="1"/>
  <c r="J20" i="25"/>
  <c r="E21" i="25"/>
  <c r="M21" i="25" s="1"/>
  <c r="J21" i="25"/>
  <c r="E22" i="25"/>
  <c r="I22" i="25" s="1"/>
  <c r="J22" i="25"/>
  <c r="E24" i="25"/>
  <c r="M24" i="25" s="1"/>
  <c r="N24" i="25" s="1"/>
  <c r="I24" i="25"/>
  <c r="J24" i="25"/>
  <c r="E25" i="25"/>
  <c r="I25" i="25" s="1"/>
  <c r="J25" i="25"/>
  <c r="E26" i="25"/>
  <c r="M26" i="25" s="1"/>
  <c r="J26" i="25"/>
  <c r="E27" i="25"/>
  <c r="I27" i="25"/>
  <c r="J27" i="25"/>
  <c r="M27" i="25"/>
  <c r="N27" i="25" s="1"/>
  <c r="E28" i="25"/>
  <c r="I28" i="25"/>
  <c r="J28" i="25"/>
  <c r="M28" i="25"/>
  <c r="E29" i="25"/>
  <c r="I29" i="25"/>
  <c r="J29" i="25"/>
  <c r="M29" i="25"/>
  <c r="N29" i="25" s="1"/>
  <c r="E30" i="25"/>
  <c r="M30" i="25" s="1"/>
  <c r="I30" i="25"/>
  <c r="J30" i="25"/>
  <c r="E32" i="25"/>
  <c r="M32" i="25" s="1"/>
  <c r="N32" i="25" s="1"/>
  <c r="J32" i="25"/>
  <c r="E33" i="25"/>
  <c r="I33" i="25" s="1"/>
  <c r="J33" i="25"/>
  <c r="E34" i="25"/>
  <c r="M34" i="25" s="1"/>
  <c r="J34" i="25"/>
  <c r="E35" i="25"/>
  <c r="M35" i="25" s="1"/>
  <c r="J35" i="25"/>
  <c r="E36" i="25"/>
  <c r="I36" i="25" s="1"/>
  <c r="J36" i="25"/>
  <c r="M36" i="25"/>
  <c r="E37" i="25"/>
  <c r="I37" i="25" s="1"/>
  <c r="J37" i="25"/>
  <c r="E38" i="25"/>
  <c r="I38" i="25" s="1"/>
  <c r="J38" i="25"/>
  <c r="M38" i="25"/>
  <c r="N38" i="25" s="1"/>
  <c r="E40" i="25"/>
  <c r="M40" i="25" s="1"/>
  <c r="N40" i="25" s="1"/>
  <c r="I40" i="25"/>
  <c r="J40" i="25"/>
  <c r="E41" i="25"/>
  <c r="M41" i="25" s="1"/>
  <c r="N41" i="25" s="1"/>
  <c r="J41" i="25"/>
  <c r="E42" i="25"/>
  <c r="I42" i="25" s="1"/>
  <c r="J42" i="25"/>
  <c r="E43" i="25"/>
  <c r="M43" i="25" s="1"/>
  <c r="N43" i="25" s="1"/>
  <c r="I43" i="25"/>
  <c r="J43" i="25"/>
  <c r="E44" i="25"/>
  <c r="M44" i="25" s="1"/>
  <c r="N44" i="25" s="1"/>
  <c r="J44" i="25"/>
  <c r="E45" i="25"/>
  <c r="I45" i="25" s="1"/>
  <c r="J45" i="25"/>
  <c r="E46" i="25"/>
  <c r="I46" i="25" s="1"/>
  <c r="J46" i="25"/>
  <c r="E47" i="25"/>
  <c r="I47" i="25" s="1"/>
  <c r="J47" i="25"/>
  <c r="E48" i="25"/>
  <c r="M48" i="25" s="1"/>
  <c r="J48" i="25"/>
  <c r="E49" i="25"/>
  <c r="I49" i="25" s="1"/>
  <c r="J49" i="25"/>
  <c r="M49" i="25"/>
  <c r="E50" i="25"/>
  <c r="M50" i="25" s="1"/>
  <c r="N50" i="25" s="1"/>
  <c r="J50" i="25"/>
  <c r="E51" i="25"/>
  <c r="I51" i="25" s="1"/>
  <c r="J51" i="25"/>
  <c r="M51" i="25"/>
  <c r="N51" i="25" s="1"/>
  <c r="E52" i="25"/>
  <c r="M52" i="25" s="1"/>
  <c r="J52" i="25"/>
  <c r="E54" i="25"/>
  <c r="M54" i="25" s="1"/>
  <c r="I54" i="25"/>
  <c r="J54" i="25"/>
  <c r="E55" i="25"/>
  <c r="I55" i="25" s="1"/>
  <c r="J55" i="25"/>
  <c r="M55" i="25"/>
  <c r="N55" i="25" s="1"/>
  <c r="E56" i="25"/>
  <c r="M56" i="25" s="1"/>
  <c r="N56" i="25" s="1"/>
  <c r="I56" i="25"/>
  <c r="J56" i="25"/>
  <c r="E57" i="25"/>
  <c r="M57" i="25" s="1"/>
  <c r="N57" i="25" s="1"/>
  <c r="J57" i="25"/>
  <c r="E58" i="25"/>
  <c r="I58" i="25" s="1"/>
  <c r="J58" i="25"/>
  <c r="E59" i="25"/>
  <c r="M59" i="25" s="1"/>
  <c r="N59" i="25" s="1"/>
  <c r="J59" i="25"/>
  <c r="E60" i="25"/>
  <c r="I60" i="25" s="1"/>
  <c r="J60" i="25"/>
  <c r="E61" i="25"/>
  <c r="M61" i="25" s="1"/>
  <c r="I61" i="25"/>
  <c r="J61" i="25"/>
  <c r="E62" i="25"/>
  <c r="M62" i="25" s="1"/>
  <c r="N62" i="25" s="1"/>
  <c r="J62" i="25"/>
  <c r="E63" i="25"/>
  <c r="M63" i="25" s="1"/>
  <c r="J63" i="25"/>
  <c r="E64" i="25"/>
  <c r="M64" i="25" s="1"/>
  <c r="N64" i="25" s="1"/>
  <c r="J64" i="25"/>
  <c r="E65" i="25"/>
  <c r="M65" i="25" s="1"/>
  <c r="J65" i="25"/>
  <c r="E66" i="25"/>
  <c r="M66" i="25" s="1"/>
  <c r="J66" i="25"/>
  <c r="I68" i="25"/>
  <c r="J68" i="25"/>
  <c r="M68" i="25"/>
  <c r="N68" i="25"/>
  <c r="O68" i="25" s="1"/>
  <c r="E69" i="25"/>
  <c r="I69" i="25" s="1"/>
  <c r="J69" i="25"/>
  <c r="E70" i="25"/>
  <c r="I70" i="25" s="1"/>
  <c r="J70" i="25"/>
  <c r="E71" i="25"/>
  <c r="I71" i="25" s="1"/>
  <c r="J71" i="25"/>
  <c r="E72" i="25"/>
  <c r="I72" i="25" s="1"/>
  <c r="J72" i="25"/>
  <c r="E73" i="25"/>
  <c r="I73" i="25" s="1"/>
  <c r="J73" i="25"/>
  <c r="E74" i="25"/>
  <c r="I74" i="25" s="1"/>
  <c r="J74" i="25"/>
  <c r="E75" i="25"/>
  <c r="I75" i="25" s="1"/>
  <c r="J75" i="25"/>
  <c r="M75" i="25"/>
  <c r="E76" i="25"/>
  <c r="I76" i="25" s="1"/>
  <c r="J76" i="25"/>
  <c r="E77" i="25"/>
  <c r="I77" i="25" s="1"/>
  <c r="J77" i="25"/>
  <c r="E78" i="25"/>
  <c r="I78" i="25" s="1"/>
  <c r="J78" i="25"/>
  <c r="E79" i="25"/>
  <c r="M79" i="25" s="1"/>
  <c r="J79" i="25"/>
  <c r="E80" i="25"/>
  <c r="I80" i="25" s="1"/>
  <c r="J80" i="25"/>
  <c r="E82" i="25"/>
  <c r="I82" i="25" s="1"/>
  <c r="J82" i="25"/>
  <c r="E83" i="25"/>
  <c r="I83" i="25" s="1"/>
  <c r="J83" i="25"/>
  <c r="E84" i="25"/>
  <c r="M84" i="25" s="1"/>
  <c r="J84" i="25"/>
  <c r="E85" i="25"/>
  <c r="M85" i="25" s="1"/>
  <c r="J85" i="25"/>
  <c r="E86" i="25"/>
  <c r="I86" i="25" s="1"/>
  <c r="J86" i="25"/>
  <c r="E87" i="25"/>
  <c r="I87" i="25" s="1"/>
  <c r="J87" i="25"/>
  <c r="E88" i="25"/>
  <c r="I88" i="25"/>
  <c r="J88" i="25"/>
  <c r="M88" i="25"/>
  <c r="E89" i="25"/>
  <c r="M89" i="25" s="1"/>
  <c r="J89" i="25"/>
  <c r="E90" i="25"/>
  <c r="I90" i="25" s="1"/>
  <c r="J90" i="25"/>
  <c r="E91" i="25"/>
  <c r="I91" i="25" s="1"/>
  <c r="J91" i="25"/>
  <c r="E92" i="25"/>
  <c r="M92" i="25" s="1"/>
  <c r="I92" i="25"/>
  <c r="J92" i="25"/>
  <c r="E93" i="25"/>
  <c r="I93" i="25" s="1"/>
  <c r="J93" i="25"/>
  <c r="E94" i="25"/>
  <c r="I94" i="25" s="1"/>
  <c r="J94" i="25"/>
  <c r="E95" i="25"/>
  <c r="I95" i="25" s="1"/>
  <c r="J95" i="25"/>
  <c r="E96" i="25"/>
  <c r="I96" i="25" s="1"/>
  <c r="J96" i="25"/>
  <c r="E97" i="25"/>
  <c r="I97" i="25" s="1"/>
  <c r="J97" i="25"/>
  <c r="M97" i="25"/>
  <c r="N97" i="25" s="1"/>
  <c r="E98" i="25"/>
  <c r="I98" i="25" s="1"/>
  <c r="J98" i="25"/>
  <c r="E99" i="25"/>
  <c r="I99" i="25" s="1"/>
  <c r="J99" i="25"/>
  <c r="E100" i="25"/>
  <c r="M100" i="25" s="1"/>
  <c r="I100" i="25"/>
  <c r="J100" i="25"/>
  <c r="E101" i="25"/>
  <c r="I101" i="25" s="1"/>
  <c r="J101" i="25"/>
  <c r="E102" i="25"/>
  <c r="I102" i="25" s="1"/>
  <c r="J102" i="25"/>
  <c r="E104" i="25"/>
  <c r="I104" i="25" s="1"/>
  <c r="J104" i="25"/>
  <c r="E105" i="25"/>
  <c r="M105" i="25" s="1"/>
  <c r="I105" i="25"/>
  <c r="J105" i="25"/>
  <c r="E106" i="25"/>
  <c r="I106" i="25" s="1"/>
  <c r="J106" i="25"/>
  <c r="E107" i="25"/>
  <c r="I107" i="25" s="1"/>
  <c r="J107" i="25"/>
  <c r="E108" i="25"/>
  <c r="I108" i="25" s="1"/>
  <c r="J108" i="25"/>
  <c r="E109" i="25"/>
  <c r="I109" i="25" s="1"/>
  <c r="J109" i="25"/>
  <c r="E110" i="25"/>
  <c r="M110" i="25" s="1"/>
  <c r="N110" i="25" s="1"/>
  <c r="J110" i="25"/>
  <c r="E111" i="25"/>
  <c r="I111" i="25" s="1"/>
  <c r="J111" i="25"/>
  <c r="E112" i="25"/>
  <c r="I112" i="25" s="1"/>
  <c r="J112" i="25"/>
  <c r="E113" i="25"/>
  <c r="I113" i="25" s="1"/>
  <c r="J113" i="25"/>
  <c r="M113" i="25"/>
  <c r="E114" i="25"/>
  <c r="M114" i="25" s="1"/>
  <c r="J114" i="25"/>
  <c r="E115" i="25"/>
  <c r="I115" i="25" s="1"/>
  <c r="J115" i="25"/>
  <c r="E116" i="25"/>
  <c r="I116" i="25" s="1"/>
  <c r="J116" i="25"/>
  <c r="E117" i="25"/>
  <c r="I117" i="25" s="1"/>
  <c r="J117" i="25"/>
  <c r="M117" i="25"/>
  <c r="E118" i="25"/>
  <c r="I118" i="25" s="1"/>
  <c r="J118" i="25"/>
  <c r="E119" i="25"/>
  <c r="I119" i="25" s="1"/>
  <c r="J119" i="25"/>
  <c r="E120" i="25"/>
  <c r="I120" i="25" s="1"/>
  <c r="J120" i="25"/>
  <c r="E121" i="25"/>
  <c r="I121" i="25"/>
  <c r="J121" i="25"/>
  <c r="M121" i="25"/>
  <c r="N121" i="25" s="1"/>
  <c r="E122" i="25"/>
  <c r="I122" i="25" s="1"/>
  <c r="J122" i="25"/>
  <c r="E123" i="25"/>
  <c r="I123" i="25" s="1"/>
  <c r="J123" i="25"/>
  <c r="E124" i="25"/>
  <c r="I124" i="25" s="1"/>
  <c r="J124" i="25"/>
  <c r="E126" i="25"/>
  <c r="I126" i="25"/>
  <c r="J126" i="25"/>
  <c r="M126" i="25"/>
  <c r="N126" i="25" s="1"/>
  <c r="E127" i="25"/>
  <c r="I127" i="25" s="1"/>
  <c r="J127" i="25"/>
  <c r="E128" i="25"/>
  <c r="I128" i="25" s="1"/>
  <c r="J128" i="25"/>
  <c r="E129" i="25"/>
  <c r="I129" i="25" s="1"/>
  <c r="J129" i="25"/>
  <c r="E130" i="25"/>
  <c r="M130" i="25" s="1"/>
  <c r="N130" i="25" s="1"/>
  <c r="I130" i="25"/>
  <c r="J130" i="25"/>
  <c r="E131" i="25"/>
  <c r="I131" i="25" s="1"/>
  <c r="J131" i="25"/>
  <c r="M131" i="25"/>
  <c r="N131" i="25" s="1"/>
  <c r="E132" i="25"/>
  <c r="I132" i="25" s="1"/>
  <c r="J132" i="25"/>
  <c r="E133" i="25"/>
  <c r="I133" i="25" s="1"/>
  <c r="J133" i="25"/>
  <c r="E134" i="25"/>
  <c r="I134" i="25"/>
  <c r="J134" i="25"/>
  <c r="M134" i="25"/>
  <c r="E135" i="25"/>
  <c r="I135" i="25" s="1"/>
  <c r="J135" i="25"/>
  <c r="M135" i="25"/>
  <c r="E136" i="25"/>
  <c r="I136" i="25" s="1"/>
  <c r="J136" i="25"/>
  <c r="E137" i="25"/>
  <c r="I137" i="25" s="1"/>
  <c r="J137" i="25"/>
  <c r="E138" i="25"/>
  <c r="M138" i="25" s="1"/>
  <c r="N138" i="25" s="1"/>
  <c r="J138" i="25"/>
  <c r="E139" i="25"/>
  <c r="I139" i="25"/>
  <c r="J139" i="25"/>
  <c r="M139" i="25"/>
  <c r="N139" i="25" s="1"/>
  <c r="E140" i="25"/>
  <c r="I140" i="25" s="1"/>
  <c r="J140" i="25"/>
  <c r="E141" i="25"/>
  <c r="I141" i="25" s="1"/>
  <c r="J141" i="25"/>
  <c r="E142" i="25"/>
  <c r="I142" i="25" s="1"/>
  <c r="J142" i="25"/>
  <c r="E143" i="25"/>
  <c r="I143" i="25"/>
  <c r="J143" i="25"/>
  <c r="M143" i="25"/>
  <c r="N143" i="25" s="1"/>
  <c r="O143" i="25" s="1"/>
  <c r="E144" i="25"/>
  <c r="I144" i="25" s="1"/>
  <c r="J144" i="25"/>
  <c r="E145" i="25"/>
  <c r="I145" i="25" s="1"/>
  <c r="J145" i="25"/>
  <c r="E7" i="24"/>
  <c r="E8" i="24"/>
  <c r="I8" i="24"/>
  <c r="J8" i="24"/>
  <c r="M8" i="24"/>
  <c r="N8" i="24" s="1"/>
  <c r="O8" i="24" s="1"/>
  <c r="E9" i="24"/>
  <c r="J9" i="24"/>
  <c r="E10" i="24"/>
  <c r="I10" i="24" s="1"/>
  <c r="J10" i="24"/>
  <c r="M10" i="24"/>
  <c r="N10" i="24" s="1"/>
  <c r="E11" i="24"/>
  <c r="I11" i="24"/>
  <c r="J11" i="24"/>
  <c r="M11" i="24"/>
  <c r="N11" i="24" s="1"/>
  <c r="O11" i="24" s="1"/>
  <c r="E12" i="24"/>
  <c r="I12" i="24" s="1"/>
  <c r="J12" i="24"/>
  <c r="E13" i="24"/>
  <c r="J13" i="24"/>
  <c r="E17" i="24"/>
  <c r="E18" i="24"/>
  <c r="M18" i="24" s="1"/>
  <c r="J18" i="24"/>
  <c r="E19" i="24"/>
  <c r="I19" i="24"/>
  <c r="J19" i="24"/>
  <c r="M19" i="24"/>
  <c r="N19" i="24" s="1"/>
  <c r="O19" i="24" s="1"/>
  <c r="E20" i="24"/>
  <c r="I20" i="24" s="1"/>
  <c r="J20" i="24"/>
  <c r="E21" i="24"/>
  <c r="I21" i="24" s="1"/>
  <c r="J21" i="24"/>
  <c r="E22" i="24"/>
  <c r="M22" i="24" s="1"/>
  <c r="J22" i="24"/>
  <c r="E23" i="24"/>
  <c r="I23" i="24"/>
  <c r="J23" i="24"/>
  <c r="M23" i="24"/>
  <c r="N23" i="24" s="1"/>
  <c r="O23" i="24" s="1"/>
  <c r="E25" i="24"/>
  <c r="E26" i="24"/>
  <c r="M26" i="24" s="1"/>
  <c r="J26" i="24"/>
  <c r="E27" i="24"/>
  <c r="I27" i="24"/>
  <c r="J27" i="24"/>
  <c r="M27" i="24"/>
  <c r="N27" i="24" s="1"/>
  <c r="O27" i="24" s="1"/>
  <c r="E28" i="24"/>
  <c r="J28" i="24"/>
  <c r="E29" i="24"/>
  <c r="M29" i="24" s="1"/>
  <c r="N29" i="24" s="1"/>
  <c r="J29" i="24"/>
  <c r="E30" i="24"/>
  <c r="I30" i="24" s="1"/>
  <c r="J30" i="24"/>
  <c r="M30" i="24"/>
  <c r="N30" i="24" s="1"/>
  <c r="O30" i="24" s="1"/>
  <c r="E31" i="24"/>
  <c r="I31" i="24" s="1"/>
  <c r="J31" i="24"/>
  <c r="E33" i="24"/>
  <c r="E34" i="24"/>
  <c r="I34" i="24" s="1"/>
  <c r="J34" i="24"/>
  <c r="E35" i="24"/>
  <c r="M35" i="24" s="1"/>
  <c r="I35" i="24"/>
  <c r="J35" i="24"/>
  <c r="E36" i="24"/>
  <c r="I36" i="24" s="1"/>
  <c r="J36" i="24"/>
  <c r="E37" i="24"/>
  <c r="J37" i="24"/>
  <c r="E38" i="24"/>
  <c r="I38" i="24" s="1"/>
  <c r="J38" i="24"/>
  <c r="E39" i="24"/>
  <c r="I39" i="24"/>
  <c r="J39" i="24"/>
  <c r="M39" i="24"/>
  <c r="N39" i="24" s="1"/>
  <c r="E40" i="24"/>
  <c r="I40" i="24"/>
  <c r="J40" i="24"/>
  <c r="M40" i="24"/>
  <c r="N40" i="24" s="1"/>
  <c r="E41" i="24"/>
  <c r="I41" i="24"/>
  <c r="J41" i="24"/>
  <c r="M41" i="24"/>
  <c r="N41" i="24" s="1"/>
  <c r="E42" i="24"/>
  <c r="I42" i="24" s="1"/>
  <c r="J42" i="24"/>
  <c r="E43" i="24"/>
  <c r="I43" i="24" s="1"/>
  <c r="J43" i="24"/>
  <c r="M43" i="24"/>
  <c r="E44" i="24"/>
  <c r="J44" i="24"/>
  <c r="E45" i="24"/>
  <c r="I45" i="24" s="1"/>
  <c r="J45" i="24"/>
  <c r="M45" i="24"/>
  <c r="N45" i="24" s="1"/>
  <c r="E47" i="24"/>
  <c r="E48" i="24"/>
  <c r="I48" i="24" s="1"/>
  <c r="J48" i="24"/>
  <c r="E49" i="24"/>
  <c r="J49" i="24"/>
  <c r="E50" i="24"/>
  <c r="M50" i="24" s="1"/>
  <c r="J50" i="24"/>
  <c r="E51" i="24"/>
  <c r="I51" i="24" s="1"/>
  <c r="J51" i="24"/>
  <c r="E52" i="24"/>
  <c r="I52" i="24" s="1"/>
  <c r="J52" i="24"/>
  <c r="M52" i="24"/>
  <c r="N52" i="24" s="1"/>
  <c r="O52" i="24" s="1"/>
  <c r="E53" i="24"/>
  <c r="J53" i="24"/>
  <c r="E54" i="24"/>
  <c r="M54" i="24" s="1"/>
  <c r="J54" i="24"/>
  <c r="E55" i="24"/>
  <c r="I55" i="24" s="1"/>
  <c r="J55" i="24"/>
  <c r="E56" i="24"/>
  <c r="I56" i="24" s="1"/>
  <c r="J56" i="24"/>
  <c r="E57" i="24"/>
  <c r="J57" i="24"/>
  <c r="E58" i="24"/>
  <c r="M58" i="24" s="1"/>
  <c r="N58" i="24" s="1"/>
  <c r="J58" i="24"/>
  <c r="E59" i="24"/>
  <c r="M59" i="24" s="1"/>
  <c r="J59" i="24"/>
  <c r="E61" i="24"/>
  <c r="E62" i="24"/>
  <c r="I62" i="24" s="1"/>
  <c r="J62" i="24"/>
  <c r="M62" i="24"/>
  <c r="N62" i="24" s="1"/>
  <c r="O62" i="24" s="1"/>
  <c r="E63" i="24"/>
  <c r="I63" i="24" s="1"/>
  <c r="J63" i="24"/>
  <c r="E64" i="24"/>
  <c r="M64" i="24" s="1"/>
  <c r="J64" i="24"/>
  <c r="E65" i="24"/>
  <c r="I65" i="24" s="1"/>
  <c r="J65" i="24"/>
  <c r="M65" i="24"/>
  <c r="E66" i="24"/>
  <c r="I66" i="24" s="1"/>
  <c r="J66" i="24"/>
  <c r="E67" i="24"/>
  <c r="I67" i="24" s="1"/>
  <c r="J67" i="24"/>
  <c r="E68" i="24"/>
  <c r="I68" i="24"/>
  <c r="J68" i="24"/>
  <c r="M68" i="24"/>
  <c r="I69" i="24"/>
  <c r="J69" i="24"/>
  <c r="M69" i="24"/>
  <c r="E70" i="24"/>
  <c r="I70" i="24" s="1"/>
  <c r="J70" i="24"/>
  <c r="E71" i="24"/>
  <c r="J71" i="24"/>
  <c r="E72" i="24"/>
  <c r="M72" i="24" s="1"/>
  <c r="J72" i="24"/>
  <c r="E73" i="24"/>
  <c r="I73" i="24"/>
  <c r="J73" i="24"/>
  <c r="M73" i="24"/>
  <c r="E74" i="24"/>
  <c r="M74" i="24" s="1"/>
  <c r="N74" i="24" s="1"/>
  <c r="I74" i="24"/>
  <c r="J74" i="24"/>
  <c r="E75" i="24"/>
  <c r="J75" i="24"/>
  <c r="E76" i="24"/>
  <c r="M76" i="24" s="1"/>
  <c r="J76" i="24"/>
  <c r="E77" i="24"/>
  <c r="I77" i="24" s="1"/>
  <c r="J77" i="24"/>
  <c r="M77" i="24"/>
  <c r="N77" i="24" s="1"/>
  <c r="E78" i="24"/>
  <c r="J78" i="24"/>
  <c r="E79" i="24"/>
  <c r="J79" i="24"/>
  <c r="E80" i="24"/>
  <c r="M80" i="24" s="1"/>
  <c r="N80" i="24" s="1"/>
  <c r="J80" i="24"/>
  <c r="E81" i="24"/>
  <c r="M81" i="24" s="1"/>
  <c r="N81" i="24" s="1"/>
  <c r="J81" i="24"/>
  <c r="E83" i="24"/>
  <c r="E84" i="24"/>
  <c r="I84" i="24" s="1"/>
  <c r="J84" i="24"/>
  <c r="E85" i="24"/>
  <c r="J85" i="24"/>
  <c r="E86" i="24"/>
  <c r="M86" i="24" s="1"/>
  <c r="N86" i="24" s="1"/>
  <c r="I86" i="24"/>
  <c r="J86" i="24"/>
  <c r="E87" i="24"/>
  <c r="M87" i="24" s="1"/>
  <c r="N87" i="24" s="1"/>
  <c r="J87" i="24"/>
  <c r="E88" i="24"/>
  <c r="I88" i="24" s="1"/>
  <c r="J88" i="24"/>
  <c r="M88" i="24"/>
  <c r="E89" i="24"/>
  <c r="M89" i="24" s="1"/>
  <c r="J89" i="24"/>
  <c r="E90" i="24"/>
  <c r="I90" i="24"/>
  <c r="J90" i="24"/>
  <c r="M90" i="24"/>
  <c r="N90" i="24" s="1"/>
  <c r="E91" i="24"/>
  <c r="I91" i="24"/>
  <c r="J91" i="24"/>
  <c r="M91" i="24"/>
  <c r="N91" i="24" s="1"/>
  <c r="O91" i="24" s="1"/>
  <c r="E92" i="24"/>
  <c r="I92" i="24"/>
  <c r="J92" i="24"/>
  <c r="M92" i="24"/>
  <c r="N92" i="24" s="1"/>
  <c r="E93" i="24"/>
  <c r="M93" i="24" s="1"/>
  <c r="I93" i="24"/>
  <c r="J93" i="24"/>
  <c r="E94" i="24"/>
  <c r="J94" i="24"/>
  <c r="E95" i="24"/>
  <c r="I95" i="24" s="1"/>
  <c r="J95" i="24"/>
  <c r="M95" i="24"/>
  <c r="N95" i="24" s="1"/>
  <c r="E96" i="24"/>
  <c r="J96" i="24"/>
  <c r="E97" i="24"/>
  <c r="I97" i="24"/>
  <c r="J97" i="24"/>
  <c r="M97" i="24"/>
  <c r="N97" i="24" s="1"/>
  <c r="E98" i="24"/>
  <c r="I98" i="24"/>
  <c r="J98" i="24"/>
  <c r="M98" i="24"/>
  <c r="N98" i="24" s="1"/>
  <c r="E99" i="24"/>
  <c r="I99" i="24"/>
  <c r="J99" i="24"/>
  <c r="M99" i="24"/>
  <c r="N99" i="24" s="1"/>
  <c r="E100" i="24"/>
  <c r="I100" i="24" s="1"/>
  <c r="J100" i="24"/>
  <c r="E101" i="24"/>
  <c r="M101" i="24" s="1"/>
  <c r="N101" i="24" s="1"/>
  <c r="I101" i="24"/>
  <c r="J101" i="24"/>
  <c r="E102" i="24"/>
  <c r="M102" i="24" s="1"/>
  <c r="N102" i="24" s="1"/>
  <c r="J102" i="24"/>
  <c r="E103" i="24"/>
  <c r="M103" i="24" s="1"/>
  <c r="N103" i="24" s="1"/>
  <c r="J103" i="24"/>
  <c r="E105" i="24"/>
  <c r="E106" i="24"/>
  <c r="I106" i="24" s="1"/>
  <c r="J106" i="24"/>
  <c r="E107" i="24"/>
  <c r="J107" i="24"/>
  <c r="E108" i="24"/>
  <c r="J108" i="24"/>
  <c r="E109" i="24"/>
  <c r="M109" i="24" s="1"/>
  <c r="N109" i="24" s="1"/>
  <c r="J109" i="24"/>
  <c r="E110" i="24"/>
  <c r="M110" i="24" s="1"/>
  <c r="N110" i="24" s="1"/>
  <c r="J110" i="24"/>
  <c r="E111" i="24"/>
  <c r="J111" i="24"/>
  <c r="E112" i="24"/>
  <c r="J112" i="24"/>
  <c r="E113" i="24"/>
  <c r="M113" i="24" s="1"/>
  <c r="N113" i="24" s="1"/>
  <c r="J113" i="24"/>
  <c r="E114" i="24"/>
  <c r="M114" i="24" s="1"/>
  <c r="J114" i="24"/>
  <c r="E115" i="24"/>
  <c r="J115" i="24"/>
  <c r="E116" i="24"/>
  <c r="J116" i="24"/>
  <c r="E117" i="24"/>
  <c r="J117" i="24"/>
  <c r="E118" i="24"/>
  <c r="I118" i="24"/>
  <c r="J118" i="24"/>
  <c r="M118" i="24"/>
  <c r="N118" i="24" s="1"/>
  <c r="O118" i="24" s="1"/>
  <c r="E119" i="24"/>
  <c r="J119" i="24"/>
  <c r="E120" i="24"/>
  <c r="J120" i="24"/>
  <c r="E121" i="24"/>
  <c r="I121" i="24" s="1"/>
  <c r="J121" i="24"/>
  <c r="E122" i="24"/>
  <c r="J122" i="24"/>
  <c r="E123" i="24"/>
  <c r="J123" i="24"/>
  <c r="E124" i="24"/>
  <c r="J124" i="24"/>
  <c r="E125" i="24"/>
  <c r="I125" i="24"/>
  <c r="J125" i="24"/>
  <c r="M125" i="24"/>
  <c r="N125" i="24" s="1"/>
  <c r="O125" i="24" s="1"/>
  <c r="E127" i="24"/>
  <c r="E128" i="24"/>
  <c r="I128" i="24" s="1"/>
  <c r="J128" i="24"/>
  <c r="E129" i="24"/>
  <c r="M129" i="24" s="1"/>
  <c r="N129" i="24" s="1"/>
  <c r="J129" i="24"/>
  <c r="E130" i="24"/>
  <c r="M130" i="24" s="1"/>
  <c r="J130" i="24"/>
  <c r="E131" i="24"/>
  <c r="I131" i="24"/>
  <c r="J131" i="24"/>
  <c r="M131" i="24"/>
  <c r="N131" i="24" s="1"/>
  <c r="E132" i="24"/>
  <c r="I132" i="24" s="1"/>
  <c r="J132" i="24"/>
  <c r="M132" i="24"/>
  <c r="E133" i="24"/>
  <c r="J133" i="24"/>
  <c r="E134" i="24"/>
  <c r="M134" i="24" s="1"/>
  <c r="N134" i="24" s="1"/>
  <c r="J134" i="24"/>
  <c r="E135" i="24"/>
  <c r="M135" i="24" s="1"/>
  <c r="N135" i="24" s="1"/>
  <c r="J135" i="24"/>
  <c r="E136" i="24"/>
  <c r="I136" i="24" s="1"/>
  <c r="J136" i="24"/>
  <c r="E137" i="24"/>
  <c r="M137" i="24" s="1"/>
  <c r="J137" i="24"/>
  <c r="E138" i="24"/>
  <c r="M138" i="24" s="1"/>
  <c r="J138" i="24"/>
  <c r="E139" i="24"/>
  <c r="I139" i="24"/>
  <c r="J139" i="24"/>
  <c r="M139" i="24"/>
  <c r="N139" i="24" s="1"/>
  <c r="E140" i="24"/>
  <c r="I140" i="24"/>
  <c r="J140" i="24"/>
  <c r="M140" i="24"/>
  <c r="N140" i="24" s="1"/>
  <c r="E141" i="24"/>
  <c r="I141" i="24"/>
  <c r="J141" i="24"/>
  <c r="M141" i="24"/>
  <c r="N141" i="24" s="1"/>
  <c r="E142" i="24"/>
  <c r="M142" i="24" s="1"/>
  <c r="J142" i="24"/>
  <c r="E143" i="24"/>
  <c r="I143" i="24"/>
  <c r="J143" i="24"/>
  <c r="M143" i="24"/>
  <c r="N143" i="24" s="1"/>
  <c r="E144" i="24"/>
  <c r="I144" i="24"/>
  <c r="J144" i="24"/>
  <c r="M144" i="24"/>
  <c r="N144" i="24" s="1"/>
  <c r="O144" i="24" s="1"/>
  <c r="E145" i="24"/>
  <c r="M145" i="24" s="1"/>
  <c r="N145" i="24" s="1"/>
  <c r="I145" i="24"/>
  <c r="J145" i="24"/>
  <c r="E146" i="24"/>
  <c r="I146" i="24" s="1"/>
  <c r="J146" i="24"/>
  <c r="E147" i="24"/>
  <c r="M147" i="24" s="1"/>
  <c r="J147" i="24"/>
  <c r="E149" i="24"/>
  <c r="E150" i="24"/>
  <c r="I150" i="24" s="1"/>
  <c r="J150" i="24"/>
  <c r="E151" i="24"/>
  <c r="I151" i="24" s="1"/>
  <c r="J151" i="24"/>
  <c r="E152" i="24"/>
  <c r="J152" i="24"/>
  <c r="E153" i="24"/>
  <c r="J153" i="24"/>
  <c r="E154" i="24"/>
  <c r="I154" i="24" s="1"/>
  <c r="J154" i="24"/>
  <c r="M154" i="24"/>
  <c r="E155" i="24"/>
  <c r="I155" i="24" s="1"/>
  <c r="J155" i="24"/>
  <c r="E156" i="24"/>
  <c r="J156" i="24"/>
  <c r="E157" i="24"/>
  <c r="J157" i="24"/>
  <c r="E158" i="24"/>
  <c r="M158" i="24" s="1"/>
  <c r="I158" i="24"/>
  <c r="J158" i="24"/>
  <c r="E159" i="24"/>
  <c r="I159" i="24" s="1"/>
  <c r="J159" i="24"/>
  <c r="E160" i="24"/>
  <c r="J160" i="24"/>
  <c r="E161" i="24"/>
  <c r="J161" i="24"/>
  <c r="E162" i="24"/>
  <c r="M162" i="24" s="1"/>
  <c r="J162" i="24"/>
  <c r="E163" i="24"/>
  <c r="I163" i="24" s="1"/>
  <c r="J163" i="24"/>
  <c r="E164" i="24"/>
  <c r="J164" i="24"/>
  <c r="E165" i="24"/>
  <c r="J165" i="24"/>
  <c r="E166" i="24"/>
  <c r="I166" i="24" s="1"/>
  <c r="J166" i="24"/>
  <c r="E167" i="24"/>
  <c r="J167" i="24"/>
  <c r="E168" i="24"/>
  <c r="J168" i="24"/>
  <c r="E169" i="24"/>
  <c r="J169" i="24"/>
  <c r="E171" i="24"/>
  <c r="E172" i="24"/>
  <c r="I172" i="24" s="1"/>
  <c r="J172" i="24"/>
  <c r="E173" i="24"/>
  <c r="I173" i="24" s="1"/>
  <c r="J173" i="24"/>
  <c r="E174" i="24"/>
  <c r="M174" i="24" s="1"/>
  <c r="I174" i="24"/>
  <c r="J174" i="24"/>
  <c r="E175" i="24"/>
  <c r="M175" i="24" s="1"/>
  <c r="N175" i="24" s="1"/>
  <c r="J175" i="24"/>
  <c r="E176" i="24"/>
  <c r="M176" i="24" s="1"/>
  <c r="N176" i="24" s="1"/>
  <c r="J176" i="24"/>
  <c r="E177" i="24"/>
  <c r="I177" i="24" s="1"/>
  <c r="J177" i="24"/>
  <c r="E178" i="24"/>
  <c r="M178" i="24" s="1"/>
  <c r="I178" i="24"/>
  <c r="J178" i="24"/>
  <c r="E179" i="24"/>
  <c r="M179" i="24" s="1"/>
  <c r="N179" i="24" s="1"/>
  <c r="J179" i="24"/>
  <c r="E180" i="24"/>
  <c r="I180" i="24" s="1"/>
  <c r="J180" i="24"/>
  <c r="E181" i="24"/>
  <c r="I181" i="24" s="1"/>
  <c r="J181" i="24"/>
  <c r="E182" i="24"/>
  <c r="I182" i="24" s="1"/>
  <c r="J182" i="24"/>
  <c r="E183" i="24"/>
  <c r="M183" i="24" s="1"/>
  <c r="N183" i="24" s="1"/>
  <c r="J183" i="24"/>
  <c r="E184" i="24"/>
  <c r="M184" i="24" s="1"/>
  <c r="N184" i="24" s="1"/>
  <c r="J184" i="24"/>
  <c r="E185" i="24"/>
  <c r="M185" i="24" s="1"/>
  <c r="N185" i="24" s="1"/>
  <c r="J185" i="24"/>
  <c r="E186" i="24"/>
  <c r="M186" i="24" s="1"/>
  <c r="J186" i="24"/>
  <c r="E187" i="24"/>
  <c r="M187" i="24" s="1"/>
  <c r="N187" i="24" s="1"/>
  <c r="I187" i="24"/>
  <c r="J187" i="24"/>
  <c r="E188" i="24"/>
  <c r="M188" i="24" s="1"/>
  <c r="J188" i="24"/>
  <c r="E189" i="24"/>
  <c r="I189" i="24" s="1"/>
  <c r="J189" i="24"/>
  <c r="E190" i="24"/>
  <c r="M190" i="24" s="1"/>
  <c r="I190" i="24"/>
  <c r="J190" i="24"/>
  <c r="E191" i="24"/>
  <c r="I191" i="24" s="1"/>
  <c r="J191" i="24"/>
  <c r="E193" i="24"/>
  <c r="E194" i="24"/>
  <c r="J194" i="24"/>
  <c r="E195" i="24"/>
  <c r="I195" i="24" s="1"/>
  <c r="J195" i="24"/>
  <c r="N195" i="24" s="1"/>
  <c r="O195" i="24" s="1"/>
  <c r="M195" i="24"/>
  <c r="E196" i="24"/>
  <c r="I196" i="24" s="1"/>
  <c r="J196" i="24"/>
  <c r="E197" i="24"/>
  <c r="J197" i="24"/>
  <c r="E198" i="24"/>
  <c r="J198" i="24"/>
  <c r="E199" i="24"/>
  <c r="I199" i="24" s="1"/>
  <c r="J199" i="24"/>
  <c r="E200" i="24"/>
  <c r="M200" i="24" s="1"/>
  <c r="J200" i="24"/>
  <c r="E201" i="24"/>
  <c r="J201" i="24"/>
  <c r="E202" i="24"/>
  <c r="J202" i="24"/>
  <c r="E203" i="24"/>
  <c r="J203" i="24"/>
  <c r="E204" i="24"/>
  <c r="I204" i="24" s="1"/>
  <c r="J204" i="24"/>
  <c r="N204" i="24" s="1"/>
  <c r="O204" i="24" s="1"/>
  <c r="M204" i="24"/>
  <c r="E205" i="24"/>
  <c r="I205" i="24" s="1"/>
  <c r="J205" i="24"/>
  <c r="E206" i="24"/>
  <c r="J206" i="24"/>
  <c r="E207" i="24"/>
  <c r="I207" i="24"/>
  <c r="J207" i="24"/>
  <c r="M207" i="24"/>
  <c r="E208" i="24"/>
  <c r="I208" i="24"/>
  <c r="J208" i="24"/>
  <c r="M208" i="24"/>
  <c r="N208" i="24" s="1"/>
  <c r="E209" i="24"/>
  <c r="I209" i="24" s="1"/>
  <c r="J209" i="24"/>
  <c r="E210" i="24"/>
  <c r="J210" i="24"/>
  <c r="E211" i="24"/>
  <c r="I211" i="24" s="1"/>
  <c r="J211" i="24"/>
  <c r="E212" i="24"/>
  <c r="M212" i="24" s="1"/>
  <c r="I212" i="24"/>
  <c r="J212" i="24"/>
  <c r="E213" i="24"/>
  <c r="I213" i="24" s="1"/>
  <c r="J213" i="24"/>
  <c r="E215" i="24"/>
  <c r="E216" i="24"/>
  <c r="M216" i="24" s="1"/>
  <c r="J216" i="24"/>
  <c r="E217" i="24"/>
  <c r="I217" i="24" s="1"/>
  <c r="J217" i="24"/>
  <c r="E218" i="24"/>
  <c r="M218" i="24" s="1"/>
  <c r="J218" i="24"/>
  <c r="E219" i="24"/>
  <c r="I219" i="24"/>
  <c r="J219" i="24"/>
  <c r="M219" i="24"/>
  <c r="E220" i="24"/>
  <c r="I220" i="24" s="1"/>
  <c r="J220" i="24"/>
  <c r="M220" i="24"/>
  <c r="E221" i="24"/>
  <c r="I221" i="24" s="1"/>
  <c r="J221" i="24"/>
  <c r="E222" i="24"/>
  <c r="M222" i="24" s="1"/>
  <c r="N222" i="24" s="1"/>
  <c r="J222" i="24"/>
  <c r="E223" i="24"/>
  <c r="I223" i="24" s="1"/>
  <c r="J223" i="24"/>
  <c r="M223" i="24"/>
  <c r="E224" i="24"/>
  <c r="J224" i="24"/>
  <c r="E225" i="24"/>
  <c r="I225" i="24" s="1"/>
  <c r="J225" i="24"/>
  <c r="E226" i="24"/>
  <c r="M226" i="24" s="1"/>
  <c r="J226" i="24"/>
  <c r="E227" i="24"/>
  <c r="M227" i="24" s="1"/>
  <c r="I227" i="24"/>
  <c r="J227" i="24"/>
  <c r="E228" i="24"/>
  <c r="I228" i="24" s="1"/>
  <c r="J228" i="24"/>
  <c r="E229" i="24"/>
  <c r="I229" i="24" s="1"/>
  <c r="J229" i="24"/>
  <c r="E230" i="24"/>
  <c r="M230" i="24" s="1"/>
  <c r="J230" i="24"/>
  <c r="E231" i="24"/>
  <c r="I231" i="24" s="1"/>
  <c r="J231" i="24"/>
  <c r="E232" i="24"/>
  <c r="M232" i="24" s="1"/>
  <c r="J232" i="24"/>
  <c r="E233" i="24"/>
  <c r="I233" i="24" s="1"/>
  <c r="J233" i="24"/>
  <c r="E234" i="24"/>
  <c r="M234" i="24" s="1"/>
  <c r="J234" i="24"/>
  <c r="E235" i="24"/>
  <c r="M235" i="24" s="1"/>
  <c r="I235" i="24"/>
  <c r="J235" i="24"/>
  <c r="E238" i="24"/>
  <c r="I238" i="24" s="1"/>
  <c r="J238" i="24"/>
  <c r="E239" i="24"/>
  <c r="I239" i="24" s="1"/>
  <c r="J239" i="24"/>
  <c r="E240" i="24"/>
  <c r="M240" i="24" s="1"/>
  <c r="J240" i="24"/>
  <c r="E241" i="24"/>
  <c r="I241" i="24" s="1"/>
  <c r="J241" i="24"/>
  <c r="E242" i="24"/>
  <c r="M242" i="24" s="1"/>
  <c r="N242" i="24" s="1"/>
  <c r="J242" i="24"/>
  <c r="E243" i="24"/>
  <c r="I243" i="24" s="1"/>
  <c r="J243" i="24"/>
  <c r="E244" i="24"/>
  <c r="M244" i="24" s="1"/>
  <c r="J244" i="24"/>
  <c r="E245" i="24"/>
  <c r="M245" i="24" s="1"/>
  <c r="I245" i="24"/>
  <c r="J245" i="24"/>
  <c r="E246" i="24"/>
  <c r="I246" i="24" s="1"/>
  <c r="J246" i="24"/>
  <c r="E247" i="24"/>
  <c r="I247" i="24" s="1"/>
  <c r="J247" i="24"/>
  <c r="E248" i="24"/>
  <c r="M248" i="24" s="1"/>
  <c r="J248" i="24"/>
  <c r="E249" i="24"/>
  <c r="I249" i="24" s="1"/>
  <c r="J249" i="24"/>
  <c r="E250" i="24"/>
  <c r="M250" i="24" s="1"/>
  <c r="J250" i="24"/>
  <c r="E251" i="24"/>
  <c r="I251" i="24" s="1"/>
  <c r="J251" i="24"/>
  <c r="E252" i="24"/>
  <c r="M252" i="24" s="1"/>
  <c r="J252" i="24"/>
  <c r="E253" i="24"/>
  <c r="M253" i="24" s="1"/>
  <c r="N253" i="24" s="1"/>
  <c r="I253" i="24"/>
  <c r="J253" i="24"/>
  <c r="E254" i="24"/>
  <c r="I254" i="24" s="1"/>
  <c r="J254" i="24"/>
  <c r="E255" i="24"/>
  <c r="I255" i="24" s="1"/>
  <c r="J255" i="24"/>
  <c r="E256" i="24"/>
  <c r="M256" i="24" s="1"/>
  <c r="J256" i="24"/>
  <c r="E257" i="24"/>
  <c r="I257" i="24" s="1"/>
  <c r="J257" i="24"/>
  <c r="E260" i="24"/>
  <c r="M260" i="24" s="1"/>
  <c r="N260" i="24" s="1"/>
  <c r="J260" i="24"/>
  <c r="E261" i="24"/>
  <c r="I261" i="24" s="1"/>
  <c r="J261" i="24"/>
  <c r="E262" i="24"/>
  <c r="M262" i="24" s="1"/>
  <c r="J262" i="24"/>
  <c r="E263" i="24"/>
  <c r="M263" i="24" s="1"/>
  <c r="I263" i="24"/>
  <c r="J263" i="24"/>
  <c r="E264" i="24"/>
  <c r="I264" i="24" s="1"/>
  <c r="J264" i="24"/>
  <c r="E265" i="24"/>
  <c r="I265" i="24" s="1"/>
  <c r="J265" i="24"/>
  <c r="E266" i="24"/>
  <c r="M266" i="24" s="1"/>
  <c r="J266" i="24"/>
  <c r="E267" i="24"/>
  <c r="I267" i="24" s="1"/>
  <c r="J267" i="24"/>
  <c r="E268" i="24"/>
  <c r="M268" i="24" s="1"/>
  <c r="J268" i="24"/>
  <c r="E269" i="24"/>
  <c r="I269" i="24" s="1"/>
  <c r="J269" i="24"/>
  <c r="E270" i="24"/>
  <c r="M270" i="24" s="1"/>
  <c r="J270" i="24"/>
  <c r="E271" i="24"/>
  <c r="M271" i="24" s="1"/>
  <c r="N271" i="24" s="1"/>
  <c r="I271" i="24"/>
  <c r="J271" i="24"/>
  <c r="E272" i="24"/>
  <c r="I272" i="24" s="1"/>
  <c r="J272" i="24"/>
  <c r="E273" i="24"/>
  <c r="M273" i="24" s="1"/>
  <c r="J273" i="24"/>
  <c r="E274" i="24"/>
  <c r="M274" i="24" s="1"/>
  <c r="J274" i="24"/>
  <c r="E275" i="24"/>
  <c r="I275" i="24" s="1"/>
  <c r="J275" i="24"/>
  <c r="M275" i="24"/>
  <c r="E276" i="24"/>
  <c r="I276" i="24" s="1"/>
  <c r="J276" i="24"/>
  <c r="E277" i="24"/>
  <c r="M277" i="24" s="1"/>
  <c r="J277" i="24"/>
  <c r="E278" i="24"/>
  <c r="M278" i="24" s="1"/>
  <c r="J278" i="24"/>
  <c r="E279" i="24"/>
  <c r="I279" i="24" s="1"/>
  <c r="J279" i="24"/>
  <c r="E282" i="24"/>
  <c r="M282" i="24" s="1"/>
  <c r="N282" i="24" s="1"/>
  <c r="J282" i="24"/>
  <c r="E283" i="24"/>
  <c r="M283" i="24" s="1"/>
  <c r="N283" i="24" s="1"/>
  <c r="I283" i="24"/>
  <c r="J283" i="24"/>
  <c r="E284" i="24"/>
  <c r="M284" i="24" s="1"/>
  <c r="J284" i="24"/>
  <c r="E285" i="24"/>
  <c r="J285" i="24"/>
  <c r="E286" i="24"/>
  <c r="I286" i="24" s="1"/>
  <c r="J286" i="24"/>
  <c r="E287" i="24"/>
  <c r="J287" i="24"/>
  <c r="E288" i="24"/>
  <c r="M288" i="24" s="1"/>
  <c r="N288" i="24" s="1"/>
  <c r="J288" i="24"/>
  <c r="E289" i="24"/>
  <c r="I289" i="24" s="1"/>
  <c r="J289" i="24"/>
  <c r="I290" i="24"/>
  <c r="J290" i="24"/>
  <c r="M290" i="24"/>
  <c r="N290" i="24" s="1"/>
  <c r="O290" i="24" s="1"/>
  <c r="E291" i="24"/>
  <c r="M291" i="24" s="1"/>
  <c r="J291" i="24"/>
  <c r="E292" i="24"/>
  <c r="J292" i="24"/>
  <c r="E293" i="24"/>
  <c r="I293" i="24" s="1"/>
  <c r="J293" i="24"/>
  <c r="E294" i="24"/>
  <c r="I294" i="24" s="1"/>
  <c r="J294" i="24"/>
  <c r="E295" i="24"/>
  <c r="M295" i="24" s="1"/>
  <c r="N295" i="24" s="1"/>
  <c r="J295" i="24"/>
  <c r="E296" i="24"/>
  <c r="J296" i="24"/>
  <c r="E297" i="24"/>
  <c r="I297" i="24" s="1"/>
  <c r="J297" i="24"/>
  <c r="E298" i="24"/>
  <c r="J298" i="24"/>
  <c r="E299" i="24"/>
  <c r="M299" i="24" s="1"/>
  <c r="J299" i="24"/>
  <c r="E300" i="24"/>
  <c r="J300" i="24"/>
  <c r="E301" i="24"/>
  <c r="J301" i="24"/>
  <c r="E304" i="24"/>
  <c r="I304" i="24" s="1"/>
  <c r="J304" i="24"/>
  <c r="E305" i="24"/>
  <c r="M305" i="24" s="1"/>
  <c r="J305" i="24"/>
  <c r="E306" i="24"/>
  <c r="J306" i="24"/>
  <c r="E307" i="24"/>
  <c r="M307" i="24" s="1"/>
  <c r="I307" i="24"/>
  <c r="J307" i="24"/>
  <c r="E308" i="24"/>
  <c r="I308" i="24" s="1"/>
  <c r="J308" i="24"/>
  <c r="E309" i="24"/>
  <c r="M309" i="24" s="1"/>
  <c r="J309" i="24"/>
  <c r="E310" i="24"/>
  <c r="J310" i="24"/>
  <c r="E311" i="24"/>
  <c r="I311" i="24" s="1"/>
  <c r="J311" i="24"/>
  <c r="E312" i="24"/>
  <c r="I312" i="24" s="1"/>
  <c r="J312" i="24"/>
  <c r="E313" i="24"/>
  <c r="M313" i="24" s="1"/>
  <c r="I313" i="24"/>
  <c r="J313" i="24"/>
  <c r="E314" i="24"/>
  <c r="M314" i="24" s="1"/>
  <c r="N314" i="24" s="1"/>
  <c r="J314" i="24"/>
  <c r="E315" i="24"/>
  <c r="M315" i="24" s="1"/>
  <c r="J315" i="24"/>
  <c r="E316" i="24"/>
  <c r="I316" i="24" s="1"/>
  <c r="J316" i="24"/>
  <c r="E317" i="24"/>
  <c r="M317" i="24" s="1"/>
  <c r="I317" i="24"/>
  <c r="J317" i="24"/>
  <c r="E318" i="24"/>
  <c r="M318" i="24" s="1"/>
  <c r="J318" i="24"/>
  <c r="E319" i="24"/>
  <c r="J319" i="24"/>
  <c r="E320" i="24"/>
  <c r="I320" i="24" s="1"/>
  <c r="J320" i="24"/>
  <c r="E321" i="24"/>
  <c r="I321" i="24" s="1"/>
  <c r="J321" i="24"/>
  <c r="E322" i="24"/>
  <c r="M322" i="24" s="1"/>
  <c r="J322" i="24"/>
  <c r="E323" i="24"/>
  <c r="I323" i="24" s="1"/>
  <c r="J323" i="24"/>
  <c r="M323" i="24"/>
  <c r="E326" i="24"/>
  <c r="M326" i="24" s="1"/>
  <c r="N326" i="24" s="1"/>
  <c r="J326" i="24"/>
  <c r="E327" i="24"/>
  <c r="I327" i="24" s="1"/>
  <c r="J327" i="24"/>
  <c r="M327" i="24"/>
  <c r="N327" i="24" s="1"/>
  <c r="O327" i="24" s="1"/>
  <c r="E328" i="24"/>
  <c r="M328" i="24" s="1"/>
  <c r="J328" i="24"/>
  <c r="E329" i="24"/>
  <c r="J329" i="24"/>
  <c r="E330" i="24"/>
  <c r="I330" i="24" s="1"/>
  <c r="J330" i="24"/>
  <c r="E331" i="24"/>
  <c r="I331" i="24" s="1"/>
  <c r="J331" i="24"/>
  <c r="E332" i="24"/>
  <c r="M332" i="24" s="1"/>
  <c r="J332" i="24"/>
  <c r="E333" i="24"/>
  <c r="J333" i="24"/>
  <c r="E334" i="24"/>
  <c r="I334" i="24" s="1"/>
  <c r="J334" i="24"/>
  <c r="E335" i="24"/>
  <c r="J335" i="24"/>
  <c r="E336" i="24"/>
  <c r="M336" i="24" s="1"/>
  <c r="N336" i="24" s="1"/>
  <c r="J336" i="24"/>
  <c r="E337" i="24"/>
  <c r="M337" i="24" s="1"/>
  <c r="N337" i="24" s="1"/>
  <c r="J337" i="24"/>
  <c r="E338" i="24"/>
  <c r="M338" i="24" s="1"/>
  <c r="I338" i="24"/>
  <c r="J338" i="24"/>
  <c r="E339" i="24"/>
  <c r="I339" i="24"/>
  <c r="J339" i="24"/>
  <c r="M339" i="24"/>
  <c r="N339" i="24" s="1"/>
  <c r="E340" i="24"/>
  <c r="M340" i="24" s="1"/>
  <c r="I340" i="24"/>
  <c r="J340" i="24"/>
  <c r="E341" i="24"/>
  <c r="J341" i="24"/>
  <c r="E342" i="24"/>
  <c r="I342" i="24" s="1"/>
  <c r="J342" i="24"/>
  <c r="E343" i="24"/>
  <c r="J343" i="24"/>
  <c r="E344" i="24"/>
  <c r="M344" i="24" s="1"/>
  <c r="J344" i="24"/>
  <c r="E345" i="24"/>
  <c r="M345" i="24" s="1"/>
  <c r="I345" i="24"/>
  <c r="J345" i="24"/>
  <c r="E348" i="24"/>
  <c r="M348" i="24" s="1"/>
  <c r="J348" i="24"/>
  <c r="E349" i="24"/>
  <c r="J349" i="24"/>
  <c r="E350" i="24"/>
  <c r="M350" i="24" s="1"/>
  <c r="J350" i="24"/>
  <c r="E351" i="24"/>
  <c r="M351" i="24" s="1"/>
  <c r="I351" i="24"/>
  <c r="J351" i="24"/>
  <c r="E352" i="24"/>
  <c r="M352" i="24" s="1"/>
  <c r="N352" i="24" s="1"/>
  <c r="J352" i="24"/>
  <c r="E353" i="24"/>
  <c r="M353" i="24" s="1"/>
  <c r="N353" i="24" s="1"/>
  <c r="I353" i="24"/>
  <c r="J353" i="24"/>
  <c r="E354" i="24"/>
  <c r="M354" i="24" s="1"/>
  <c r="N354" i="24" s="1"/>
  <c r="J354" i="24"/>
  <c r="E355" i="24"/>
  <c r="I355" i="24" s="1"/>
  <c r="J355" i="24"/>
  <c r="E356" i="24"/>
  <c r="I356" i="24" s="1"/>
  <c r="J356" i="24"/>
  <c r="E357" i="24"/>
  <c r="J357" i="24"/>
  <c r="E358" i="24"/>
  <c r="M358" i="24" s="1"/>
  <c r="N358" i="24" s="1"/>
  <c r="J358" i="24"/>
  <c r="E359" i="24"/>
  <c r="M359" i="24" s="1"/>
  <c r="J359" i="24"/>
  <c r="E360" i="24"/>
  <c r="M360" i="24" s="1"/>
  <c r="N360" i="24" s="1"/>
  <c r="I360" i="24"/>
  <c r="J360" i="24"/>
  <c r="E361" i="24"/>
  <c r="M361" i="24" s="1"/>
  <c r="J361" i="24"/>
  <c r="E362" i="24"/>
  <c r="M362" i="24" s="1"/>
  <c r="J362" i="24"/>
  <c r="E363" i="24"/>
  <c r="I363" i="24"/>
  <c r="J363" i="24"/>
  <c r="M363" i="24"/>
  <c r="E364" i="24"/>
  <c r="I364" i="24"/>
  <c r="J364" i="24"/>
  <c r="M364" i="24"/>
  <c r="N364" i="24" s="1"/>
  <c r="E365" i="24"/>
  <c r="M365" i="24" s="1"/>
  <c r="N365" i="24" s="1"/>
  <c r="I365" i="24"/>
  <c r="J365" i="24"/>
  <c r="E366" i="24"/>
  <c r="M366" i="24" s="1"/>
  <c r="J366" i="24"/>
  <c r="E367" i="24"/>
  <c r="I367" i="24"/>
  <c r="J367" i="24"/>
  <c r="M367" i="24"/>
  <c r="E370" i="24"/>
  <c r="I370" i="24"/>
  <c r="J370" i="24"/>
  <c r="M370" i="24"/>
  <c r="N370" i="24" s="1"/>
  <c r="O370" i="24" s="1"/>
  <c r="E371" i="24"/>
  <c r="J371" i="24"/>
  <c r="E372" i="24"/>
  <c r="I372" i="24" s="1"/>
  <c r="J372" i="24"/>
  <c r="E373" i="24"/>
  <c r="J373" i="24"/>
  <c r="E374" i="24"/>
  <c r="I374" i="24" s="1"/>
  <c r="J374" i="24"/>
  <c r="E375" i="24"/>
  <c r="I375" i="24" s="1"/>
  <c r="J375" i="24"/>
  <c r="E376" i="24"/>
  <c r="J376" i="24"/>
  <c r="E377" i="24"/>
  <c r="M377" i="24" s="1"/>
  <c r="I377" i="24"/>
  <c r="J377" i="24"/>
  <c r="E378" i="24"/>
  <c r="M378" i="24" s="1"/>
  <c r="J378" i="24"/>
  <c r="E379" i="24"/>
  <c r="I379" i="24" s="1"/>
  <c r="J379" i="24"/>
  <c r="M379" i="24"/>
  <c r="E380" i="24"/>
  <c r="J380" i="24"/>
  <c r="E381" i="24"/>
  <c r="I381" i="24" s="1"/>
  <c r="J381" i="24"/>
  <c r="M381" i="24"/>
  <c r="N381" i="24" s="1"/>
  <c r="E382" i="24"/>
  <c r="I382" i="24" s="1"/>
  <c r="J382" i="24"/>
  <c r="M382" i="24"/>
  <c r="E383" i="24"/>
  <c r="J383" i="24"/>
  <c r="E384" i="24"/>
  <c r="I384" i="24" s="1"/>
  <c r="J384" i="24"/>
  <c r="E385" i="24"/>
  <c r="I385" i="24" s="1"/>
  <c r="J385" i="24"/>
  <c r="M385" i="24"/>
  <c r="E386" i="24"/>
  <c r="J386" i="24"/>
  <c r="E387" i="24"/>
  <c r="I387" i="24" s="1"/>
  <c r="J387" i="24"/>
  <c r="M387" i="24"/>
  <c r="N387" i="24" s="1"/>
  <c r="E388" i="24"/>
  <c r="J388" i="24"/>
  <c r="E389" i="24"/>
  <c r="M389" i="24" s="1"/>
  <c r="N389" i="24" s="1"/>
  <c r="I389" i="24"/>
  <c r="J389" i="24"/>
  <c r="E392" i="24"/>
  <c r="M392" i="24" s="1"/>
  <c r="J392" i="24"/>
  <c r="E393" i="24"/>
  <c r="I393" i="24" s="1"/>
  <c r="J393" i="24"/>
  <c r="M393" i="24"/>
  <c r="E394" i="24"/>
  <c r="J394" i="24"/>
  <c r="E395" i="24"/>
  <c r="I395" i="24" s="1"/>
  <c r="J395" i="24"/>
  <c r="M395" i="24"/>
  <c r="E396" i="24"/>
  <c r="J396" i="24"/>
  <c r="E397" i="24"/>
  <c r="I397" i="24" s="1"/>
  <c r="J397" i="24"/>
  <c r="E398" i="24"/>
  <c r="I398" i="24" s="1"/>
  <c r="J398" i="24"/>
  <c r="E399" i="24"/>
  <c r="J399" i="24"/>
  <c r="E400" i="24"/>
  <c r="M400" i="24" s="1"/>
  <c r="N400" i="24" s="1"/>
  <c r="I400" i="24"/>
  <c r="J400" i="24"/>
  <c r="E401" i="24"/>
  <c r="I401" i="24" s="1"/>
  <c r="J401" i="24"/>
  <c r="M401" i="24"/>
  <c r="N401" i="24" s="1"/>
  <c r="E402" i="24"/>
  <c r="I402" i="24" s="1"/>
  <c r="J402" i="24"/>
  <c r="E403" i="24"/>
  <c r="I403" i="24"/>
  <c r="J403" i="24"/>
  <c r="M403" i="24"/>
  <c r="E404" i="24"/>
  <c r="I404" i="24"/>
  <c r="J404" i="24"/>
  <c r="M404" i="24"/>
  <c r="N404" i="24" s="1"/>
  <c r="E405" i="24"/>
  <c r="M405" i="24" s="1"/>
  <c r="N405" i="24" s="1"/>
  <c r="I405" i="24"/>
  <c r="J405" i="24"/>
  <c r="E406" i="24"/>
  <c r="I406" i="24" s="1"/>
  <c r="J406" i="24"/>
  <c r="E407" i="24"/>
  <c r="J407" i="24"/>
  <c r="E408" i="24"/>
  <c r="I408" i="24" s="1"/>
  <c r="J408" i="24"/>
  <c r="E409" i="24"/>
  <c r="M409" i="24" s="1"/>
  <c r="J409" i="24"/>
  <c r="E410" i="24"/>
  <c r="I410" i="24" s="1"/>
  <c r="J410" i="24"/>
  <c r="E411" i="24"/>
  <c r="J411" i="24"/>
  <c r="E414" i="24"/>
  <c r="I414" i="24" s="1"/>
  <c r="J414" i="24"/>
  <c r="M414" i="24"/>
  <c r="N414" i="24" s="1"/>
  <c r="O414" i="24" s="1"/>
  <c r="E415" i="24"/>
  <c r="I415" i="24" s="1"/>
  <c r="J415" i="24"/>
  <c r="M415" i="24"/>
  <c r="N415" i="24" s="1"/>
  <c r="E416" i="24"/>
  <c r="I416" i="24" s="1"/>
  <c r="J416" i="24"/>
  <c r="E417" i="24"/>
  <c r="M417" i="24" s="1"/>
  <c r="N417" i="24" s="1"/>
  <c r="I417" i="24"/>
  <c r="J417" i="24"/>
  <c r="E418" i="24"/>
  <c r="M418" i="24" s="1"/>
  <c r="J418" i="24"/>
  <c r="E419" i="24"/>
  <c r="J419" i="24"/>
  <c r="E420" i="24"/>
  <c r="I420" i="24" s="1"/>
  <c r="J420" i="24"/>
  <c r="E421" i="24"/>
  <c r="I421" i="24"/>
  <c r="J421" i="24"/>
  <c r="M421" i="24"/>
  <c r="E422" i="24"/>
  <c r="I422" i="24" s="1"/>
  <c r="J422" i="24"/>
  <c r="E423" i="24"/>
  <c r="M423" i="24" s="1"/>
  <c r="N423" i="24" s="1"/>
  <c r="I423" i="24"/>
  <c r="J423" i="24"/>
  <c r="E424" i="24"/>
  <c r="I424" i="24" s="1"/>
  <c r="J424" i="24"/>
  <c r="E425" i="24"/>
  <c r="I425" i="24" s="1"/>
  <c r="J425" i="24"/>
  <c r="M425" i="24"/>
  <c r="E426" i="24"/>
  <c r="I426" i="24"/>
  <c r="J426" i="24"/>
  <c r="M426" i="24"/>
  <c r="N426" i="24" s="1"/>
  <c r="O426" i="24" s="1"/>
  <c r="E427" i="24"/>
  <c r="I427" i="24"/>
  <c r="J427" i="24"/>
  <c r="M427" i="24"/>
  <c r="E428" i="24"/>
  <c r="I428" i="24" s="1"/>
  <c r="J428" i="24"/>
  <c r="E429" i="24"/>
  <c r="I429" i="24" s="1"/>
  <c r="J429" i="24"/>
  <c r="M429" i="24"/>
  <c r="E430" i="24"/>
  <c r="J430" i="24"/>
  <c r="E431" i="24"/>
  <c r="I431" i="24" s="1"/>
  <c r="J431" i="24"/>
  <c r="E432" i="24"/>
  <c r="I432" i="24" s="1"/>
  <c r="J432" i="24"/>
  <c r="E433" i="24"/>
  <c r="I433" i="24" s="1"/>
  <c r="J433" i="24"/>
  <c r="E436" i="24"/>
  <c r="M436" i="24" s="1"/>
  <c r="J436" i="24"/>
  <c r="E437" i="24"/>
  <c r="I437" i="24" s="1"/>
  <c r="J437" i="24"/>
  <c r="E438" i="24"/>
  <c r="I438" i="24" s="1"/>
  <c r="J438" i="24"/>
  <c r="E439" i="24"/>
  <c r="I439" i="24" s="1"/>
  <c r="J439" i="24"/>
  <c r="E440" i="24"/>
  <c r="J440" i="24"/>
  <c r="E441" i="24"/>
  <c r="I441" i="24" s="1"/>
  <c r="J441" i="24"/>
  <c r="E442" i="24"/>
  <c r="I442" i="24" s="1"/>
  <c r="J442" i="24"/>
  <c r="E443" i="24"/>
  <c r="J443" i="24"/>
  <c r="E444" i="24"/>
  <c r="I444" i="24" s="1"/>
  <c r="J444" i="24"/>
  <c r="E445" i="24"/>
  <c r="I445" i="24" s="1"/>
  <c r="J445" i="24"/>
  <c r="E446" i="24"/>
  <c r="I446" i="24" s="1"/>
  <c r="J446" i="24"/>
  <c r="E447" i="24"/>
  <c r="J447" i="24"/>
  <c r="E448" i="24"/>
  <c r="I448" i="24" s="1"/>
  <c r="J448" i="24"/>
  <c r="E449" i="24"/>
  <c r="I449" i="24"/>
  <c r="J449" i="24"/>
  <c r="M449" i="24"/>
  <c r="E450" i="24"/>
  <c r="I450" i="24" s="1"/>
  <c r="J450" i="24"/>
  <c r="E451" i="24"/>
  <c r="M451" i="24" s="1"/>
  <c r="I451" i="24"/>
  <c r="J451" i="24"/>
  <c r="E452" i="24"/>
  <c r="I452" i="24" s="1"/>
  <c r="J452" i="24"/>
  <c r="E453" i="24"/>
  <c r="J453" i="24"/>
  <c r="E454" i="24"/>
  <c r="I454" i="24" s="1"/>
  <c r="J454" i="24"/>
  <c r="E455" i="24"/>
  <c r="J455" i="24"/>
  <c r="E458" i="24"/>
  <c r="J458" i="24"/>
  <c r="E459" i="24"/>
  <c r="M459" i="24" s="1"/>
  <c r="I459" i="24"/>
  <c r="J459" i="24"/>
  <c r="E460" i="24"/>
  <c r="I460" i="24" s="1"/>
  <c r="J460" i="24"/>
  <c r="E461" i="24"/>
  <c r="I461" i="24" s="1"/>
  <c r="J461" i="24"/>
  <c r="E462" i="24"/>
  <c r="I462" i="24"/>
  <c r="J462" i="24"/>
  <c r="M462" i="24"/>
  <c r="N462" i="24" s="1"/>
  <c r="E463" i="24"/>
  <c r="I463" i="24"/>
  <c r="J463" i="24"/>
  <c r="M463" i="24"/>
  <c r="E464" i="24"/>
  <c r="I464" i="24" s="1"/>
  <c r="J464" i="24"/>
  <c r="E465" i="24"/>
  <c r="I465" i="24" s="1"/>
  <c r="J465" i="24"/>
  <c r="E466" i="24"/>
  <c r="J466" i="24"/>
  <c r="E467" i="24"/>
  <c r="I467" i="24" s="1"/>
  <c r="J467" i="24"/>
  <c r="E468" i="24"/>
  <c r="I468" i="24" s="1"/>
  <c r="J468" i="24"/>
  <c r="E469" i="24"/>
  <c r="I469" i="24" s="1"/>
  <c r="J469" i="24"/>
  <c r="E470" i="24"/>
  <c r="M470" i="24" s="1"/>
  <c r="J470" i="24"/>
  <c r="E471" i="24"/>
  <c r="I471" i="24" s="1"/>
  <c r="J471" i="24"/>
  <c r="M471" i="24"/>
  <c r="E472" i="24"/>
  <c r="I472" i="24" s="1"/>
  <c r="J472" i="24"/>
  <c r="E473" i="24"/>
  <c r="J473" i="24"/>
  <c r="E474" i="24"/>
  <c r="I474" i="24"/>
  <c r="J474" i="24"/>
  <c r="M474" i="24"/>
  <c r="E475" i="24"/>
  <c r="I475" i="24" s="1"/>
  <c r="J475" i="24"/>
  <c r="E476" i="24"/>
  <c r="I476" i="24" s="1"/>
  <c r="J476" i="24"/>
  <c r="E477" i="24"/>
  <c r="I477" i="24"/>
  <c r="J477" i="24"/>
  <c r="M477" i="24"/>
  <c r="E480" i="24"/>
  <c r="I480" i="24"/>
  <c r="J480" i="24"/>
  <c r="M480" i="24"/>
  <c r="N480" i="24" s="1"/>
  <c r="O480" i="24" s="1"/>
  <c r="E481" i="24"/>
  <c r="M481" i="24" s="1"/>
  <c r="I481" i="24"/>
  <c r="J481" i="24"/>
  <c r="E482" i="24"/>
  <c r="I482" i="24" s="1"/>
  <c r="J482" i="24"/>
  <c r="E483" i="24"/>
  <c r="J483" i="24"/>
  <c r="E484" i="24"/>
  <c r="I484" i="24" s="1"/>
  <c r="J484" i="24"/>
  <c r="E485" i="24"/>
  <c r="I485" i="24"/>
  <c r="J485" i="24"/>
  <c r="M485" i="24"/>
  <c r="E486" i="24"/>
  <c r="I486" i="24" s="1"/>
  <c r="J486" i="24"/>
  <c r="E487" i="24"/>
  <c r="M487" i="24" s="1"/>
  <c r="J487" i="24"/>
  <c r="E488" i="24"/>
  <c r="I488" i="24" s="1"/>
  <c r="J488" i="24"/>
  <c r="E489" i="24"/>
  <c r="J489" i="24"/>
  <c r="E490" i="24"/>
  <c r="I490" i="24" s="1"/>
  <c r="J490" i="24"/>
  <c r="E491" i="24"/>
  <c r="M491" i="24" s="1"/>
  <c r="I491" i="24"/>
  <c r="J491" i="24"/>
  <c r="E492" i="24"/>
  <c r="J492" i="24"/>
  <c r="E493" i="24"/>
  <c r="M493" i="24" s="1"/>
  <c r="J493" i="24"/>
  <c r="E494" i="24"/>
  <c r="I494" i="24" s="1"/>
  <c r="J494" i="24"/>
  <c r="E495" i="24"/>
  <c r="I495" i="24" s="1"/>
  <c r="J495" i="24"/>
  <c r="E496" i="24"/>
  <c r="J496" i="24"/>
  <c r="E497" i="24"/>
  <c r="J497" i="24"/>
  <c r="E498" i="24"/>
  <c r="I498" i="24" s="1"/>
  <c r="J498" i="24"/>
  <c r="E499" i="24"/>
  <c r="I499" i="24" s="1"/>
  <c r="J499" i="24"/>
  <c r="M499" i="24"/>
  <c r="E502" i="24"/>
  <c r="J502" i="24"/>
  <c r="E503" i="24"/>
  <c r="I503" i="24" s="1"/>
  <c r="J503" i="24"/>
  <c r="M503" i="24"/>
  <c r="N503" i="24" s="1"/>
  <c r="O503" i="24" s="1"/>
  <c r="E504" i="24"/>
  <c r="I504" i="24" s="1"/>
  <c r="J504" i="24"/>
  <c r="E505" i="24"/>
  <c r="I505" i="24" s="1"/>
  <c r="J505" i="24"/>
  <c r="E506" i="24"/>
  <c r="M506" i="24" s="1"/>
  <c r="N506" i="24" s="1"/>
  <c r="I506" i="24"/>
  <c r="J506" i="24"/>
  <c r="E507" i="24"/>
  <c r="I507" i="24" s="1"/>
  <c r="J507" i="24"/>
  <c r="E508" i="24"/>
  <c r="I508" i="24" s="1"/>
  <c r="J508" i="24"/>
  <c r="E509" i="24"/>
  <c r="M509" i="24" s="1"/>
  <c r="N509" i="24" s="1"/>
  <c r="I509" i="24"/>
  <c r="J509" i="24"/>
  <c r="E510" i="24"/>
  <c r="J510" i="24"/>
  <c r="E511" i="24"/>
  <c r="J511" i="24"/>
  <c r="E512" i="24"/>
  <c r="I512" i="24" s="1"/>
  <c r="J512" i="24"/>
  <c r="E513" i="24"/>
  <c r="I513" i="24"/>
  <c r="J513" i="24"/>
  <c r="M513" i="24"/>
  <c r="E514" i="24"/>
  <c r="I514" i="24"/>
  <c r="J514" i="24"/>
  <c r="M514" i="24"/>
  <c r="N514" i="24" s="1"/>
  <c r="E515" i="24"/>
  <c r="M515" i="24" s="1"/>
  <c r="J515" i="24"/>
  <c r="E516" i="24"/>
  <c r="I516" i="24" s="1"/>
  <c r="J516" i="24"/>
  <c r="E517" i="24"/>
  <c r="I517" i="24" s="1"/>
  <c r="J517" i="24"/>
  <c r="M517" i="24"/>
  <c r="E518" i="24"/>
  <c r="I518" i="24" s="1"/>
  <c r="J518" i="24"/>
  <c r="M518" i="24"/>
  <c r="N518" i="24" s="1"/>
  <c r="O518" i="24" s="1"/>
  <c r="E519" i="24"/>
  <c r="I519" i="24"/>
  <c r="J519" i="24"/>
  <c r="M519" i="24"/>
  <c r="N519" i="24" s="1"/>
  <c r="O519" i="24" s="1"/>
  <c r="E520" i="24"/>
  <c r="I520" i="24" s="1"/>
  <c r="J520" i="24"/>
  <c r="E521" i="24"/>
  <c r="I521" i="24" s="1"/>
  <c r="J521" i="24"/>
  <c r="M521" i="24"/>
  <c r="E8" i="23"/>
  <c r="I8" i="23" s="1"/>
  <c r="J8" i="23"/>
  <c r="E9" i="23"/>
  <c r="J9" i="23"/>
  <c r="E10" i="23"/>
  <c r="I10" i="23" s="1"/>
  <c r="J10" i="23"/>
  <c r="E11" i="23"/>
  <c r="I11" i="23" s="1"/>
  <c r="J11" i="23"/>
  <c r="E12" i="23"/>
  <c r="I12" i="23" s="1"/>
  <c r="J12" i="23"/>
  <c r="E13" i="23"/>
  <c r="I13" i="23" s="1"/>
  <c r="J13" i="23"/>
  <c r="E14" i="23"/>
  <c r="I14" i="23" s="1"/>
  <c r="J14" i="23"/>
  <c r="M14" i="23"/>
  <c r="E15" i="23"/>
  <c r="I15" i="23" s="1"/>
  <c r="J15" i="23"/>
  <c r="E16" i="23"/>
  <c r="I16" i="23" s="1"/>
  <c r="J16" i="23"/>
  <c r="E17" i="23"/>
  <c r="J17" i="23"/>
  <c r="E18" i="23"/>
  <c r="I18" i="23" s="1"/>
  <c r="J18" i="23"/>
  <c r="E19" i="23"/>
  <c r="I19" i="23" s="1"/>
  <c r="J19" i="23"/>
  <c r="M19" i="23"/>
  <c r="N19" i="23" s="1"/>
  <c r="E20" i="23"/>
  <c r="I20" i="23" s="1"/>
  <c r="J20" i="23"/>
  <c r="E21" i="23"/>
  <c r="I21" i="23" s="1"/>
  <c r="J21" i="23"/>
  <c r="E22" i="23"/>
  <c r="I22" i="23" s="1"/>
  <c r="J22" i="23"/>
  <c r="E23" i="23"/>
  <c r="J23" i="23"/>
  <c r="E24" i="23"/>
  <c r="I24" i="23" s="1"/>
  <c r="J24" i="23"/>
  <c r="E25" i="23"/>
  <c r="I25" i="23" s="1"/>
  <c r="J25" i="23"/>
  <c r="M25" i="23"/>
  <c r="E26" i="23"/>
  <c r="I26" i="23" s="1"/>
  <c r="J26" i="23"/>
  <c r="M26" i="23"/>
  <c r="N26" i="23" s="1"/>
  <c r="O26" i="23" s="1"/>
  <c r="E27" i="23"/>
  <c r="I27" i="23"/>
  <c r="J27" i="23"/>
  <c r="M27" i="23"/>
  <c r="N27" i="23" s="1"/>
  <c r="O27" i="23" s="1"/>
  <c r="E28" i="23"/>
  <c r="I28" i="23" s="1"/>
  <c r="J28" i="23"/>
  <c r="E29" i="23"/>
  <c r="I29" i="23"/>
  <c r="J29" i="23"/>
  <c r="M29" i="23"/>
  <c r="N29" i="23" s="1"/>
  <c r="E30" i="23"/>
  <c r="I30" i="23" s="1"/>
  <c r="J30" i="23"/>
  <c r="M30" i="23"/>
  <c r="E33" i="23"/>
  <c r="J33" i="23"/>
  <c r="E34" i="23"/>
  <c r="I34" i="23" s="1"/>
  <c r="J34" i="23"/>
  <c r="E37" i="23"/>
  <c r="J37" i="23"/>
  <c r="E38" i="23"/>
  <c r="I38" i="23" s="1"/>
  <c r="J38" i="23"/>
  <c r="E39" i="23"/>
  <c r="J39" i="23"/>
  <c r="E40" i="23"/>
  <c r="I40" i="23" s="1"/>
  <c r="J40" i="23"/>
  <c r="E41" i="23"/>
  <c r="J41" i="23"/>
  <c r="E42" i="23"/>
  <c r="I42" i="23" s="1"/>
  <c r="J42" i="23"/>
  <c r="E43" i="23"/>
  <c r="I43" i="23" s="1"/>
  <c r="J43" i="23"/>
  <c r="E44" i="23"/>
  <c r="I44" i="23" s="1"/>
  <c r="J44" i="23"/>
  <c r="E45" i="23"/>
  <c r="J45" i="23"/>
  <c r="E46" i="23"/>
  <c r="I46" i="23" s="1"/>
  <c r="J46" i="23"/>
  <c r="E49" i="23"/>
  <c r="I49" i="23" s="1"/>
  <c r="J49" i="23"/>
  <c r="E50" i="23"/>
  <c r="I50" i="23" s="1"/>
  <c r="J50" i="23"/>
  <c r="E51" i="23"/>
  <c r="I51" i="23"/>
  <c r="J51" i="23"/>
  <c r="M51" i="23"/>
  <c r="E52" i="23"/>
  <c r="I52" i="23" s="1"/>
  <c r="J52" i="23"/>
  <c r="M52" i="23"/>
  <c r="E53" i="23"/>
  <c r="I53" i="23" s="1"/>
  <c r="J53" i="23"/>
  <c r="M53" i="23"/>
  <c r="N53" i="23" s="1"/>
  <c r="E54" i="23"/>
  <c r="I54" i="23" s="1"/>
  <c r="J54" i="23"/>
  <c r="E57" i="23"/>
  <c r="M57" i="23" s="1"/>
  <c r="I57" i="23"/>
  <c r="J57" i="23"/>
  <c r="E58" i="23"/>
  <c r="I58" i="23" s="1"/>
  <c r="J58" i="23"/>
  <c r="E59" i="23"/>
  <c r="I59" i="23" s="1"/>
  <c r="J59" i="23"/>
  <c r="E60" i="23"/>
  <c r="I60" i="23" s="1"/>
  <c r="J60" i="23"/>
  <c r="E61" i="23"/>
  <c r="I61" i="23" s="1"/>
  <c r="J61" i="23"/>
  <c r="E62" i="23"/>
  <c r="I62" i="23" s="1"/>
  <c r="J62" i="23"/>
  <c r="E63" i="23"/>
  <c r="M63" i="23" s="1"/>
  <c r="N63" i="23" s="1"/>
  <c r="I63" i="23"/>
  <c r="J63" i="23"/>
  <c r="E64" i="23"/>
  <c r="I64" i="23" s="1"/>
  <c r="J64" i="23"/>
  <c r="E65" i="23"/>
  <c r="I65" i="23" s="1"/>
  <c r="J65" i="23"/>
  <c r="M65" i="23"/>
  <c r="N65" i="23" s="1"/>
  <c r="E68" i="23"/>
  <c r="I68" i="23" s="1"/>
  <c r="J68" i="23"/>
  <c r="E69" i="23"/>
  <c r="J69" i="23"/>
  <c r="E70" i="23"/>
  <c r="I70" i="23" s="1"/>
  <c r="J70" i="23"/>
  <c r="E71" i="23"/>
  <c r="J71" i="23"/>
  <c r="E72" i="23"/>
  <c r="I72" i="23" s="1"/>
  <c r="J72" i="23"/>
  <c r="M72" i="23"/>
  <c r="N72" i="23" s="1"/>
  <c r="E73" i="23"/>
  <c r="I73" i="23"/>
  <c r="J73" i="23"/>
  <c r="M73" i="23"/>
  <c r="E74" i="23"/>
  <c r="I74" i="23" s="1"/>
  <c r="J74" i="23"/>
  <c r="E75" i="23"/>
  <c r="M75" i="23" s="1"/>
  <c r="I75" i="23"/>
  <c r="J75" i="23"/>
  <c r="E76" i="23"/>
  <c r="I76" i="23" s="1"/>
  <c r="J76" i="23"/>
  <c r="M76" i="23"/>
  <c r="N76" i="23" s="1"/>
  <c r="E77" i="23"/>
  <c r="I77" i="23"/>
  <c r="J77" i="23"/>
  <c r="M77" i="23"/>
  <c r="E80" i="23"/>
  <c r="I80" i="23" s="1"/>
  <c r="J80" i="23"/>
  <c r="E81" i="23"/>
  <c r="I81" i="23"/>
  <c r="J81" i="23"/>
  <c r="M81" i="23"/>
  <c r="N81" i="23" s="1"/>
  <c r="O81" i="23" s="1"/>
  <c r="E82" i="23"/>
  <c r="I82" i="23" s="1"/>
  <c r="J82" i="23"/>
  <c r="E83" i="23"/>
  <c r="I83" i="23" s="1"/>
  <c r="J83" i="23"/>
  <c r="E84" i="23"/>
  <c r="I84" i="23" s="1"/>
  <c r="J84" i="23"/>
  <c r="E85" i="23"/>
  <c r="I85" i="23"/>
  <c r="J85" i="23"/>
  <c r="M85" i="23"/>
  <c r="N85" i="23" s="1"/>
  <c r="O85" i="23" s="1"/>
  <c r="E88" i="23"/>
  <c r="I88" i="23" s="1"/>
  <c r="J88" i="23"/>
  <c r="E89" i="23"/>
  <c r="I89" i="23" s="1"/>
  <c r="J89" i="23"/>
  <c r="E90" i="23"/>
  <c r="I90" i="23" s="1"/>
  <c r="J90" i="23"/>
  <c r="E93" i="23"/>
  <c r="J93" i="23"/>
  <c r="E94" i="23"/>
  <c r="I94" i="23" s="1"/>
  <c r="J94" i="23"/>
  <c r="E95" i="23"/>
  <c r="I95" i="23" s="1"/>
  <c r="J95" i="23"/>
  <c r="M95" i="23"/>
  <c r="E96" i="23"/>
  <c r="I96" i="23" s="1"/>
  <c r="J96" i="23"/>
  <c r="E97" i="23"/>
  <c r="J97" i="23"/>
  <c r="E98" i="23"/>
  <c r="I98" i="23" s="1"/>
  <c r="J98" i="23"/>
  <c r="E99" i="23"/>
  <c r="I99" i="23"/>
  <c r="J99" i="23"/>
  <c r="M99" i="23"/>
  <c r="N99" i="23" s="1"/>
  <c r="O99" i="23" s="1"/>
  <c r="E100" i="23"/>
  <c r="I100" i="23" s="1"/>
  <c r="J100" i="23"/>
  <c r="E101" i="23"/>
  <c r="I101" i="23" s="1"/>
  <c r="J101" i="23"/>
  <c r="E102" i="23"/>
  <c r="I102" i="23"/>
  <c r="J102" i="23"/>
  <c r="M102" i="23"/>
  <c r="N102" i="23" s="1"/>
  <c r="O102" i="23" s="1"/>
  <c r="E103" i="23"/>
  <c r="I103" i="23" s="1"/>
  <c r="J103" i="23"/>
  <c r="E104" i="23"/>
  <c r="M104" i="23" s="1"/>
  <c r="N104" i="23" s="1"/>
  <c r="I104" i="23"/>
  <c r="J104" i="23"/>
  <c r="E105" i="23"/>
  <c r="J105" i="23"/>
  <c r="E108" i="23"/>
  <c r="M108" i="23" s="1"/>
  <c r="I108" i="23"/>
  <c r="J108" i="23"/>
  <c r="E109" i="23"/>
  <c r="J109" i="23"/>
  <c r="E110" i="23"/>
  <c r="M110" i="23" s="1"/>
  <c r="I110" i="23"/>
  <c r="J110" i="23"/>
  <c r="E111" i="23"/>
  <c r="J111" i="23"/>
  <c r="E112" i="23"/>
  <c r="J112" i="23"/>
  <c r="E115" i="23"/>
  <c r="J115" i="23"/>
  <c r="E116" i="23"/>
  <c r="J116" i="23"/>
  <c r="E117" i="23"/>
  <c r="I117" i="23" s="1"/>
  <c r="J117" i="23"/>
  <c r="M117" i="23"/>
  <c r="E118" i="23"/>
  <c r="I118" i="23" s="1"/>
  <c r="J118" i="23"/>
  <c r="E119" i="23"/>
  <c r="I119" i="23" s="1"/>
  <c r="J119" i="23"/>
  <c r="E120" i="23"/>
  <c r="M120" i="23" s="1"/>
  <c r="J120" i="23"/>
  <c r="E121" i="23"/>
  <c r="I121" i="23"/>
  <c r="J121" i="23"/>
  <c r="M121" i="23"/>
  <c r="N121" i="23" s="1"/>
  <c r="O121" i="23" s="1"/>
  <c r="E122" i="23"/>
  <c r="I122" i="23" s="1"/>
  <c r="J122" i="23"/>
  <c r="E123" i="23"/>
  <c r="I123" i="23"/>
  <c r="J123" i="23"/>
  <c r="M123" i="23"/>
  <c r="N123" i="23" s="1"/>
  <c r="E124" i="23"/>
  <c r="I124" i="23" s="1"/>
  <c r="J124" i="23"/>
  <c r="E125" i="23"/>
  <c r="I125" i="23"/>
  <c r="J125" i="23"/>
  <c r="M125" i="23"/>
  <c r="N125" i="23" s="1"/>
  <c r="O125" i="23" s="1"/>
  <c r="E126" i="23"/>
  <c r="I126" i="23" s="1"/>
  <c r="J126" i="23"/>
  <c r="E127" i="23"/>
  <c r="I127" i="23"/>
  <c r="J127" i="23"/>
  <c r="M127" i="23"/>
  <c r="N127" i="23" s="1"/>
  <c r="E130" i="23"/>
  <c r="I130" i="23" s="1"/>
  <c r="J130" i="23"/>
  <c r="E131" i="23"/>
  <c r="I131" i="23"/>
  <c r="J131" i="23"/>
  <c r="M131" i="23"/>
  <c r="N131" i="23" s="1"/>
  <c r="O131" i="23" s="1"/>
  <c r="E132" i="23"/>
  <c r="I132" i="23" s="1"/>
  <c r="J132" i="23"/>
  <c r="E133" i="23"/>
  <c r="I133" i="23"/>
  <c r="J133" i="23"/>
  <c r="M133" i="23"/>
  <c r="N133" i="23" s="1"/>
  <c r="E134" i="23"/>
  <c r="I134" i="23" s="1"/>
  <c r="J134" i="23"/>
  <c r="E135" i="23"/>
  <c r="I135" i="23"/>
  <c r="J135" i="23"/>
  <c r="M135" i="23"/>
  <c r="N135" i="23" s="1"/>
  <c r="O135" i="23" s="1"/>
  <c r="E138" i="23"/>
  <c r="I138" i="23" s="1"/>
  <c r="J138" i="23"/>
  <c r="E139" i="23"/>
  <c r="I139" i="23"/>
  <c r="J139" i="23"/>
  <c r="M139" i="23"/>
  <c r="N139" i="23" s="1"/>
  <c r="E140" i="23"/>
  <c r="I140" i="23" s="1"/>
  <c r="J140" i="23"/>
  <c r="E141" i="23"/>
  <c r="I141" i="23"/>
  <c r="J141" i="23"/>
  <c r="M141" i="23"/>
  <c r="N141" i="23" s="1"/>
  <c r="O141" i="23" s="1"/>
  <c r="E142" i="23"/>
  <c r="I142" i="23" s="1"/>
  <c r="J142" i="23"/>
  <c r="E143" i="23"/>
  <c r="I143" i="23"/>
  <c r="J143" i="23"/>
  <c r="M143" i="23"/>
  <c r="N143" i="23" s="1"/>
  <c r="E144" i="23"/>
  <c r="I144" i="23" s="1"/>
  <c r="J144" i="23"/>
  <c r="E145" i="23"/>
  <c r="I145" i="23"/>
  <c r="J145" i="23"/>
  <c r="M145" i="23"/>
  <c r="N145" i="23" s="1"/>
  <c r="O145" i="23" s="1"/>
  <c r="E146" i="23"/>
  <c r="I146" i="23" s="1"/>
  <c r="J146" i="23"/>
  <c r="E147" i="23"/>
  <c r="I147" i="23"/>
  <c r="J147" i="23"/>
  <c r="M147" i="23"/>
  <c r="N147" i="23" s="1"/>
  <c r="E150" i="23"/>
  <c r="I150" i="23" s="1"/>
  <c r="J150" i="23"/>
  <c r="E151" i="23"/>
  <c r="I151" i="23"/>
  <c r="J151" i="23"/>
  <c r="M151" i="23"/>
  <c r="N151" i="23" s="1"/>
  <c r="O151" i="23" s="1"/>
  <c r="E152" i="23"/>
  <c r="I152" i="23" s="1"/>
  <c r="J152" i="23"/>
  <c r="E153" i="23"/>
  <c r="I153" i="23"/>
  <c r="J153" i="23"/>
  <c r="M153" i="23"/>
  <c r="N153" i="23" s="1"/>
  <c r="E154" i="23"/>
  <c r="I154" i="23" s="1"/>
  <c r="J154" i="23"/>
  <c r="E155" i="23"/>
  <c r="I155" i="23"/>
  <c r="J155" i="23"/>
  <c r="M155" i="23"/>
  <c r="N155" i="23" s="1"/>
  <c r="O155" i="23" s="1"/>
  <c r="E156" i="23"/>
  <c r="I156" i="23" s="1"/>
  <c r="J156" i="23"/>
  <c r="E157" i="23"/>
  <c r="I157" i="23"/>
  <c r="J157" i="23"/>
  <c r="M157" i="23"/>
  <c r="N157" i="23" s="1"/>
  <c r="E158" i="23"/>
  <c r="I158" i="23" s="1"/>
  <c r="J158" i="23"/>
  <c r="E159" i="23"/>
  <c r="I159" i="23"/>
  <c r="J159" i="23"/>
  <c r="M159" i="23"/>
  <c r="N159" i="23" s="1"/>
  <c r="O159" i="23" s="1"/>
  <c r="E160" i="23"/>
  <c r="I160" i="23" s="1"/>
  <c r="J160" i="23"/>
  <c r="E161" i="23"/>
  <c r="I161" i="23"/>
  <c r="J161" i="23"/>
  <c r="M161" i="23"/>
  <c r="N161" i="23" s="1"/>
  <c r="E164" i="23"/>
  <c r="I164" i="23" s="1"/>
  <c r="J164" i="23"/>
  <c r="E165" i="23"/>
  <c r="I165" i="23"/>
  <c r="J165" i="23"/>
  <c r="M165" i="23"/>
  <c r="N165" i="23" s="1"/>
  <c r="O165" i="23" s="1"/>
  <c r="E166" i="23"/>
  <c r="I166" i="23" s="1"/>
  <c r="J166" i="23"/>
  <c r="E167" i="23"/>
  <c r="I167" i="23"/>
  <c r="J167" i="23"/>
  <c r="M167" i="23"/>
  <c r="N167" i="23" s="1"/>
  <c r="E168" i="23"/>
  <c r="I168" i="23" s="1"/>
  <c r="J168" i="23"/>
  <c r="E169" i="23"/>
  <c r="I169" i="23"/>
  <c r="J169" i="23"/>
  <c r="M169" i="23"/>
  <c r="N169" i="23" s="1"/>
  <c r="O169" i="23" s="1"/>
  <c r="E172" i="23"/>
  <c r="I172" i="23" s="1"/>
  <c r="J172" i="23"/>
  <c r="E173" i="23"/>
  <c r="I173" i="23"/>
  <c r="J173" i="23"/>
  <c r="M173" i="23"/>
  <c r="N173" i="23" s="1"/>
  <c r="E174" i="23"/>
  <c r="I174" i="23" s="1"/>
  <c r="J174" i="23"/>
  <c r="E175" i="23"/>
  <c r="I175" i="23"/>
  <c r="J175" i="23"/>
  <c r="M175" i="23"/>
  <c r="N175" i="23" s="1"/>
  <c r="O175" i="23" s="1"/>
  <c r="E176" i="23"/>
  <c r="I176" i="23" s="1"/>
  <c r="J176" i="23"/>
  <c r="E177" i="23"/>
  <c r="I177" i="23"/>
  <c r="J177" i="23"/>
  <c r="M177" i="23"/>
  <c r="N177" i="23" s="1"/>
  <c r="E178" i="23"/>
  <c r="I178" i="23" s="1"/>
  <c r="J178" i="23"/>
  <c r="E181" i="23"/>
  <c r="I181" i="23"/>
  <c r="J181" i="23"/>
  <c r="M181" i="23"/>
  <c r="N181" i="23" s="1"/>
  <c r="O181" i="23" s="1"/>
  <c r="E182" i="23"/>
  <c r="I182" i="23" s="1"/>
  <c r="J182" i="23"/>
  <c r="E183" i="23"/>
  <c r="I183" i="23"/>
  <c r="J183" i="23"/>
  <c r="M183" i="23"/>
  <c r="N183" i="23" s="1"/>
  <c r="E184" i="23"/>
  <c r="I184" i="23" s="1"/>
  <c r="J184" i="23"/>
  <c r="E185" i="23"/>
  <c r="I185" i="23"/>
  <c r="J185" i="23"/>
  <c r="M185" i="23"/>
  <c r="N185" i="23" s="1"/>
  <c r="O185" i="23" s="1"/>
  <c r="E186" i="23"/>
  <c r="I186" i="23" s="1"/>
  <c r="J186" i="23"/>
  <c r="E189" i="23"/>
  <c r="I189" i="23"/>
  <c r="J189" i="23"/>
  <c r="M189" i="23"/>
  <c r="N189" i="23" s="1"/>
  <c r="E190" i="23"/>
  <c r="I190" i="23" s="1"/>
  <c r="J190" i="23"/>
  <c r="E191" i="23"/>
  <c r="I191" i="23"/>
  <c r="J191" i="23"/>
  <c r="M191" i="23"/>
  <c r="N191" i="23" s="1"/>
  <c r="O191" i="23" s="1"/>
  <c r="E192" i="23"/>
  <c r="I192" i="23" s="1"/>
  <c r="J192" i="23"/>
  <c r="E193" i="23"/>
  <c r="I193" i="23"/>
  <c r="J193" i="23"/>
  <c r="M193" i="23"/>
  <c r="N193" i="23" s="1"/>
  <c r="E194" i="23"/>
  <c r="I194" i="23" s="1"/>
  <c r="J194" i="23"/>
  <c r="E195" i="23"/>
  <c r="I195" i="23"/>
  <c r="J195" i="23"/>
  <c r="M195" i="23"/>
  <c r="N195" i="23" s="1"/>
  <c r="O195" i="23" s="1"/>
  <c r="E196" i="23"/>
  <c r="I196" i="23" s="1"/>
  <c r="J196" i="23"/>
  <c r="E199" i="23"/>
  <c r="I199" i="23"/>
  <c r="J199" i="23"/>
  <c r="M199" i="23"/>
  <c r="N199" i="23" s="1"/>
  <c r="E200" i="23"/>
  <c r="I200" i="23" s="1"/>
  <c r="J200" i="23"/>
  <c r="E201" i="23"/>
  <c r="I201" i="23"/>
  <c r="J201" i="23"/>
  <c r="M201" i="23"/>
  <c r="N201" i="23" s="1"/>
  <c r="O201" i="23" s="1"/>
  <c r="E202" i="23"/>
  <c r="I202" i="23" s="1"/>
  <c r="J202" i="23"/>
  <c r="E203" i="23"/>
  <c r="I203" i="23"/>
  <c r="J203" i="23"/>
  <c r="M203" i="23"/>
  <c r="N203" i="23" s="1"/>
  <c r="E204" i="23"/>
  <c r="I204" i="23" s="1"/>
  <c r="J204" i="23"/>
  <c r="E207" i="23"/>
  <c r="I207" i="23"/>
  <c r="J207" i="23"/>
  <c r="M207" i="23"/>
  <c r="N207" i="23" s="1"/>
  <c r="O207" i="23" s="1"/>
  <c r="E208" i="23"/>
  <c r="I208" i="23" s="1"/>
  <c r="J208" i="23"/>
  <c r="E209" i="23"/>
  <c r="I209" i="23"/>
  <c r="J209" i="23"/>
  <c r="M209" i="23"/>
  <c r="N209" i="23" s="1"/>
  <c r="E210" i="23"/>
  <c r="I210" i="23" s="1"/>
  <c r="J210" i="23"/>
  <c r="E211" i="23"/>
  <c r="I211" i="23"/>
  <c r="J211" i="23"/>
  <c r="M211" i="23"/>
  <c r="N211" i="23" s="1"/>
  <c r="O211" i="23" s="1"/>
  <c r="E212" i="23"/>
  <c r="I212" i="23" s="1"/>
  <c r="J212" i="23"/>
  <c r="E213" i="23"/>
  <c r="I213" i="23"/>
  <c r="J213" i="23"/>
  <c r="M213" i="23"/>
  <c r="N213" i="23" s="1"/>
  <c r="E214" i="23"/>
  <c r="I214" i="23" s="1"/>
  <c r="J214" i="23"/>
  <c r="E215" i="23"/>
  <c r="I215" i="23"/>
  <c r="J215" i="23"/>
  <c r="M215" i="23"/>
  <c r="N215" i="23" s="1"/>
  <c r="O215" i="23" s="1"/>
  <c r="E216" i="23"/>
  <c r="I216" i="23" s="1"/>
  <c r="J216" i="23"/>
  <c r="E217" i="23"/>
  <c r="I217" i="23"/>
  <c r="J217" i="23"/>
  <c r="M217" i="23"/>
  <c r="N217" i="23" s="1"/>
  <c r="E218" i="23"/>
  <c r="I218" i="23" s="1"/>
  <c r="J218" i="23"/>
  <c r="E219" i="23"/>
  <c r="I219" i="23"/>
  <c r="J219" i="23"/>
  <c r="M219" i="23"/>
  <c r="N219" i="23" s="1"/>
  <c r="O219" i="23" s="1"/>
  <c r="E220" i="23"/>
  <c r="I220" i="23" s="1"/>
  <c r="J220" i="23"/>
  <c r="E221" i="23"/>
  <c r="I221" i="23"/>
  <c r="J221" i="23"/>
  <c r="M221" i="23"/>
  <c r="N221" i="23" s="1"/>
  <c r="E222" i="23"/>
  <c r="I222" i="23" s="1"/>
  <c r="J222" i="23"/>
  <c r="E223" i="23"/>
  <c r="I223" i="23"/>
  <c r="J223" i="23"/>
  <c r="M223" i="23"/>
  <c r="N223" i="23" s="1"/>
  <c r="O223" i="23" s="1"/>
  <c r="E226" i="23"/>
  <c r="I226" i="23" s="1"/>
  <c r="J226" i="23"/>
  <c r="E227" i="23"/>
  <c r="I227" i="23"/>
  <c r="J227" i="23"/>
  <c r="M227" i="23"/>
  <c r="N227" i="23" s="1"/>
  <c r="E228" i="23"/>
  <c r="I228" i="23" s="1"/>
  <c r="J228" i="23"/>
  <c r="E229" i="23"/>
  <c r="I229" i="23"/>
  <c r="J229" i="23"/>
  <c r="M229" i="23"/>
  <c r="N229" i="23" s="1"/>
  <c r="O229" i="23" s="1"/>
  <c r="E230" i="23"/>
  <c r="I230" i="23" s="1"/>
  <c r="J230" i="23"/>
  <c r="E231" i="23"/>
  <c r="I231" i="23"/>
  <c r="J231" i="23"/>
  <c r="M231" i="23"/>
  <c r="N231" i="23" s="1"/>
  <c r="E232" i="23"/>
  <c r="I232" i="23" s="1"/>
  <c r="J232" i="23"/>
  <c r="E233" i="23"/>
  <c r="I233" i="23"/>
  <c r="J233" i="23"/>
  <c r="M233" i="23"/>
  <c r="N233" i="23" s="1"/>
  <c r="O233" i="23" s="1"/>
  <c r="E234" i="23"/>
  <c r="I234" i="23" s="1"/>
  <c r="J234" i="23"/>
  <c r="E235" i="23"/>
  <c r="I235" i="23"/>
  <c r="J235" i="23"/>
  <c r="M235" i="23"/>
  <c r="N235" i="23" s="1"/>
  <c r="E236" i="23"/>
  <c r="I236" i="23" s="1"/>
  <c r="J236" i="23"/>
  <c r="E237" i="23"/>
  <c r="I237" i="23"/>
  <c r="J237" i="23"/>
  <c r="M237" i="23"/>
  <c r="N237" i="23" s="1"/>
  <c r="O237" i="23" s="1"/>
  <c r="E238" i="23"/>
  <c r="I238" i="23" s="1"/>
  <c r="J238" i="23"/>
  <c r="E239" i="23"/>
  <c r="I239" i="23"/>
  <c r="J239" i="23"/>
  <c r="M239" i="23"/>
  <c r="N239" i="23" s="1"/>
  <c r="E240" i="23"/>
  <c r="I240" i="23" s="1"/>
  <c r="J240" i="23"/>
  <c r="E243" i="23"/>
  <c r="I243" i="23"/>
  <c r="J243" i="23"/>
  <c r="M243" i="23"/>
  <c r="N243" i="23" s="1"/>
  <c r="O243" i="23" s="1"/>
  <c r="E244" i="23"/>
  <c r="I244" i="23" s="1"/>
  <c r="J244" i="23"/>
  <c r="E245" i="23"/>
  <c r="I245" i="23"/>
  <c r="J245" i="23"/>
  <c r="M245" i="23"/>
  <c r="N245" i="23" s="1"/>
  <c r="E246" i="23"/>
  <c r="I246" i="23" s="1"/>
  <c r="J246" i="23"/>
  <c r="E247" i="23"/>
  <c r="I247" i="23"/>
  <c r="J247" i="23"/>
  <c r="M247" i="23"/>
  <c r="N247" i="23" s="1"/>
  <c r="O247" i="23" s="1"/>
  <c r="E248" i="23"/>
  <c r="I248" i="23" s="1"/>
  <c r="J248" i="23"/>
  <c r="E249" i="23"/>
  <c r="I249" i="23"/>
  <c r="J249" i="23"/>
  <c r="M249" i="23"/>
  <c r="N249" i="23" s="1"/>
  <c r="O239" i="23" l="1"/>
  <c r="O231" i="23"/>
  <c r="O213" i="23"/>
  <c r="O203" i="23"/>
  <c r="O183" i="23"/>
  <c r="O173" i="23"/>
  <c r="O161" i="23"/>
  <c r="O157" i="23"/>
  <c r="O153" i="23"/>
  <c r="O147" i="23"/>
  <c r="O143" i="23"/>
  <c r="O139" i="23"/>
  <c r="O133" i="23"/>
  <c r="O127" i="23"/>
  <c r="O123" i="23"/>
  <c r="M119" i="23"/>
  <c r="N119" i="23" s="1"/>
  <c r="O119" i="23" s="1"/>
  <c r="M109" i="23"/>
  <c r="N109" i="23" s="1"/>
  <c r="O109" i="23" s="1"/>
  <c r="I109" i="23"/>
  <c r="M94" i="23"/>
  <c r="N94" i="23" s="1"/>
  <c r="I93" i="23"/>
  <c r="M93" i="23"/>
  <c r="M59" i="23"/>
  <c r="N59" i="23" s="1"/>
  <c r="M46" i="23"/>
  <c r="N46" i="23" s="1"/>
  <c r="O46" i="23" s="1"/>
  <c r="I45" i="23"/>
  <c r="O45" i="23" s="1"/>
  <c r="M45" i="23"/>
  <c r="N45" i="23" s="1"/>
  <c r="M41" i="23"/>
  <c r="N41" i="23" s="1"/>
  <c r="I41" i="23"/>
  <c r="I39" i="23"/>
  <c r="M39" i="23"/>
  <c r="M37" i="23"/>
  <c r="N37" i="23" s="1"/>
  <c r="O37" i="23" s="1"/>
  <c r="I37" i="23"/>
  <c r="I33" i="23"/>
  <c r="M33" i="23"/>
  <c r="I17" i="23"/>
  <c r="M17" i="23"/>
  <c r="N17" i="23" s="1"/>
  <c r="O17" i="23" s="1"/>
  <c r="M11" i="23"/>
  <c r="N11" i="23" s="1"/>
  <c r="O514" i="24"/>
  <c r="M507" i="24"/>
  <c r="N507" i="24" s="1"/>
  <c r="M473" i="24"/>
  <c r="N473" i="24" s="1"/>
  <c r="I473" i="24"/>
  <c r="M467" i="24"/>
  <c r="M455" i="24"/>
  <c r="I455" i="24"/>
  <c r="M431" i="24"/>
  <c r="N431" i="24" s="1"/>
  <c r="O431" i="24" s="1"/>
  <c r="M376" i="24"/>
  <c r="N376" i="24" s="1"/>
  <c r="O376" i="24" s="1"/>
  <c r="I376" i="24"/>
  <c r="O166" i="26"/>
  <c r="O249" i="23"/>
  <c r="O245" i="23"/>
  <c r="O235" i="23"/>
  <c r="O227" i="23"/>
  <c r="O221" i="23"/>
  <c r="O217" i="23"/>
  <c r="O209" i="23"/>
  <c r="O199" i="23"/>
  <c r="O193" i="23"/>
  <c r="O189" i="23"/>
  <c r="O177" i="23"/>
  <c r="O167" i="23"/>
  <c r="M116" i="23"/>
  <c r="I116" i="23"/>
  <c r="M112" i="23"/>
  <c r="N112" i="23" s="1"/>
  <c r="I112" i="23"/>
  <c r="M105" i="23"/>
  <c r="N105" i="23" s="1"/>
  <c r="O105" i="23" s="1"/>
  <c r="I105" i="23"/>
  <c r="M497" i="24"/>
  <c r="I497" i="24"/>
  <c r="M484" i="24"/>
  <c r="N484" i="24" s="1"/>
  <c r="O484" i="24" s="1"/>
  <c r="O462" i="24"/>
  <c r="M461" i="24"/>
  <c r="M444" i="24"/>
  <c r="N444" i="24" s="1"/>
  <c r="O444" i="24" s="1"/>
  <c r="M443" i="24"/>
  <c r="I443" i="24"/>
  <c r="M399" i="24"/>
  <c r="N399" i="24" s="1"/>
  <c r="I399" i="24"/>
  <c r="M97" i="23"/>
  <c r="N97" i="23" s="1"/>
  <c r="O97" i="23" s="1"/>
  <c r="I97" i="23"/>
  <c r="I9" i="23"/>
  <c r="M9" i="23"/>
  <c r="N9" i="23" s="1"/>
  <c r="M510" i="24"/>
  <c r="N510" i="24" s="1"/>
  <c r="O510" i="24" s="1"/>
  <c r="I510" i="24"/>
  <c r="M458" i="24"/>
  <c r="N458" i="24" s="1"/>
  <c r="I458" i="24"/>
  <c r="I407" i="24"/>
  <c r="M407" i="24"/>
  <c r="N407" i="24" s="1"/>
  <c r="I383" i="24"/>
  <c r="M383" i="24"/>
  <c r="N383" i="24" s="1"/>
  <c r="O9" i="25"/>
  <c r="M115" i="23"/>
  <c r="I115" i="23"/>
  <c r="M111" i="23"/>
  <c r="I111" i="23"/>
  <c r="M71" i="23"/>
  <c r="N71" i="23" s="1"/>
  <c r="I71" i="23"/>
  <c r="I69" i="23"/>
  <c r="M69" i="23"/>
  <c r="N69" i="23" s="1"/>
  <c r="M23" i="23"/>
  <c r="N23" i="23" s="1"/>
  <c r="I23" i="23"/>
  <c r="M496" i="24"/>
  <c r="N496" i="24" s="1"/>
  <c r="O496" i="24" s="1"/>
  <c r="I496" i="24"/>
  <c r="M492" i="24"/>
  <c r="N492" i="24" s="1"/>
  <c r="I492" i="24"/>
  <c r="M440" i="24"/>
  <c r="N440" i="24" s="1"/>
  <c r="O440" i="24" s="1"/>
  <c r="I440" i="24"/>
  <c r="N117" i="23"/>
  <c r="O117" i="23" s="1"/>
  <c r="M88" i="23"/>
  <c r="N88" i="23" s="1"/>
  <c r="O88" i="23" s="1"/>
  <c r="N75" i="23"/>
  <c r="O75" i="23" s="1"/>
  <c r="M68" i="23"/>
  <c r="N68" i="23" s="1"/>
  <c r="O68" i="23" s="1"/>
  <c r="N57" i="23"/>
  <c r="O57" i="23" s="1"/>
  <c r="M38" i="23"/>
  <c r="N38" i="23" s="1"/>
  <c r="N30" i="23"/>
  <c r="N25" i="23"/>
  <c r="M22" i="23"/>
  <c r="N515" i="24"/>
  <c r="O509" i="24"/>
  <c r="O506" i="24"/>
  <c r="N493" i="24"/>
  <c r="N474" i="24"/>
  <c r="N471" i="24"/>
  <c r="N470" i="24"/>
  <c r="N429" i="24"/>
  <c r="O423" i="24"/>
  <c r="I418" i="24"/>
  <c r="I409" i="24"/>
  <c r="O405" i="24"/>
  <c r="O400" i="24"/>
  <c r="N393" i="24"/>
  <c r="I392" i="24"/>
  <c r="O389" i="24"/>
  <c r="N385" i="24"/>
  <c r="N382" i="24"/>
  <c r="N379" i="24"/>
  <c r="I378" i="24"/>
  <c r="O378" i="24" s="1"/>
  <c r="M375" i="24"/>
  <c r="I366" i="24"/>
  <c r="I361" i="24"/>
  <c r="O360" i="24"/>
  <c r="M356" i="24"/>
  <c r="N356" i="24" s="1"/>
  <c r="O356" i="24" s="1"/>
  <c r="M355" i="24"/>
  <c r="N350" i="24"/>
  <c r="I348" i="24"/>
  <c r="N338" i="24"/>
  <c r="O338" i="24" s="1"/>
  <c r="M334" i="24"/>
  <c r="N334" i="24" s="1"/>
  <c r="M331" i="24"/>
  <c r="N331" i="24" s="1"/>
  <c r="M330" i="24"/>
  <c r="N330" i="24" s="1"/>
  <c r="O330" i="24" s="1"/>
  <c r="I326" i="24"/>
  <c r="O326" i="24" s="1"/>
  <c r="M321" i="24"/>
  <c r="M311" i="24"/>
  <c r="N299" i="24"/>
  <c r="N291" i="24"/>
  <c r="M289" i="24"/>
  <c r="N289" i="24" s="1"/>
  <c r="O289" i="24" s="1"/>
  <c r="M286" i="24"/>
  <c r="N286" i="24" s="1"/>
  <c r="O286" i="24" s="1"/>
  <c r="I282" i="24"/>
  <c r="M276" i="24"/>
  <c r="N275" i="24"/>
  <c r="N274" i="24"/>
  <c r="N262" i="24"/>
  <c r="I260" i="24"/>
  <c r="O253" i="24"/>
  <c r="N244" i="24"/>
  <c r="I242" i="24"/>
  <c r="O242" i="24" s="1"/>
  <c r="N226" i="24"/>
  <c r="N220" i="24"/>
  <c r="N219" i="24"/>
  <c r="N212" i="24"/>
  <c r="O212" i="24" s="1"/>
  <c r="I186" i="24"/>
  <c r="I185" i="24"/>
  <c r="O185" i="24" s="1"/>
  <c r="I184" i="24"/>
  <c r="M182" i="24"/>
  <c r="N182" i="24" s="1"/>
  <c r="O182" i="24" s="1"/>
  <c r="M181" i="24"/>
  <c r="M180" i="24"/>
  <c r="N180" i="24" s="1"/>
  <c r="N178" i="24"/>
  <c r="O178" i="24" s="1"/>
  <c r="I176" i="24"/>
  <c r="M166" i="24"/>
  <c r="N166" i="24" s="1"/>
  <c r="O166" i="24" s="1"/>
  <c r="I162" i="24"/>
  <c r="O145" i="24"/>
  <c r="N138" i="24"/>
  <c r="M136" i="24"/>
  <c r="I135" i="24"/>
  <c r="I103" i="24"/>
  <c r="I102" i="24"/>
  <c r="O101" i="24"/>
  <c r="I87" i="24"/>
  <c r="O86" i="24"/>
  <c r="I81" i="24"/>
  <c r="O81" i="24" s="1"/>
  <c r="N73" i="24"/>
  <c r="O73" i="24" s="1"/>
  <c r="M56" i="24"/>
  <c r="M55" i="24"/>
  <c r="N55" i="24" s="1"/>
  <c r="O55" i="24" s="1"/>
  <c r="M31" i="24"/>
  <c r="N31" i="24" s="1"/>
  <c r="O31" i="24" s="1"/>
  <c r="I138" i="25"/>
  <c r="N113" i="25"/>
  <c r="I110" i="25"/>
  <c r="M106" i="25"/>
  <c r="N106" i="25" s="1"/>
  <c r="O106" i="25" s="1"/>
  <c r="M96" i="25"/>
  <c r="N85" i="25"/>
  <c r="I65" i="25"/>
  <c r="I64" i="25"/>
  <c r="O64" i="25" s="1"/>
  <c r="I63" i="25"/>
  <c r="I62" i="25"/>
  <c r="I59" i="25"/>
  <c r="O56" i="25"/>
  <c r="M47" i="25"/>
  <c r="M46" i="25"/>
  <c r="N46" i="25" s="1"/>
  <c r="M45" i="25"/>
  <c r="O43" i="25"/>
  <c r="I41" i="25"/>
  <c r="M37" i="25"/>
  <c r="N37" i="25" s="1"/>
  <c r="N36" i="25"/>
  <c r="N35" i="25"/>
  <c r="I26" i="25"/>
  <c r="M20" i="25"/>
  <c r="N20" i="25" s="1"/>
  <c r="O20" i="25" s="1"/>
  <c r="M19" i="25"/>
  <c r="N19" i="25" s="1"/>
  <c r="O19" i="25" s="1"/>
  <c r="N16" i="25"/>
  <c r="O16" i="25" s="1"/>
  <c r="N14" i="25"/>
  <c r="I12" i="25"/>
  <c r="I11" i="25"/>
  <c r="O11" i="25" s="1"/>
  <c r="I10" i="25"/>
  <c r="I9" i="25"/>
  <c r="I166" i="26"/>
  <c r="I165" i="26"/>
  <c r="O165" i="26" s="1"/>
  <c r="I164" i="26"/>
  <c r="I153" i="26"/>
  <c r="O153" i="26" s="1"/>
  <c r="N152" i="26"/>
  <c r="O152" i="26" s="1"/>
  <c r="N142" i="26"/>
  <c r="N138" i="26"/>
  <c r="N134" i="26"/>
  <c r="N121" i="26"/>
  <c r="N116" i="26"/>
  <c r="N96" i="26"/>
  <c r="M86" i="26"/>
  <c r="N86" i="26" s="1"/>
  <c r="O86" i="26" s="1"/>
  <c r="M85" i="26"/>
  <c r="N85" i="26" s="1"/>
  <c r="O85" i="26" s="1"/>
  <c r="M84" i="26"/>
  <c r="N84" i="26" s="1"/>
  <c r="N82" i="26"/>
  <c r="O77" i="26"/>
  <c r="I74" i="26"/>
  <c r="N71" i="26"/>
  <c r="I59" i="26"/>
  <c r="O59" i="26" s="1"/>
  <c r="M53" i="26"/>
  <c r="I53" i="26"/>
  <c r="N51" i="26"/>
  <c r="N348" i="24"/>
  <c r="O348" i="24" s="1"/>
  <c r="M342" i="24"/>
  <c r="N342" i="24" s="1"/>
  <c r="O339" i="24"/>
  <c r="M320" i="24"/>
  <c r="N320" i="24" s="1"/>
  <c r="M312" i="24"/>
  <c r="N312" i="24" s="1"/>
  <c r="O312" i="24" s="1"/>
  <c r="O260" i="24"/>
  <c r="O135" i="24"/>
  <c r="N56" i="24"/>
  <c r="O56" i="24" s="1"/>
  <c r="O138" i="25"/>
  <c r="O110" i="25"/>
  <c r="O59" i="25"/>
  <c r="O41" i="25"/>
  <c r="O19" i="27"/>
  <c r="N418" i="24"/>
  <c r="O418" i="24" s="1"/>
  <c r="O404" i="24"/>
  <c r="N392" i="24"/>
  <c r="O387" i="24"/>
  <c r="N378" i="24"/>
  <c r="M374" i="24"/>
  <c r="N374" i="24" s="1"/>
  <c r="N366" i="24"/>
  <c r="O364" i="24"/>
  <c r="N361" i="24"/>
  <c r="N120" i="23"/>
  <c r="N108" i="23"/>
  <c r="O108" i="23" s="1"/>
  <c r="N95" i="23"/>
  <c r="O95" i="23" s="1"/>
  <c r="O63" i="23"/>
  <c r="N52" i="23"/>
  <c r="N521" i="24"/>
  <c r="N517" i="24"/>
  <c r="O517" i="24" s="1"/>
  <c r="N499" i="24"/>
  <c r="O499" i="24" s="1"/>
  <c r="M495" i="24"/>
  <c r="N495" i="24" s="1"/>
  <c r="O495" i="24" s="1"/>
  <c r="N487" i="24"/>
  <c r="N481" i="24"/>
  <c r="O481" i="24" s="1"/>
  <c r="M465" i="24"/>
  <c r="N465" i="24" s="1"/>
  <c r="N459" i="24"/>
  <c r="O459" i="24" s="1"/>
  <c r="N451" i="24"/>
  <c r="M448" i="24"/>
  <c r="N448" i="24" s="1"/>
  <c r="O448" i="24" s="1"/>
  <c r="M437" i="24"/>
  <c r="N437" i="24" s="1"/>
  <c r="N436" i="24"/>
  <c r="M408" i="24"/>
  <c r="N408" i="24" s="1"/>
  <c r="O408" i="24" s="1"/>
  <c r="M397" i="24"/>
  <c r="N397" i="24" s="1"/>
  <c r="O397" i="24" s="1"/>
  <c r="M372" i="24"/>
  <c r="N372" i="24" s="1"/>
  <c r="N362" i="24"/>
  <c r="I359" i="24"/>
  <c r="I352" i="24"/>
  <c r="O352" i="24" s="1"/>
  <c r="N351" i="24"/>
  <c r="N344" i="24"/>
  <c r="I337" i="24"/>
  <c r="I332" i="24"/>
  <c r="I322" i="24"/>
  <c r="I315" i="24"/>
  <c r="M293" i="24"/>
  <c r="O283" i="24"/>
  <c r="I273" i="24"/>
  <c r="N270" i="24"/>
  <c r="I268" i="24"/>
  <c r="N263" i="24"/>
  <c r="O263" i="24" s="1"/>
  <c r="N252" i="24"/>
  <c r="I250" i="24"/>
  <c r="N234" i="24"/>
  <c r="I232" i="24"/>
  <c r="I200" i="24"/>
  <c r="I188" i="24"/>
  <c r="O187" i="24"/>
  <c r="I147" i="24"/>
  <c r="N142" i="24"/>
  <c r="I137" i="24"/>
  <c r="N132" i="24"/>
  <c r="I130" i="24"/>
  <c r="I114" i="24"/>
  <c r="I89" i="24"/>
  <c r="O74" i="24"/>
  <c r="N69" i="24"/>
  <c r="O69" i="24" s="1"/>
  <c r="N65" i="24"/>
  <c r="N64" i="24"/>
  <c r="I59" i="24"/>
  <c r="N43" i="24"/>
  <c r="I26" i="24"/>
  <c r="I22" i="24"/>
  <c r="M20" i="24"/>
  <c r="N20" i="24" s="1"/>
  <c r="O20" i="24" s="1"/>
  <c r="I18" i="24"/>
  <c r="N135" i="25"/>
  <c r="O135" i="25" s="1"/>
  <c r="O130" i="25"/>
  <c r="N117" i="25"/>
  <c r="I114" i="25"/>
  <c r="N89" i="25"/>
  <c r="I79" i="25"/>
  <c r="N66" i="25"/>
  <c r="N54" i="25"/>
  <c r="O54" i="25" s="1"/>
  <c r="N49" i="25"/>
  <c r="I48" i="25"/>
  <c r="N34" i="25"/>
  <c r="O24" i="25"/>
  <c r="I21" i="25"/>
  <c r="N150" i="26"/>
  <c r="I147" i="26"/>
  <c r="N141" i="26"/>
  <c r="N117" i="26"/>
  <c r="I115" i="26"/>
  <c r="N108" i="26"/>
  <c r="N104" i="26"/>
  <c r="N102" i="26"/>
  <c r="N100" i="26"/>
  <c r="I87" i="26"/>
  <c r="I79" i="26"/>
  <c r="N76" i="26"/>
  <c r="N72" i="26"/>
  <c r="O72" i="26" s="1"/>
  <c r="I70" i="26"/>
  <c r="N57" i="26"/>
  <c r="O57" i="26" s="1"/>
  <c r="M52" i="26"/>
  <c r="N52" i="26" s="1"/>
  <c r="I52" i="26"/>
  <c r="N50" i="26"/>
  <c r="O185" i="27"/>
  <c r="M297" i="24"/>
  <c r="N297" i="24" s="1"/>
  <c r="M294" i="24"/>
  <c r="N294" i="24" s="1"/>
  <c r="N273" i="24"/>
  <c r="N268" i="24"/>
  <c r="O268" i="24" s="1"/>
  <c r="N250" i="24"/>
  <c r="O250" i="24" s="1"/>
  <c r="N232" i="24"/>
  <c r="M213" i="24"/>
  <c r="N213" i="24" s="1"/>
  <c r="N200" i="24"/>
  <c r="O200" i="24" s="1"/>
  <c r="M173" i="24"/>
  <c r="N173" i="24" s="1"/>
  <c r="O173" i="24" s="1"/>
  <c r="N147" i="24"/>
  <c r="O141" i="24"/>
  <c r="O139" i="24"/>
  <c r="N137" i="24"/>
  <c r="O137" i="24" s="1"/>
  <c r="M121" i="24"/>
  <c r="N114" i="24"/>
  <c r="O99" i="24"/>
  <c r="M84" i="24"/>
  <c r="N84" i="24" s="1"/>
  <c r="O84" i="24" s="1"/>
  <c r="M70" i="24"/>
  <c r="N70" i="24" s="1"/>
  <c r="O70" i="24" s="1"/>
  <c r="M66" i="24"/>
  <c r="N59" i="24"/>
  <c r="O59" i="24" s="1"/>
  <c r="O41" i="24"/>
  <c r="M36" i="24"/>
  <c r="N36" i="24" s="1"/>
  <c r="N26" i="24"/>
  <c r="O139" i="25"/>
  <c r="M118" i="25"/>
  <c r="N118" i="25" s="1"/>
  <c r="N114" i="25"/>
  <c r="M101" i="25"/>
  <c r="N101" i="25" s="1"/>
  <c r="M33" i="25"/>
  <c r="N33" i="25" s="1"/>
  <c r="O33" i="25" s="1"/>
  <c r="N21" i="25"/>
  <c r="O161" i="26"/>
  <c r="N147" i="26"/>
  <c r="O147" i="26" s="1"/>
  <c r="O145" i="26"/>
  <c r="O124" i="26"/>
  <c r="N115" i="26"/>
  <c r="O115" i="26" s="1"/>
  <c r="O99" i="26"/>
  <c r="O97" i="26"/>
  <c r="O94" i="26"/>
  <c r="N70" i="26"/>
  <c r="O60" i="26"/>
  <c r="O160" i="27"/>
  <c r="O93" i="27"/>
  <c r="O92" i="27"/>
  <c r="O45" i="29"/>
  <c r="O30" i="29"/>
  <c r="I51" i="26"/>
  <c r="I50" i="26"/>
  <c r="I30" i="26"/>
  <c r="O30" i="26" s="1"/>
  <c r="M28" i="26"/>
  <c r="N28" i="26" s="1"/>
  <c r="O28" i="26" s="1"/>
  <c r="M27" i="26"/>
  <c r="N27" i="26" s="1"/>
  <c r="O27" i="26" s="1"/>
  <c r="N194" i="27"/>
  <c r="I190" i="27"/>
  <c r="I185" i="27"/>
  <c r="I184" i="27"/>
  <c r="M182" i="27"/>
  <c r="N182" i="27" s="1"/>
  <c r="O182" i="27" s="1"/>
  <c r="M176" i="27"/>
  <c r="N176" i="27" s="1"/>
  <c r="O176" i="27" s="1"/>
  <c r="I160" i="27"/>
  <c r="I159" i="27"/>
  <c r="O159" i="27" s="1"/>
  <c r="M157" i="27"/>
  <c r="N157" i="27" s="1"/>
  <c r="M151" i="27"/>
  <c r="N151" i="27" s="1"/>
  <c r="O151" i="27" s="1"/>
  <c r="M150" i="27"/>
  <c r="N150" i="27" s="1"/>
  <c r="I148" i="27"/>
  <c r="M140" i="27"/>
  <c r="N140" i="27" s="1"/>
  <c r="M135" i="27"/>
  <c r="N135" i="27" s="1"/>
  <c r="O135" i="27" s="1"/>
  <c r="M134" i="27"/>
  <c r="N134" i="27" s="1"/>
  <c r="M88" i="27"/>
  <c r="N88" i="27" s="1"/>
  <c r="O88" i="27" s="1"/>
  <c r="M87" i="27"/>
  <c r="N87" i="27" s="1"/>
  <c r="M84" i="27"/>
  <c r="N84" i="27" s="1"/>
  <c r="O84" i="27" s="1"/>
  <c r="N66" i="27"/>
  <c r="O66" i="27" s="1"/>
  <c r="I63" i="27"/>
  <c r="I62" i="27"/>
  <c r="O62" i="27" s="1"/>
  <c r="I59" i="27"/>
  <c r="O59" i="27" s="1"/>
  <c r="N50" i="27"/>
  <c r="O50" i="27" s="1"/>
  <c r="O46" i="27"/>
  <c r="O32" i="27"/>
  <c r="M27" i="27"/>
  <c r="N27" i="27" s="1"/>
  <c r="O27" i="27" s="1"/>
  <c r="I22" i="27"/>
  <c r="I19" i="27"/>
  <c r="I13" i="27"/>
  <c r="I10" i="27"/>
  <c r="N9" i="27"/>
  <c r="O9" i="27" s="1"/>
  <c r="M15" i="28"/>
  <c r="N15" i="28" s="1"/>
  <c r="M110" i="29"/>
  <c r="I101" i="29"/>
  <c r="M96" i="29"/>
  <c r="N96" i="29" s="1"/>
  <c r="O96" i="29" s="1"/>
  <c r="N83" i="29"/>
  <c r="O83" i="29" s="1"/>
  <c r="I63" i="29"/>
  <c r="M61" i="29"/>
  <c r="N61" i="29" s="1"/>
  <c r="M58" i="29"/>
  <c r="N58" i="29" s="1"/>
  <c r="O58" i="29" s="1"/>
  <c r="M57" i="29"/>
  <c r="N57" i="29" s="1"/>
  <c r="M50" i="29"/>
  <c r="M37" i="29"/>
  <c r="M36" i="29"/>
  <c r="N36" i="29" s="1"/>
  <c r="O36" i="29" s="1"/>
  <c r="I33" i="29"/>
  <c r="N32" i="29"/>
  <c r="O32" i="29" s="1"/>
  <c r="I25" i="29"/>
  <c r="M22" i="29"/>
  <c r="N22" i="29" s="1"/>
  <c r="O22" i="29" s="1"/>
  <c r="M19" i="29"/>
  <c r="N19" i="29" s="1"/>
  <c r="O19" i="29" s="1"/>
  <c r="M18" i="29"/>
  <c r="M17" i="29"/>
  <c r="N17" i="29" s="1"/>
  <c r="O17" i="29" s="1"/>
  <c r="N14" i="29"/>
  <c r="O14" i="29" s="1"/>
  <c r="N12" i="29"/>
  <c r="I8" i="29"/>
  <c r="O43" i="26"/>
  <c r="O42" i="26"/>
  <c r="N30" i="26"/>
  <c r="O19" i="26"/>
  <c r="N8" i="26"/>
  <c r="O8" i="26" s="1"/>
  <c r="O193" i="27"/>
  <c r="M192" i="27"/>
  <c r="N192" i="27" s="1"/>
  <c r="O168" i="27"/>
  <c r="I94" i="27"/>
  <c r="I73" i="27"/>
  <c r="N63" i="27"/>
  <c r="O63" i="27" s="1"/>
  <c r="N54" i="27"/>
  <c r="O54" i="27" s="1"/>
  <c r="M56" i="28"/>
  <c r="N56" i="28" s="1"/>
  <c r="O56" i="28" s="1"/>
  <c r="N101" i="29"/>
  <c r="M79" i="29"/>
  <c r="O66" i="29"/>
  <c r="N63" i="29"/>
  <c r="O63" i="29" s="1"/>
  <c r="O54" i="29"/>
  <c r="O52" i="29"/>
  <c r="N43" i="29"/>
  <c r="O43" i="29" s="1"/>
  <c r="I35" i="29"/>
  <c r="O35" i="29" s="1"/>
  <c r="I29" i="29"/>
  <c r="O29" i="29" s="1"/>
  <c r="N27" i="29"/>
  <c r="O27" i="29" s="1"/>
  <c r="O11" i="29"/>
  <c r="N8" i="29"/>
  <c r="O8" i="29" s="1"/>
  <c r="N54" i="26"/>
  <c r="N35" i="26"/>
  <c r="N32" i="26"/>
  <c r="I17" i="26"/>
  <c r="M198" i="27"/>
  <c r="N198" i="27" s="1"/>
  <c r="N172" i="27"/>
  <c r="N143" i="27"/>
  <c r="O143" i="27" s="1"/>
  <c r="N142" i="27"/>
  <c r="O142" i="27" s="1"/>
  <c r="N131" i="27"/>
  <c r="O131" i="27" s="1"/>
  <c r="N126" i="27"/>
  <c r="O126" i="27" s="1"/>
  <c r="N125" i="27"/>
  <c r="O125" i="27" s="1"/>
  <c r="N122" i="27"/>
  <c r="O122" i="27" s="1"/>
  <c r="N121" i="27"/>
  <c r="N118" i="27"/>
  <c r="O118" i="27" s="1"/>
  <c r="N117" i="27"/>
  <c r="O117" i="27" s="1"/>
  <c r="N114" i="27"/>
  <c r="O114" i="27" s="1"/>
  <c r="N113" i="27"/>
  <c r="O113" i="27" s="1"/>
  <c r="N109" i="27"/>
  <c r="O109" i="27" s="1"/>
  <c r="N108" i="27"/>
  <c r="O108" i="27" s="1"/>
  <c r="N105" i="27"/>
  <c r="O105" i="27" s="1"/>
  <c r="N104" i="27"/>
  <c r="N101" i="27"/>
  <c r="O101" i="27" s="1"/>
  <c r="N100" i="27"/>
  <c r="N97" i="27"/>
  <c r="O97" i="27" s="1"/>
  <c r="N96" i="27"/>
  <c r="O96" i="27" s="1"/>
  <c r="I81" i="27"/>
  <c r="N73" i="27"/>
  <c r="I69" i="27"/>
  <c r="O69" i="27" s="1"/>
  <c r="I28" i="27"/>
  <c r="O28" i="27" s="1"/>
  <c r="I9" i="28"/>
  <c r="N116" i="29"/>
  <c r="O116" i="29" s="1"/>
  <c r="I111" i="29"/>
  <c r="O111" i="29" s="1"/>
  <c r="O106" i="29"/>
  <c r="N92" i="29"/>
  <c r="O64" i="29"/>
  <c r="I51" i="29"/>
  <c r="O51" i="29" s="1"/>
  <c r="O48" i="29"/>
  <c r="N40" i="29"/>
  <c r="O40" i="29" s="1"/>
  <c r="N39" i="29"/>
  <c r="I38" i="29"/>
  <c r="I30" i="29"/>
  <c r="I20" i="29"/>
  <c r="N8" i="30"/>
  <c r="N13" i="30"/>
  <c r="M14" i="30"/>
  <c r="N14" i="30" s="1"/>
  <c r="I14" i="30"/>
  <c r="M11" i="30"/>
  <c r="N11" i="30" s="1"/>
  <c r="O11" i="30" s="1"/>
  <c r="I13" i="30"/>
  <c r="O13" i="30" s="1"/>
  <c r="M9" i="30"/>
  <c r="N9" i="30" s="1"/>
  <c r="O9" i="30" s="1"/>
  <c r="I16" i="30"/>
  <c r="O16" i="30" s="1"/>
  <c r="I10" i="30"/>
  <c r="I8" i="30"/>
  <c r="I15" i="30"/>
  <c r="O15" i="30" s="1"/>
  <c r="I17" i="30"/>
  <c r="O17" i="30" s="1"/>
  <c r="N10" i="30"/>
  <c r="O39" i="29"/>
  <c r="O61" i="29"/>
  <c r="O16" i="29"/>
  <c r="N110" i="29"/>
  <c r="O110" i="29" s="1"/>
  <c r="N79" i="29"/>
  <c r="O79" i="29" s="1"/>
  <c r="M75" i="29"/>
  <c r="I59" i="29"/>
  <c r="N55" i="29"/>
  <c r="O55" i="29" s="1"/>
  <c r="N50" i="29"/>
  <c r="O50" i="29" s="1"/>
  <c r="M47" i="29"/>
  <c r="N47" i="29" s="1"/>
  <c r="O47" i="29" s="1"/>
  <c r="N31" i="29"/>
  <c r="O31" i="29" s="1"/>
  <c r="N20" i="29"/>
  <c r="O20" i="29" s="1"/>
  <c r="O15" i="29"/>
  <c r="M13" i="29"/>
  <c r="N13" i="29" s="1"/>
  <c r="O13" i="29" s="1"/>
  <c r="O92" i="29"/>
  <c r="N75" i="29"/>
  <c r="O75" i="29" s="1"/>
  <c r="N59" i="29"/>
  <c r="O59" i="29" s="1"/>
  <c r="N25" i="29"/>
  <c r="O57" i="29"/>
  <c r="N71" i="29"/>
  <c r="O71" i="29" s="1"/>
  <c r="O56" i="29"/>
  <c r="M23" i="29"/>
  <c r="N23" i="29" s="1"/>
  <c r="O23" i="29" s="1"/>
  <c r="M21" i="29"/>
  <c r="N21" i="29" s="1"/>
  <c r="O21" i="29" s="1"/>
  <c r="O41" i="29"/>
  <c r="M105" i="29"/>
  <c r="N105" i="29" s="1"/>
  <c r="O105" i="29" s="1"/>
  <c r="M87" i="29"/>
  <c r="M62" i="29"/>
  <c r="N62" i="29" s="1"/>
  <c r="O62" i="29" s="1"/>
  <c r="M60" i="29"/>
  <c r="N60" i="29" s="1"/>
  <c r="O60" i="29" s="1"/>
  <c r="M44" i="29"/>
  <c r="N44" i="29" s="1"/>
  <c r="O44" i="29" s="1"/>
  <c r="N33" i="29"/>
  <c r="O33" i="29" s="1"/>
  <c r="M28" i="29"/>
  <c r="N28" i="29" s="1"/>
  <c r="O28" i="29" s="1"/>
  <c r="M26" i="29"/>
  <c r="N26" i="29" s="1"/>
  <c r="O26" i="29" s="1"/>
  <c r="M10" i="29"/>
  <c r="N10" i="29" s="1"/>
  <c r="O10" i="29" s="1"/>
  <c r="N87" i="29"/>
  <c r="O87" i="29" s="1"/>
  <c r="I42" i="29"/>
  <c r="O42" i="29" s="1"/>
  <c r="N38" i="29"/>
  <c r="N115" i="29"/>
  <c r="O115" i="29" s="1"/>
  <c r="N53" i="29"/>
  <c r="O53" i="29" s="1"/>
  <c r="I46" i="29"/>
  <c r="O46" i="29" s="1"/>
  <c r="N37" i="29"/>
  <c r="O37" i="29" s="1"/>
  <c r="N18" i="29"/>
  <c r="O18" i="29" s="1"/>
  <c r="I12" i="29"/>
  <c r="O12" i="29" s="1"/>
  <c r="M102" i="29"/>
  <c r="N102" i="29" s="1"/>
  <c r="O102" i="29" s="1"/>
  <c r="M97" i="29"/>
  <c r="N97" i="29" s="1"/>
  <c r="O97" i="29" s="1"/>
  <c r="M93" i="29"/>
  <c r="N93" i="29" s="1"/>
  <c r="O93" i="29" s="1"/>
  <c r="M89" i="29"/>
  <c r="N89" i="29" s="1"/>
  <c r="O89" i="29" s="1"/>
  <c r="M84" i="29"/>
  <c r="N84" i="29" s="1"/>
  <c r="O84" i="29" s="1"/>
  <c r="M80" i="29"/>
  <c r="N80" i="29" s="1"/>
  <c r="O80" i="29" s="1"/>
  <c r="M76" i="29"/>
  <c r="N76" i="29" s="1"/>
  <c r="O76" i="29" s="1"/>
  <c r="M72" i="29"/>
  <c r="N72" i="29" s="1"/>
  <c r="O72" i="29" s="1"/>
  <c r="M117" i="29"/>
  <c r="N117" i="29" s="1"/>
  <c r="O117" i="29" s="1"/>
  <c r="M113" i="29"/>
  <c r="N113" i="29" s="1"/>
  <c r="O113" i="29" s="1"/>
  <c r="M108" i="29"/>
  <c r="N108" i="29" s="1"/>
  <c r="O108" i="29" s="1"/>
  <c r="M103" i="29"/>
  <c r="N103" i="29" s="1"/>
  <c r="O103" i="29" s="1"/>
  <c r="M98" i="29"/>
  <c r="N98" i="29" s="1"/>
  <c r="O98" i="29" s="1"/>
  <c r="M94" i="29"/>
  <c r="N94" i="29" s="1"/>
  <c r="O94" i="29" s="1"/>
  <c r="M90" i="29"/>
  <c r="N90" i="29" s="1"/>
  <c r="O90" i="29" s="1"/>
  <c r="M85" i="29"/>
  <c r="N85" i="29" s="1"/>
  <c r="O85" i="29" s="1"/>
  <c r="M81" i="29"/>
  <c r="N81" i="29" s="1"/>
  <c r="O81" i="29" s="1"/>
  <c r="M77" i="29"/>
  <c r="N77" i="29" s="1"/>
  <c r="O77" i="29" s="1"/>
  <c r="M73" i="29"/>
  <c r="N73" i="29" s="1"/>
  <c r="O73" i="29" s="1"/>
  <c r="M67" i="29"/>
  <c r="N67" i="29" s="1"/>
  <c r="O67" i="29" s="1"/>
  <c r="M114" i="29"/>
  <c r="N114" i="29" s="1"/>
  <c r="O114" i="29" s="1"/>
  <c r="M109" i="29"/>
  <c r="N109" i="29" s="1"/>
  <c r="O109" i="29" s="1"/>
  <c r="M104" i="29"/>
  <c r="N104" i="29" s="1"/>
  <c r="O104" i="29" s="1"/>
  <c r="M100" i="29"/>
  <c r="N100" i="29" s="1"/>
  <c r="O100" i="29" s="1"/>
  <c r="M95" i="29"/>
  <c r="N95" i="29" s="1"/>
  <c r="O95" i="29" s="1"/>
  <c r="M91" i="29"/>
  <c r="N91" i="29" s="1"/>
  <c r="O91" i="29" s="1"/>
  <c r="M86" i="29"/>
  <c r="N86" i="29" s="1"/>
  <c r="O86" i="29" s="1"/>
  <c r="M82" i="29"/>
  <c r="N82" i="29" s="1"/>
  <c r="O82" i="29" s="1"/>
  <c r="M78" i="29"/>
  <c r="N78" i="29" s="1"/>
  <c r="O78" i="29" s="1"/>
  <c r="M74" i="29"/>
  <c r="N74" i="29" s="1"/>
  <c r="O74" i="29" s="1"/>
  <c r="M68" i="29"/>
  <c r="N68" i="29" s="1"/>
  <c r="O68" i="29" s="1"/>
  <c r="I52" i="28"/>
  <c r="I13" i="28"/>
  <c r="N52" i="28"/>
  <c r="N9" i="28"/>
  <c r="O9" i="28" s="1"/>
  <c r="N58" i="28"/>
  <c r="M50" i="28"/>
  <c r="N50" i="28" s="1"/>
  <c r="O50" i="28" s="1"/>
  <c r="M21" i="28"/>
  <c r="N21" i="28" s="1"/>
  <c r="O21" i="28" s="1"/>
  <c r="N6" i="28"/>
  <c r="I41" i="28"/>
  <c r="I17" i="28"/>
  <c r="M60" i="28"/>
  <c r="N60" i="28" s="1"/>
  <c r="O60" i="28" s="1"/>
  <c r="I47" i="28"/>
  <c r="M43" i="28"/>
  <c r="N43" i="28" s="1"/>
  <c r="O43" i="28" s="1"/>
  <c r="I30" i="28"/>
  <c r="M26" i="28"/>
  <c r="N26" i="28" s="1"/>
  <c r="M34" i="28"/>
  <c r="N34" i="28" s="1"/>
  <c r="O34" i="28" s="1"/>
  <c r="I58" i="28"/>
  <c r="O58" i="28" s="1"/>
  <c r="I24" i="28"/>
  <c r="O24" i="28" s="1"/>
  <c r="I6" i="28"/>
  <c r="N41" i="28"/>
  <c r="N13" i="28"/>
  <c r="M54" i="28"/>
  <c r="N54" i="28" s="1"/>
  <c r="O54" i="28" s="1"/>
  <c r="M45" i="28"/>
  <c r="N45" i="28" s="1"/>
  <c r="O45" i="28" s="1"/>
  <c r="M37" i="28"/>
  <c r="N37" i="28" s="1"/>
  <c r="O37" i="28" s="1"/>
  <c r="M28" i="28"/>
  <c r="N28" i="28" s="1"/>
  <c r="O28" i="28" s="1"/>
  <c r="M19" i="28"/>
  <c r="N19" i="28" s="1"/>
  <c r="O19" i="28" s="1"/>
  <c r="M11" i="28"/>
  <c r="N11" i="28" s="1"/>
  <c r="O11" i="28" s="1"/>
  <c r="N47" i="28"/>
  <c r="N39" i="28"/>
  <c r="O39" i="28" s="1"/>
  <c r="N30" i="28"/>
  <c r="O30" i="28" s="1"/>
  <c r="O32" i="28"/>
  <c r="O26" i="28"/>
  <c r="O17" i="28"/>
  <c r="O15" i="28"/>
  <c r="M61" i="28"/>
  <c r="N61" i="28" s="1"/>
  <c r="O61" i="28" s="1"/>
  <c r="M59" i="28"/>
  <c r="N59" i="28" s="1"/>
  <c r="O59" i="28" s="1"/>
  <c r="M57" i="28"/>
  <c r="N57" i="28" s="1"/>
  <c r="O57" i="28" s="1"/>
  <c r="M55" i="28"/>
  <c r="N55" i="28" s="1"/>
  <c r="O55" i="28" s="1"/>
  <c r="M53" i="28"/>
  <c r="N53" i="28" s="1"/>
  <c r="O53" i="28" s="1"/>
  <c r="M51" i="28"/>
  <c r="N51" i="28" s="1"/>
  <c r="O51" i="28" s="1"/>
  <c r="M48" i="28"/>
  <c r="N48" i="28" s="1"/>
  <c r="O48" i="28" s="1"/>
  <c r="M46" i="28"/>
  <c r="N46" i="28" s="1"/>
  <c r="O46" i="28" s="1"/>
  <c r="M44" i="28"/>
  <c r="N44" i="28" s="1"/>
  <c r="O44" i="28" s="1"/>
  <c r="M42" i="28"/>
  <c r="N42" i="28" s="1"/>
  <c r="O42" i="28" s="1"/>
  <c r="M40" i="28"/>
  <c r="N40" i="28" s="1"/>
  <c r="O40" i="28" s="1"/>
  <c r="M38" i="28"/>
  <c r="N38" i="28" s="1"/>
  <c r="O38" i="28" s="1"/>
  <c r="M35" i="28"/>
  <c r="N35" i="28" s="1"/>
  <c r="O35" i="28" s="1"/>
  <c r="M33" i="28"/>
  <c r="N33" i="28" s="1"/>
  <c r="O33" i="28" s="1"/>
  <c r="M31" i="28"/>
  <c r="N31" i="28" s="1"/>
  <c r="O31" i="28" s="1"/>
  <c r="M29" i="28"/>
  <c r="N29" i="28" s="1"/>
  <c r="O29" i="28" s="1"/>
  <c r="M27" i="28"/>
  <c r="N27" i="28" s="1"/>
  <c r="O27" i="28" s="1"/>
  <c r="M25" i="28"/>
  <c r="N25" i="28" s="1"/>
  <c r="O25" i="28" s="1"/>
  <c r="M22" i="28"/>
  <c r="N22" i="28" s="1"/>
  <c r="O22" i="28" s="1"/>
  <c r="M20" i="28"/>
  <c r="N20" i="28" s="1"/>
  <c r="O20" i="28" s="1"/>
  <c r="M18" i="28"/>
  <c r="N18" i="28" s="1"/>
  <c r="O18" i="28" s="1"/>
  <c r="M16" i="28"/>
  <c r="N16" i="28" s="1"/>
  <c r="O16" i="28" s="1"/>
  <c r="M14" i="28"/>
  <c r="N14" i="28" s="1"/>
  <c r="O14" i="28" s="1"/>
  <c r="M12" i="28"/>
  <c r="N12" i="28" s="1"/>
  <c r="O12" i="28" s="1"/>
  <c r="M10" i="28"/>
  <c r="N10" i="28" s="1"/>
  <c r="O10" i="28" s="1"/>
  <c r="M8" i="28"/>
  <c r="N8" i="28" s="1"/>
  <c r="O8" i="28" s="1"/>
  <c r="O25" i="23"/>
  <c r="O9" i="23"/>
  <c r="M83" i="23"/>
  <c r="N83" i="23" s="1"/>
  <c r="O83" i="23" s="1"/>
  <c r="M62" i="23"/>
  <c r="N62" i="23" s="1"/>
  <c r="O62" i="23" s="1"/>
  <c r="M43" i="23"/>
  <c r="N43" i="23" s="1"/>
  <c r="O43" i="23" s="1"/>
  <c r="N22" i="23"/>
  <c r="O22" i="23" s="1"/>
  <c r="N14" i="23"/>
  <c r="O14" i="23" s="1"/>
  <c r="O59" i="23"/>
  <c r="O29" i="23"/>
  <c r="M118" i="23"/>
  <c r="N118" i="23" s="1"/>
  <c r="O118" i="23" s="1"/>
  <c r="O104" i="23"/>
  <c r="N73" i="23"/>
  <c r="O73" i="23" s="1"/>
  <c r="N33" i="23"/>
  <c r="O33" i="23" s="1"/>
  <c r="M244" i="23"/>
  <c r="N244" i="23" s="1"/>
  <c r="O244" i="23" s="1"/>
  <c r="M238" i="23"/>
  <c r="N238" i="23" s="1"/>
  <c r="O238" i="23" s="1"/>
  <c r="M234" i="23"/>
  <c r="N234" i="23" s="1"/>
  <c r="O234" i="23" s="1"/>
  <c r="M230" i="23"/>
  <c r="N230" i="23" s="1"/>
  <c r="O230" i="23" s="1"/>
  <c r="M226" i="23"/>
  <c r="N226" i="23" s="1"/>
  <c r="O226" i="23" s="1"/>
  <c r="M220" i="23"/>
  <c r="N220" i="23" s="1"/>
  <c r="O220" i="23" s="1"/>
  <c r="M216" i="23"/>
  <c r="N216" i="23" s="1"/>
  <c r="O216" i="23" s="1"/>
  <c r="M212" i="23"/>
  <c r="N212" i="23" s="1"/>
  <c r="O212" i="23" s="1"/>
  <c r="M208" i="23"/>
  <c r="N208" i="23" s="1"/>
  <c r="O208" i="23" s="1"/>
  <c r="M202" i="23"/>
  <c r="N202" i="23" s="1"/>
  <c r="O202" i="23" s="1"/>
  <c r="M196" i="23"/>
  <c r="N196" i="23" s="1"/>
  <c r="O196" i="23" s="1"/>
  <c r="M192" i="23"/>
  <c r="N192" i="23" s="1"/>
  <c r="O192" i="23" s="1"/>
  <c r="M186" i="23"/>
  <c r="N186" i="23" s="1"/>
  <c r="O186" i="23" s="1"/>
  <c r="M182" i="23"/>
  <c r="N182" i="23" s="1"/>
  <c r="O182" i="23" s="1"/>
  <c r="M176" i="23"/>
  <c r="N176" i="23" s="1"/>
  <c r="O176" i="23" s="1"/>
  <c r="M172" i="23"/>
  <c r="N172" i="23" s="1"/>
  <c r="O172" i="23" s="1"/>
  <c r="M168" i="23"/>
  <c r="N168" i="23" s="1"/>
  <c r="O168" i="23" s="1"/>
  <c r="M166" i="23"/>
  <c r="N166" i="23" s="1"/>
  <c r="O166" i="23" s="1"/>
  <c r="M164" i="23"/>
  <c r="N164" i="23" s="1"/>
  <c r="O164" i="23" s="1"/>
  <c r="M160" i="23"/>
  <c r="N160" i="23" s="1"/>
  <c r="O160" i="23" s="1"/>
  <c r="M156" i="23"/>
  <c r="N156" i="23" s="1"/>
  <c r="O156" i="23" s="1"/>
  <c r="M154" i="23"/>
  <c r="N154" i="23" s="1"/>
  <c r="O154" i="23" s="1"/>
  <c r="M152" i="23"/>
  <c r="N152" i="23" s="1"/>
  <c r="O152" i="23" s="1"/>
  <c r="M150" i="23"/>
  <c r="N150" i="23" s="1"/>
  <c r="O150" i="23" s="1"/>
  <c r="M146" i="23"/>
  <c r="N146" i="23" s="1"/>
  <c r="O146" i="23" s="1"/>
  <c r="M144" i="23"/>
  <c r="N144" i="23" s="1"/>
  <c r="O144" i="23" s="1"/>
  <c r="M142" i="23"/>
  <c r="N142" i="23" s="1"/>
  <c r="O142" i="23" s="1"/>
  <c r="M140" i="23"/>
  <c r="N140" i="23" s="1"/>
  <c r="O140" i="23" s="1"/>
  <c r="M138" i="23"/>
  <c r="N138" i="23" s="1"/>
  <c r="O138" i="23" s="1"/>
  <c r="M134" i="23"/>
  <c r="N134" i="23" s="1"/>
  <c r="O134" i="23" s="1"/>
  <c r="M132" i="23"/>
  <c r="N132" i="23" s="1"/>
  <c r="O132" i="23" s="1"/>
  <c r="M130" i="23"/>
  <c r="N130" i="23" s="1"/>
  <c r="O130" i="23" s="1"/>
  <c r="M126" i="23"/>
  <c r="N126" i="23" s="1"/>
  <c r="O126" i="23" s="1"/>
  <c r="M124" i="23"/>
  <c r="N124" i="23" s="1"/>
  <c r="O124" i="23" s="1"/>
  <c r="M122" i="23"/>
  <c r="N122" i="23" s="1"/>
  <c r="O122" i="23" s="1"/>
  <c r="N110" i="23"/>
  <c r="O110" i="23" s="1"/>
  <c r="M103" i="23"/>
  <c r="N103" i="23" s="1"/>
  <c r="O103" i="23" s="1"/>
  <c r="M101" i="23"/>
  <c r="N101" i="23" s="1"/>
  <c r="O101" i="23" s="1"/>
  <c r="M89" i="23"/>
  <c r="N89" i="23" s="1"/>
  <c r="O89" i="23" s="1"/>
  <c r="M61" i="23"/>
  <c r="N61" i="23" s="1"/>
  <c r="O61" i="23" s="1"/>
  <c r="M49" i="23"/>
  <c r="N49" i="23" s="1"/>
  <c r="O49" i="23" s="1"/>
  <c r="M21" i="23"/>
  <c r="N21" i="23" s="1"/>
  <c r="O21" i="23" s="1"/>
  <c r="M13" i="23"/>
  <c r="N13" i="23" s="1"/>
  <c r="O13" i="23" s="1"/>
  <c r="O53" i="23"/>
  <c r="M248" i="23"/>
  <c r="N248" i="23" s="1"/>
  <c r="O248" i="23" s="1"/>
  <c r="M246" i="23"/>
  <c r="N246" i="23" s="1"/>
  <c r="O246" i="23" s="1"/>
  <c r="M240" i="23"/>
  <c r="N240" i="23" s="1"/>
  <c r="O240" i="23" s="1"/>
  <c r="M236" i="23"/>
  <c r="N236" i="23" s="1"/>
  <c r="O236" i="23" s="1"/>
  <c r="M232" i="23"/>
  <c r="N232" i="23" s="1"/>
  <c r="O232" i="23" s="1"/>
  <c r="M228" i="23"/>
  <c r="N228" i="23" s="1"/>
  <c r="O228" i="23" s="1"/>
  <c r="M222" i="23"/>
  <c r="N222" i="23" s="1"/>
  <c r="O222" i="23" s="1"/>
  <c r="M218" i="23"/>
  <c r="N218" i="23" s="1"/>
  <c r="O218" i="23" s="1"/>
  <c r="M214" i="23"/>
  <c r="N214" i="23" s="1"/>
  <c r="O214" i="23" s="1"/>
  <c r="M210" i="23"/>
  <c r="N210" i="23" s="1"/>
  <c r="O210" i="23" s="1"/>
  <c r="M204" i="23"/>
  <c r="N204" i="23" s="1"/>
  <c r="O204" i="23" s="1"/>
  <c r="M200" i="23"/>
  <c r="N200" i="23" s="1"/>
  <c r="O200" i="23" s="1"/>
  <c r="M194" i="23"/>
  <c r="N194" i="23" s="1"/>
  <c r="O194" i="23" s="1"/>
  <c r="M190" i="23"/>
  <c r="N190" i="23" s="1"/>
  <c r="O190" i="23" s="1"/>
  <c r="M184" i="23"/>
  <c r="N184" i="23" s="1"/>
  <c r="O184" i="23" s="1"/>
  <c r="M178" i="23"/>
  <c r="N178" i="23" s="1"/>
  <c r="O178" i="23" s="1"/>
  <c r="M174" i="23"/>
  <c r="N174" i="23" s="1"/>
  <c r="O174" i="23" s="1"/>
  <c r="M158" i="23"/>
  <c r="N158" i="23" s="1"/>
  <c r="O158" i="23" s="1"/>
  <c r="I120" i="23"/>
  <c r="N116" i="23"/>
  <c r="O116" i="23" s="1"/>
  <c r="M82" i="23"/>
  <c r="N82" i="23" s="1"/>
  <c r="O82" i="23" s="1"/>
  <c r="M42" i="23"/>
  <c r="N42" i="23" s="1"/>
  <c r="O42" i="23" s="1"/>
  <c r="M18" i="23"/>
  <c r="N18" i="23" s="1"/>
  <c r="O18" i="23" s="1"/>
  <c r="M10" i="23"/>
  <c r="N10" i="23" s="1"/>
  <c r="O10" i="23" s="1"/>
  <c r="O65" i="23"/>
  <c r="O120" i="23"/>
  <c r="N115" i="23"/>
  <c r="N111" i="23"/>
  <c r="O111" i="23" s="1"/>
  <c r="M98" i="23"/>
  <c r="N98" i="23" s="1"/>
  <c r="O98" i="23" s="1"/>
  <c r="N93" i="23"/>
  <c r="O93" i="23" s="1"/>
  <c r="N77" i="23"/>
  <c r="O77" i="23" s="1"/>
  <c r="M58" i="23"/>
  <c r="N58" i="23" s="1"/>
  <c r="N51" i="23"/>
  <c r="O51" i="23" s="1"/>
  <c r="N39" i="23"/>
  <c r="O39" i="23" s="1"/>
  <c r="M15" i="23"/>
  <c r="N15" i="23" s="1"/>
  <c r="O15" i="23" s="1"/>
  <c r="N467" i="24"/>
  <c r="O467" i="24" s="1"/>
  <c r="M396" i="24"/>
  <c r="N396" i="24" s="1"/>
  <c r="I396" i="24"/>
  <c r="I388" i="24"/>
  <c r="M388" i="24"/>
  <c r="N388" i="24" s="1"/>
  <c r="M371" i="24"/>
  <c r="N371" i="24" s="1"/>
  <c r="I371" i="24"/>
  <c r="O351" i="24"/>
  <c r="M285" i="24"/>
  <c r="N285" i="24" s="1"/>
  <c r="I285" i="24"/>
  <c r="O282" i="24"/>
  <c r="O271" i="24"/>
  <c r="I224" i="24"/>
  <c r="M224" i="24"/>
  <c r="N224" i="24" s="1"/>
  <c r="I210" i="24"/>
  <c r="M210" i="24"/>
  <c r="N210" i="24" s="1"/>
  <c r="I117" i="24"/>
  <c r="M117" i="24"/>
  <c r="O521" i="24"/>
  <c r="M489" i="24"/>
  <c r="N489" i="24" s="1"/>
  <c r="I489" i="24"/>
  <c r="N186" i="24"/>
  <c r="O186" i="24" s="1"/>
  <c r="M133" i="24"/>
  <c r="N133" i="24" s="1"/>
  <c r="O133" i="24" s="1"/>
  <c r="I133" i="24"/>
  <c r="M94" i="24"/>
  <c r="N94" i="24" s="1"/>
  <c r="I94" i="24"/>
  <c r="O87" i="24"/>
  <c r="I511" i="24"/>
  <c r="M511" i="24"/>
  <c r="N511" i="24" s="1"/>
  <c r="O511" i="24" s="1"/>
  <c r="I470" i="24"/>
  <c r="O470" i="24" s="1"/>
  <c r="N461" i="24"/>
  <c r="O461" i="24" s="1"/>
  <c r="O451" i="24"/>
  <c r="I436" i="24"/>
  <c r="N425" i="24"/>
  <c r="O425" i="24" s="1"/>
  <c r="O417" i="24"/>
  <c r="O392" i="24"/>
  <c r="O353" i="24"/>
  <c r="M333" i="24"/>
  <c r="N333" i="24" s="1"/>
  <c r="O333" i="24" s="1"/>
  <c r="I333" i="24"/>
  <c r="O320" i="24"/>
  <c r="M287" i="24"/>
  <c r="N287" i="24" s="1"/>
  <c r="I287" i="24"/>
  <c r="M167" i="24"/>
  <c r="N167" i="24" s="1"/>
  <c r="I167" i="24"/>
  <c r="N158" i="24"/>
  <c r="O158" i="24" s="1"/>
  <c r="M122" i="24"/>
  <c r="N122" i="24" s="1"/>
  <c r="O122" i="24" s="1"/>
  <c r="I122" i="24"/>
  <c r="I37" i="24"/>
  <c r="M37" i="24"/>
  <c r="N37" i="24" s="1"/>
  <c r="O37" i="24" s="1"/>
  <c r="M502" i="24"/>
  <c r="N502" i="24" s="1"/>
  <c r="O502" i="24" s="1"/>
  <c r="I502" i="24"/>
  <c r="N497" i="24"/>
  <c r="M483" i="24"/>
  <c r="N483" i="24" s="1"/>
  <c r="I483" i="24"/>
  <c r="O436" i="24"/>
  <c r="M419" i="24"/>
  <c r="N419" i="24" s="1"/>
  <c r="I419" i="24"/>
  <c r="O381" i="24"/>
  <c r="M373" i="24"/>
  <c r="I373" i="24"/>
  <c r="O361" i="24"/>
  <c r="M341" i="24"/>
  <c r="I341" i="24"/>
  <c r="N188" i="24"/>
  <c r="M319" i="24"/>
  <c r="I319" i="24"/>
  <c r="M301" i="24"/>
  <c r="I301" i="24"/>
  <c r="M466" i="24"/>
  <c r="N466" i="24" s="1"/>
  <c r="I466" i="24"/>
  <c r="M453" i="24"/>
  <c r="N453" i="24" s="1"/>
  <c r="O453" i="24" s="1"/>
  <c r="I453" i="24"/>
  <c r="M430" i="24"/>
  <c r="N430" i="24" s="1"/>
  <c r="I430" i="24"/>
  <c r="M349" i="24"/>
  <c r="N349" i="24" s="1"/>
  <c r="I349" i="24"/>
  <c r="M203" i="24"/>
  <c r="I203" i="24"/>
  <c r="M96" i="24"/>
  <c r="N96" i="24" s="1"/>
  <c r="O96" i="24" s="1"/>
  <c r="I96" i="24"/>
  <c r="O77" i="24"/>
  <c r="I515" i="24"/>
  <c r="O515" i="24" s="1"/>
  <c r="O507" i="24"/>
  <c r="N491" i="24"/>
  <c r="O491" i="24" s="1"/>
  <c r="O465" i="24"/>
  <c r="O429" i="24"/>
  <c r="M411" i="24"/>
  <c r="N411" i="24" s="1"/>
  <c r="O411" i="24" s="1"/>
  <c r="I411" i="24"/>
  <c r="M394" i="24"/>
  <c r="N394" i="24" s="1"/>
  <c r="I394" i="24"/>
  <c r="M386" i="24"/>
  <c r="N386" i="24" s="1"/>
  <c r="I386" i="24"/>
  <c r="M380" i="24"/>
  <c r="N380" i="24" s="1"/>
  <c r="I380" i="24"/>
  <c r="M357" i="24"/>
  <c r="N357" i="24" s="1"/>
  <c r="O357" i="24" s="1"/>
  <c r="I357" i="24"/>
  <c r="M335" i="24"/>
  <c r="N335" i="24" s="1"/>
  <c r="I335" i="24"/>
  <c r="I298" i="24"/>
  <c r="M298" i="24"/>
  <c r="N298" i="24" s="1"/>
  <c r="O103" i="24"/>
  <c r="M44" i="24"/>
  <c r="N44" i="24" s="1"/>
  <c r="I44" i="24"/>
  <c r="I493" i="24"/>
  <c r="O493" i="24" s="1"/>
  <c r="I487" i="24"/>
  <c r="O487" i="24" s="1"/>
  <c r="O474" i="24"/>
  <c r="O471" i="24"/>
  <c r="M447" i="24"/>
  <c r="N447" i="24" s="1"/>
  <c r="O447" i="24" s="1"/>
  <c r="I447" i="24"/>
  <c r="O437" i="24"/>
  <c r="O374" i="24"/>
  <c r="O365" i="24"/>
  <c r="M343" i="24"/>
  <c r="N343" i="24" s="1"/>
  <c r="O343" i="24" s="1"/>
  <c r="I343" i="24"/>
  <c r="M329" i="24"/>
  <c r="I329" i="24"/>
  <c r="O213" i="24"/>
  <c r="N190" i="24"/>
  <c r="O190" i="24" s="1"/>
  <c r="M85" i="24"/>
  <c r="N85" i="24" s="1"/>
  <c r="I85" i="24"/>
  <c r="O85" i="24" s="1"/>
  <c r="O65" i="24"/>
  <c r="N317" i="24"/>
  <c r="O317" i="24" s="1"/>
  <c r="N309" i="24"/>
  <c r="N203" i="24"/>
  <c r="O203" i="24" s="1"/>
  <c r="N18" i="24"/>
  <c r="N463" i="24"/>
  <c r="O463" i="24" s="1"/>
  <c r="N455" i="24"/>
  <c r="O455" i="24" s="1"/>
  <c r="N427" i="24"/>
  <c r="O427" i="24" s="1"/>
  <c r="N421" i="24"/>
  <c r="O421" i="24" s="1"/>
  <c r="N367" i="24"/>
  <c r="O367" i="24" s="1"/>
  <c r="N363" i="24"/>
  <c r="N355" i="24"/>
  <c r="O355" i="24" s="1"/>
  <c r="M316" i="24"/>
  <c r="N316" i="24" s="1"/>
  <c r="O316" i="24" s="1"/>
  <c r="M308" i="24"/>
  <c r="N308" i="24" s="1"/>
  <c r="O308" i="24" s="1"/>
  <c r="N278" i="24"/>
  <c r="N266" i="24"/>
  <c r="N256" i="24"/>
  <c r="N248" i="24"/>
  <c r="N245" i="24"/>
  <c r="N240" i="24"/>
  <c r="N235" i="24"/>
  <c r="O235" i="24" s="1"/>
  <c r="N230" i="24"/>
  <c r="N227" i="24"/>
  <c r="O227" i="24" s="1"/>
  <c r="N174" i="24"/>
  <c r="O174" i="24" s="1"/>
  <c r="M128" i="24"/>
  <c r="N128" i="24" s="1"/>
  <c r="O128" i="24" s="1"/>
  <c r="N117" i="24"/>
  <c r="O117" i="24" s="1"/>
  <c r="N68" i="24"/>
  <c r="O68" i="24" s="1"/>
  <c r="N35" i="24"/>
  <c r="O35" i="24" s="1"/>
  <c r="O401" i="24"/>
  <c r="O393" i="24"/>
  <c r="O385" i="24"/>
  <c r="O379" i="24"/>
  <c r="O372" i="24"/>
  <c r="O342" i="24"/>
  <c r="O334" i="24"/>
  <c r="N305" i="24"/>
  <c r="O297" i="24"/>
  <c r="N218" i="24"/>
  <c r="N207" i="24"/>
  <c r="O207" i="24" s="1"/>
  <c r="O95" i="24"/>
  <c r="N54" i="24"/>
  <c r="O45" i="24"/>
  <c r="O36" i="24"/>
  <c r="M505" i="24"/>
  <c r="N505" i="24" s="1"/>
  <c r="O505" i="24" s="1"/>
  <c r="M488" i="24"/>
  <c r="N488" i="24" s="1"/>
  <c r="O488" i="24" s="1"/>
  <c r="M475" i="24"/>
  <c r="N475" i="24" s="1"/>
  <c r="O475" i="24" s="1"/>
  <c r="M469" i="24"/>
  <c r="N469" i="24" s="1"/>
  <c r="O469" i="24" s="1"/>
  <c r="M452" i="24"/>
  <c r="N452" i="24" s="1"/>
  <c r="O452" i="24" s="1"/>
  <c r="M441" i="24"/>
  <c r="N441" i="24" s="1"/>
  <c r="O441" i="24" s="1"/>
  <c r="M433" i="24"/>
  <c r="N433" i="24" s="1"/>
  <c r="O433" i="24" s="1"/>
  <c r="N328" i="24"/>
  <c r="N322" i="24"/>
  <c r="N318" i="24"/>
  <c r="M304" i="24"/>
  <c r="N304" i="24" s="1"/>
  <c r="O304" i="24" s="1"/>
  <c r="N284" i="24"/>
  <c r="M279" i="24"/>
  <c r="N279" i="24" s="1"/>
  <c r="O279" i="24" s="1"/>
  <c r="I277" i="24"/>
  <c r="M272" i="24"/>
  <c r="N272" i="24" s="1"/>
  <c r="O272" i="24" s="1"/>
  <c r="M267" i="24"/>
  <c r="N267" i="24" s="1"/>
  <c r="O267" i="24" s="1"/>
  <c r="M264" i="24"/>
  <c r="N264" i="24" s="1"/>
  <c r="O264" i="24" s="1"/>
  <c r="M257" i="24"/>
  <c r="N257" i="24" s="1"/>
  <c r="O257" i="24" s="1"/>
  <c r="M254" i="24"/>
  <c r="N254" i="24" s="1"/>
  <c r="O254" i="24" s="1"/>
  <c r="M249" i="24"/>
  <c r="M246" i="24"/>
  <c r="N246" i="24" s="1"/>
  <c r="O246" i="24" s="1"/>
  <c r="M241" i="24"/>
  <c r="N241" i="24" s="1"/>
  <c r="O241" i="24" s="1"/>
  <c r="M238" i="24"/>
  <c r="N238" i="24" s="1"/>
  <c r="O238" i="24" s="1"/>
  <c r="M231" i="24"/>
  <c r="M228" i="24"/>
  <c r="N228" i="24" s="1"/>
  <c r="O228" i="24" s="1"/>
  <c r="N223" i="24"/>
  <c r="O223" i="24" s="1"/>
  <c r="M211" i="24"/>
  <c r="N154" i="24"/>
  <c r="O154" i="24" s="1"/>
  <c r="N130" i="24"/>
  <c r="O130" i="24" s="1"/>
  <c r="N121" i="24"/>
  <c r="O121" i="24" s="1"/>
  <c r="N89" i="24"/>
  <c r="N22" i="24"/>
  <c r="O22" i="24" s="1"/>
  <c r="M445" i="24"/>
  <c r="N445" i="24" s="1"/>
  <c r="O445" i="24" s="1"/>
  <c r="M439" i="24"/>
  <c r="N439" i="24" s="1"/>
  <c r="O439" i="24" s="1"/>
  <c r="M422" i="24"/>
  <c r="N422" i="24" s="1"/>
  <c r="O422" i="24" s="1"/>
  <c r="N409" i="24"/>
  <c r="O409" i="24" s="1"/>
  <c r="N403" i="24"/>
  <c r="O403" i="24" s="1"/>
  <c r="N375" i="24"/>
  <c r="O375" i="24" s="1"/>
  <c r="I358" i="24"/>
  <c r="I350" i="24"/>
  <c r="N340" i="24"/>
  <c r="O340" i="24" s="1"/>
  <c r="N332" i="24"/>
  <c r="N321" i="24"/>
  <c r="O321" i="24" s="1"/>
  <c r="N313" i="24"/>
  <c r="O313" i="24" s="1"/>
  <c r="N277" i="24"/>
  <c r="O277" i="24" s="1"/>
  <c r="N249" i="24"/>
  <c r="N231" i="24"/>
  <c r="O231" i="24" s="1"/>
  <c r="N211" i="24"/>
  <c r="O211" i="24" s="1"/>
  <c r="M199" i="24"/>
  <c r="N199" i="24" s="1"/>
  <c r="O199" i="24" s="1"/>
  <c r="M191" i="24"/>
  <c r="N191" i="24" s="1"/>
  <c r="M189" i="24"/>
  <c r="N189" i="24" s="1"/>
  <c r="O189" i="24" s="1"/>
  <c r="M177" i="24"/>
  <c r="N177" i="24" s="1"/>
  <c r="O177" i="24" s="1"/>
  <c r="I175" i="24"/>
  <c r="M172" i="24"/>
  <c r="N172" i="24" s="1"/>
  <c r="M150" i="24"/>
  <c r="N150" i="24" s="1"/>
  <c r="O150" i="24" s="1"/>
  <c r="M146" i="24"/>
  <c r="N146" i="24" s="1"/>
  <c r="O146" i="24" s="1"/>
  <c r="N136" i="24"/>
  <c r="O136" i="24" s="1"/>
  <c r="I134" i="24"/>
  <c r="O132" i="24"/>
  <c r="I110" i="24"/>
  <c r="O110" i="24" s="1"/>
  <c r="M100" i="24"/>
  <c r="N100" i="24" s="1"/>
  <c r="O100" i="24" s="1"/>
  <c r="N93" i="24"/>
  <c r="O93" i="24" s="1"/>
  <c r="N88" i="24"/>
  <c r="O88" i="24" s="1"/>
  <c r="M12" i="24"/>
  <c r="N12" i="24" s="1"/>
  <c r="O12" i="24" s="1"/>
  <c r="N513" i="24"/>
  <c r="O513" i="24" s="1"/>
  <c r="N485" i="24"/>
  <c r="O485" i="24" s="1"/>
  <c r="N477" i="24"/>
  <c r="O477" i="24" s="1"/>
  <c r="N449" i="24"/>
  <c r="O449" i="24" s="1"/>
  <c r="N443" i="24"/>
  <c r="O443" i="24" s="1"/>
  <c r="O415" i="24"/>
  <c r="O407" i="24"/>
  <c r="O382" i="24"/>
  <c r="O331" i="24"/>
  <c r="N276" i="24"/>
  <c r="O276" i="24" s="1"/>
  <c r="N216" i="24"/>
  <c r="N181" i="24"/>
  <c r="O181" i="24" s="1"/>
  <c r="O140" i="24"/>
  <c r="O134" i="24"/>
  <c r="O131" i="24"/>
  <c r="O92" i="24"/>
  <c r="O90" i="24"/>
  <c r="O40" i="24"/>
  <c r="O219" i="24"/>
  <c r="I216" i="24"/>
  <c r="I183" i="24"/>
  <c r="O183" i="24" s="1"/>
  <c r="I179" i="24"/>
  <c r="N162" i="24"/>
  <c r="O162" i="24" s="1"/>
  <c r="I142" i="24"/>
  <c r="O142" i="24" s="1"/>
  <c r="I138" i="24"/>
  <c r="I129" i="24"/>
  <c r="O129" i="24" s="1"/>
  <c r="N66" i="24"/>
  <c r="O66" i="24" s="1"/>
  <c r="I64" i="24"/>
  <c r="O64" i="24" s="1"/>
  <c r="O118" i="25"/>
  <c r="O101" i="25"/>
  <c r="O131" i="25"/>
  <c r="O97" i="25"/>
  <c r="O113" i="25"/>
  <c r="O126" i="25"/>
  <c r="I84" i="25"/>
  <c r="I66" i="25"/>
  <c r="O66" i="25" s="1"/>
  <c r="I52" i="25"/>
  <c r="I50" i="25"/>
  <c r="O50" i="25" s="1"/>
  <c r="N48" i="25"/>
  <c r="O48" i="25" s="1"/>
  <c r="I34" i="25"/>
  <c r="O34" i="25" s="1"/>
  <c r="I32" i="25"/>
  <c r="O32" i="25" s="1"/>
  <c r="I17" i="25"/>
  <c r="I14" i="25"/>
  <c r="O14" i="25" s="1"/>
  <c r="N12" i="25"/>
  <c r="O12" i="25" s="1"/>
  <c r="O55" i="25"/>
  <c r="O38" i="25"/>
  <c r="M122" i="25"/>
  <c r="N122" i="25" s="1"/>
  <c r="O122" i="25" s="1"/>
  <c r="N92" i="25"/>
  <c r="O92" i="25" s="1"/>
  <c r="I89" i="25"/>
  <c r="N79" i="25"/>
  <c r="O79" i="25" s="1"/>
  <c r="N63" i="25"/>
  <c r="O63" i="25" s="1"/>
  <c r="I57" i="25"/>
  <c r="O57" i="25" s="1"/>
  <c r="N52" i="25"/>
  <c r="O52" i="25" s="1"/>
  <c r="N47" i="25"/>
  <c r="O47" i="25" s="1"/>
  <c r="N45" i="25"/>
  <c r="O45" i="25" s="1"/>
  <c r="N28" i="25"/>
  <c r="O28" i="25" s="1"/>
  <c r="N17" i="25"/>
  <c r="O117" i="25"/>
  <c r="N105" i="25"/>
  <c r="O105" i="25" s="1"/>
  <c r="O89" i="25"/>
  <c r="O51" i="25"/>
  <c r="O49" i="25"/>
  <c r="O21" i="25"/>
  <c r="M13" i="25"/>
  <c r="N13" i="25" s="1"/>
  <c r="O13" i="25" s="1"/>
  <c r="O44" i="25"/>
  <c r="N75" i="25"/>
  <c r="O75" i="25" s="1"/>
  <c r="M71" i="25"/>
  <c r="N61" i="25"/>
  <c r="O61" i="25" s="1"/>
  <c r="O37" i="25"/>
  <c r="N26" i="25"/>
  <c r="O26" i="25" s="1"/>
  <c r="M18" i="25"/>
  <c r="N18" i="25" s="1"/>
  <c r="O18" i="25" s="1"/>
  <c r="N100" i="25"/>
  <c r="O100" i="25" s="1"/>
  <c r="N84" i="25"/>
  <c r="O84" i="25" s="1"/>
  <c r="M142" i="25"/>
  <c r="N142" i="25" s="1"/>
  <c r="O142" i="25" s="1"/>
  <c r="M127" i="25"/>
  <c r="N127" i="25" s="1"/>
  <c r="O127" i="25" s="1"/>
  <c r="M109" i="25"/>
  <c r="N109" i="25" s="1"/>
  <c r="O109" i="25" s="1"/>
  <c r="N96" i="25"/>
  <c r="O96" i="25" s="1"/>
  <c r="M93" i="25"/>
  <c r="N93" i="25" s="1"/>
  <c r="O93" i="25" s="1"/>
  <c r="N88" i="25"/>
  <c r="O88" i="25" s="1"/>
  <c r="I85" i="25"/>
  <c r="N71" i="25"/>
  <c r="O71" i="25" s="1"/>
  <c r="N65" i="25"/>
  <c r="O65" i="25" s="1"/>
  <c r="M60" i="25"/>
  <c r="N60" i="25" s="1"/>
  <c r="O60" i="25" s="1"/>
  <c r="M58" i="25"/>
  <c r="N58" i="25" s="1"/>
  <c r="O58" i="25" s="1"/>
  <c r="M42" i="25"/>
  <c r="N42" i="25" s="1"/>
  <c r="O42" i="25" s="1"/>
  <c r="I35" i="25"/>
  <c r="N30" i="25"/>
  <c r="O30" i="25" s="1"/>
  <c r="M25" i="25"/>
  <c r="N25" i="25" s="1"/>
  <c r="O25" i="25" s="1"/>
  <c r="M22" i="25"/>
  <c r="N22" i="25" s="1"/>
  <c r="O22" i="25" s="1"/>
  <c r="O36" i="25"/>
  <c r="O121" i="25"/>
  <c r="O85" i="25"/>
  <c r="O62" i="25"/>
  <c r="O46" i="25"/>
  <c r="O35" i="25"/>
  <c r="O29" i="25"/>
  <c r="O27" i="25"/>
  <c r="N10" i="25"/>
  <c r="N134" i="25"/>
  <c r="O134" i="25" s="1"/>
  <c r="I44" i="25"/>
  <c r="O40" i="25"/>
  <c r="I8" i="25"/>
  <c r="O8" i="25" s="1"/>
  <c r="M174" i="26"/>
  <c r="N174" i="26" s="1"/>
  <c r="O174" i="26" s="1"/>
  <c r="M172" i="26"/>
  <c r="N172" i="26" s="1"/>
  <c r="O172" i="26" s="1"/>
  <c r="I170" i="26"/>
  <c r="O170" i="26" s="1"/>
  <c r="I168" i="26"/>
  <c r="O168" i="26" s="1"/>
  <c r="N154" i="26"/>
  <c r="N149" i="26"/>
  <c r="O149" i="26" s="1"/>
  <c r="M143" i="26"/>
  <c r="N143" i="26" s="1"/>
  <c r="O143" i="26" s="1"/>
  <c r="I141" i="26"/>
  <c r="I139" i="26"/>
  <c r="M136" i="26"/>
  <c r="N136" i="26" s="1"/>
  <c r="O136" i="26" s="1"/>
  <c r="I129" i="26"/>
  <c r="O129" i="26" s="1"/>
  <c r="N125" i="26"/>
  <c r="I116" i="26"/>
  <c r="O116" i="26" s="1"/>
  <c r="I114" i="26"/>
  <c r="O114" i="26" s="1"/>
  <c r="I109" i="26"/>
  <c r="M106" i="26"/>
  <c r="N106" i="26" s="1"/>
  <c r="O106" i="26" s="1"/>
  <c r="I102" i="26"/>
  <c r="O102" i="26" s="1"/>
  <c r="M95" i="26"/>
  <c r="N95" i="26" s="1"/>
  <c r="O95" i="26" s="1"/>
  <c r="M88" i="26"/>
  <c r="N88" i="26" s="1"/>
  <c r="O88" i="26" s="1"/>
  <c r="I82" i="26"/>
  <c r="I78" i="26"/>
  <c r="O78" i="26" s="1"/>
  <c r="I76" i="26"/>
  <c r="O76" i="26" s="1"/>
  <c r="I73" i="26"/>
  <c r="O73" i="26" s="1"/>
  <c r="I71" i="26"/>
  <c r="O71" i="26" s="1"/>
  <c r="I69" i="26"/>
  <c r="O69" i="26" s="1"/>
  <c r="I67" i="26"/>
  <c r="O67" i="26" s="1"/>
  <c r="I58" i="26"/>
  <c r="I54" i="26"/>
  <c r="M46" i="26"/>
  <c r="N46" i="26" s="1"/>
  <c r="O46" i="26" s="1"/>
  <c r="I40" i="26"/>
  <c r="I32" i="26"/>
  <c r="O32" i="26" s="1"/>
  <c r="I26" i="26"/>
  <c r="M22" i="26"/>
  <c r="N22" i="26" s="1"/>
  <c r="O22" i="26" s="1"/>
  <c r="I14" i="26"/>
  <c r="O14" i="26" s="1"/>
  <c r="O12" i="26"/>
  <c r="N129" i="26"/>
  <c r="N40" i="26"/>
  <c r="N26" i="26"/>
  <c r="M169" i="26"/>
  <c r="N169" i="26" s="1"/>
  <c r="O169" i="26" s="1"/>
  <c r="N159" i="26"/>
  <c r="M140" i="26"/>
  <c r="N140" i="26" s="1"/>
  <c r="O140" i="26" s="1"/>
  <c r="M128" i="26"/>
  <c r="N128" i="26" s="1"/>
  <c r="O128" i="26" s="1"/>
  <c r="M110" i="26"/>
  <c r="N110" i="26" s="1"/>
  <c r="O110" i="26" s="1"/>
  <c r="M103" i="26"/>
  <c r="N103" i="26" s="1"/>
  <c r="O103" i="26" s="1"/>
  <c r="M101" i="26"/>
  <c r="N101" i="26" s="1"/>
  <c r="O101" i="26" s="1"/>
  <c r="M68" i="26"/>
  <c r="N68" i="26" s="1"/>
  <c r="O68" i="26" s="1"/>
  <c r="I62" i="26"/>
  <c r="M55" i="26"/>
  <c r="N55" i="26" s="1"/>
  <c r="O55" i="26" s="1"/>
  <c r="I49" i="26"/>
  <c r="O44" i="26"/>
  <c r="M38" i="26"/>
  <c r="N38" i="26" s="1"/>
  <c r="O38" i="26" s="1"/>
  <c r="N33" i="26"/>
  <c r="O33" i="26" s="1"/>
  <c r="M13" i="26"/>
  <c r="N13" i="26" s="1"/>
  <c r="O13" i="26" s="1"/>
  <c r="N163" i="26"/>
  <c r="O163" i="26" s="1"/>
  <c r="N119" i="26"/>
  <c r="O119" i="26" s="1"/>
  <c r="N62" i="26"/>
  <c r="N49" i="26"/>
  <c r="O49" i="26" s="1"/>
  <c r="N17" i="26"/>
  <c r="O17" i="26" s="1"/>
  <c r="N10" i="26"/>
  <c r="O10" i="26" s="1"/>
  <c r="M173" i="26"/>
  <c r="N173" i="26" s="1"/>
  <c r="O173" i="26" s="1"/>
  <c r="M162" i="26"/>
  <c r="N162" i="26" s="1"/>
  <c r="O162" i="26" s="1"/>
  <c r="M148" i="26"/>
  <c r="N148" i="26" s="1"/>
  <c r="O148" i="26" s="1"/>
  <c r="M144" i="26"/>
  <c r="N144" i="26" s="1"/>
  <c r="O144" i="26" s="1"/>
  <c r="M137" i="26"/>
  <c r="N137" i="26" s="1"/>
  <c r="O137" i="26" s="1"/>
  <c r="M135" i="26"/>
  <c r="N135" i="26" s="1"/>
  <c r="O135" i="26" s="1"/>
  <c r="M107" i="26"/>
  <c r="N107" i="26" s="1"/>
  <c r="O107" i="26" s="1"/>
  <c r="M105" i="26"/>
  <c r="N105" i="26" s="1"/>
  <c r="O105" i="26" s="1"/>
  <c r="M90" i="26"/>
  <c r="N90" i="26" s="1"/>
  <c r="O90" i="26" s="1"/>
  <c r="O74" i="26"/>
  <c r="O70" i="26"/>
  <c r="N53" i="26"/>
  <c r="O53" i="26" s="1"/>
  <c r="M48" i="26"/>
  <c r="N48" i="26" s="1"/>
  <c r="O48" i="26" s="1"/>
  <c r="M45" i="26"/>
  <c r="N45" i="26" s="1"/>
  <c r="O45" i="26" s="1"/>
  <c r="M24" i="26"/>
  <c r="N24" i="26" s="1"/>
  <c r="O24" i="26" s="1"/>
  <c r="M175" i="26"/>
  <c r="N175" i="26" s="1"/>
  <c r="O164" i="26"/>
  <c r="O123" i="26"/>
  <c r="O112" i="26"/>
  <c r="O98" i="26"/>
  <c r="N83" i="26"/>
  <c r="O83" i="26" s="1"/>
  <c r="N79" i="26"/>
  <c r="O65" i="26"/>
  <c r="O56" i="26"/>
  <c r="O52" i="26"/>
  <c r="O37" i="26"/>
  <c r="I96" i="26"/>
  <c r="N92" i="26"/>
  <c r="N87" i="26"/>
  <c r="I35" i="26"/>
  <c r="O35" i="26" s="1"/>
  <c r="N21" i="26"/>
  <c r="O21" i="26" s="1"/>
  <c r="O161" i="27"/>
  <c r="O154" i="27"/>
  <c r="O198" i="27"/>
  <c r="M196" i="27"/>
  <c r="N196" i="27" s="1"/>
  <c r="O196" i="27" s="1"/>
  <c r="I194" i="27"/>
  <c r="O194" i="27" s="1"/>
  <c r="I188" i="27"/>
  <c r="O188" i="27" s="1"/>
  <c r="M181" i="27"/>
  <c r="N181" i="27" s="1"/>
  <c r="O181" i="27" s="1"/>
  <c r="I172" i="27"/>
  <c r="O172" i="27" s="1"/>
  <c r="M169" i="27"/>
  <c r="N169" i="27" s="1"/>
  <c r="O169" i="27" s="1"/>
  <c r="M163" i="27"/>
  <c r="N163" i="27" s="1"/>
  <c r="O163" i="27" s="1"/>
  <c r="I161" i="27"/>
  <c r="I154" i="27"/>
  <c r="M147" i="27"/>
  <c r="N147" i="27" s="1"/>
  <c r="O147" i="27" s="1"/>
  <c r="I139" i="27"/>
  <c r="O139" i="27" s="1"/>
  <c r="M136" i="27"/>
  <c r="N136" i="27" s="1"/>
  <c r="O136" i="27" s="1"/>
  <c r="M129" i="27"/>
  <c r="N129" i="27" s="1"/>
  <c r="O129" i="27" s="1"/>
  <c r="I127" i="27"/>
  <c r="O127" i="27" s="1"/>
  <c r="I110" i="27"/>
  <c r="N22" i="27"/>
  <c r="O22" i="27" s="1"/>
  <c r="N173" i="27"/>
  <c r="O173" i="27" s="1"/>
  <c r="N167" i="27"/>
  <c r="O167" i="27" s="1"/>
  <c r="O140" i="27"/>
  <c r="O134" i="27"/>
  <c r="N110" i="27"/>
  <c r="O110" i="27" s="1"/>
  <c r="N94" i="27"/>
  <c r="M71" i="27"/>
  <c r="N71" i="27" s="1"/>
  <c r="O71" i="27" s="1"/>
  <c r="N13" i="27"/>
  <c r="O13" i="27" s="1"/>
  <c r="M189" i="27"/>
  <c r="N189" i="27" s="1"/>
  <c r="O189" i="27" s="1"/>
  <c r="M178" i="27"/>
  <c r="N178" i="27" s="1"/>
  <c r="O178" i="27" s="1"/>
  <c r="M171" i="27"/>
  <c r="N171" i="27" s="1"/>
  <c r="O171" i="27" s="1"/>
  <c r="M156" i="27"/>
  <c r="N156" i="27" s="1"/>
  <c r="O156" i="27" s="1"/>
  <c r="M144" i="27"/>
  <c r="N144" i="27" s="1"/>
  <c r="O144" i="27" s="1"/>
  <c r="M138" i="27"/>
  <c r="N138" i="27" s="1"/>
  <c r="O138" i="27" s="1"/>
  <c r="I115" i="27"/>
  <c r="O115" i="27" s="1"/>
  <c r="I98" i="27"/>
  <c r="N81" i="27"/>
  <c r="O81" i="27" s="1"/>
  <c r="O192" i="27"/>
  <c r="O148" i="27"/>
  <c r="O100" i="27"/>
  <c r="N98" i="27"/>
  <c r="M24" i="27"/>
  <c r="N24" i="27" s="1"/>
  <c r="O24" i="27" s="1"/>
  <c r="M14" i="27"/>
  <c r="N14" i="27" s="1"/>
  <c r="O14" i="27" s="1"/>
  <c r="M197" i="27"/>
  <c r="N197" i="27" s="1"/>
  <c r="O197" i="27" s="1"/>
  <c r="M186" i="27"/>
  <c r="N186" i="27" s="1"/>
  <c r="O186" i="27" s="1"/>
  <c r="M180" i="27"/>
  <c r="N180" i="27" s="1"/>
  <c r="O180" i="27" s="1"/>
  <c r="M164" i="27"/>
  <c r="N164" i="27" s="1"/>
  <c r="O164" i="27" s="1"/>
  <c r="M152" i="27"/>
  <c r="N152" i="27" s="1"/>
  <c r="O152" i="27" s="1"/>
  <c r="M146" i="27"/>
  <c r="N146" i="27" s="1"/>
  <c r="O146" i="27" s="1"/>
  <c r="M130" i="27"/>
  <c r="N130" i="27" s="1"/>
  <c r="O130" i="27" s="1"/>
  <c r="I119" i="27"/>
  <c r="O119" i="27" s="1"/>
  <c r="I102" i="27"/>
  <c r="O102" i="27" s="1"/>
  <c r="I85" i="27"/>
  <c r="N77" i="27"/>
  <c r="O77" i="27" s="1"/>
  <c r="M41" i="27"/>
  <c r="N41" i="27" s="1"/>
  <c r="O41" i="27" s="1"/>
  <c r="M37" i="27"/>
  <c r="N37" i="27" s="1"/>
  <c r="O37" i="27" s="1"/>
  <c r="N18" i="27"/>
  <c r="O18" i="27" s="1"/>
  <c r="O190" i="27"/>
  <c r="O184" i="27"/>
  <c r="O157" i="27"/>
  <c r="O150" i="27"/>
  <c r="O121" i="27"/>
  <c r="O104" i="27"/>
  <c r="O87" i="27"/>
  <c r="O85" i="27"/>
  <c r="M79" i="27"/>
  <c r="N79" i="27" s="1"/>
  <c r="O79" i="27" s="1"/>
  <c r="O165" i="27"/>
  <c r="I123" i="27"/>
  <c r="O123" i="27" s="1"/>
  <c r="I106" i="27"/>
  <c r="O106" i="27" s="1"/>
  <c r="I90" i="27"/>
  <c r="O90" i="27" s="1"/>
  <c r="O73" i="27"/>
  <c r="N10" i="27"/>
  <c r="O75" i="27"/>
  <c r="O83" i="27"/>
  <c r="M80" i="27"/>
  <c r="N80" i="27" s="1"/>
  <c r="O80" i="27" s="1"/>
  <c r="M76" i="27"/>
  <c r="N76" i="27" s="1"/>
  <c r="O76" i="27" s="1"/>
  <c r="M72" i="27"/>
  <c r="N72" i="27" s="1"/>
  <c r="O72" i="27" s="1"/>
  <c r="M64" i="27"/>
  <c r="N64" i="27" s="1"/>
  <c r="O64" i="27" s="1"/>
  <c r="M60" i="27"/>
  <c r="N60" i="27" s="1"/>
  <c r="O60" i="27" s="1"/>
  <c r="M56" i="27"/>
  <c r="N56" i="27" s="1"/>
  <c r="O56" i="27" s="1"/>
  <c r="M51" i="27"/>
  <c r="N51" i="27" s="1"/>
  <c r="O51" i="27" s="1"/>
  <c r="M47" i="27"/>
  <c r="N47" i="27" s="1"/>
  <c r="O47" i="27" s="1"/>
  <c r="M43" i="27"/>
  <c r="N43" i="27" s="1"/>
  <c r="O43" i="27" s="1"/>
  <c r="M38" i="27"/>
  <c r="N38" i="27" s="1"/>
  <c r="O38" i="27" s="1"/>
  <c r="M34" i="27"/>
  <c r="N34" i="27" s="1"/>
  <c r="O34" i="27" s="1"/>
  <c r="M29" i="27"/>
  <c r="N29" i="27" s="1"/>
  <c r="O29" i="27" s="1"/>
  <c r="M25" i="27"/>
  <c r="N25" i="27" s="1"/>
  <c r="O25" i="27" s="1"/>
  <c r="M20" i="27"/>
  <c r="N20" i="27" s="1"/>
  <c r="O20" i="27" s="1"/>
  <c r="M16" i="27"/>
  <c r="N16" i="27" s="1"/>
  <c r="O16" i="27" s="1"/>
  <c r="M11" i="27"/>
  <c r="N11" i="27" s="1"/>
  <c r="O11" i="27" s="1"/>
  <c r="M65" i="27"/>
  <c r="N65" i="27" s="1"/>
  <c r="O65" i="27" s="1"/>
  <c r="M61" i="27"/>
  <c r="N61" i="27" s="1"/>
  <c r="O61" i="27" s="1"/>
  <c r="M57" i="27"/>
  <c r="N57" i="27" s="1"/>
  <c r="O57" i="27" s="1"/>
  <c r="M52" i="27"/>
  <c r="N52" i="27" s="1"/>
  <c r="O52" i="27" s="1"/>
  <c r="M48" i="27"/>
  <c r="N48" i="27" s="1"/>
  <c r="O48" i="27" s="1"/>
  <c r="M44" i="27"/>
  <c r="N44" i="27" s="1"/>
  <c r="O44" i="27" s="1"/>
  <c r="M40" i="27"/>
  <c r="N40" i="27" s="1"/>
  <c r="O40" i="27" s="1"/>
  <c r="M35" i="27"/>
  <c r="N35" i="27" s="1"/>
  <c r="O35" i="27" s="1"/>
  <c r="M30" i="27"/>
  <c r="N30" i="27" s="1"/>
  <c r="O30" i="27" s="1"/>
  <c r="M26" i="27"/>
  <c r="N26" i="27" s="1"/>
  <c r="O26" i="27" s="1"/>
  <c r="M21" i="27"/>
  <c r="N21" i="27" s="1"/>
  <c r="O21" i="27" s="1"/>
  <c r="M17" i="27"/>
  <c r="N17" i="27" s="1"/>
  <c r="O17" i="27" s="1"/>
  <c r="M12" i="27"/>
  <c r="N12" i="27" s="1"/>
  <c r="O12" i="27" s="1"/>
  <c r="M8" i="27"/>
  <c r="N8" i="27" s="1"/>
  <c r="O8" i="27" s="1"/>
  <c r="M195" i="27"/>
  <c r="N195" i="27" s="1"/>
  <c r="O195" i="27" s="1"/>
  <c r="M191" i="27"/>
  <c r="N191" i="27" s="1"/>
  <c r="O191" i="27" s="1"/>
  <c r="M187" i="27"/>
  <c r="N187" i="27" s="1"/>
  <c r="O187" i="27" s="1"/>
  <c r="M183" i="27"/>
  <c r="N183" i="27" s="1"/>
  <c r="O183" i="27" s="1"/>
  <c r="M179" i="27"/>
  <c r="N179" i="27" s="1"/>
  <c r="O179" i="27" s="1"/>
  <c r="M174" i="27"/>
  <c r="N174" i="27" s="1"/>
  <c r="O174" i="27" s="1"/>
  <c r="M170" i="27"/>
  <c r="N170" i="27" s="1"/>
  <c r="O170" i="27" s="1"/>
  <c r="M166" i="27"/>
  <c r="N166" i="27" s="1"/>
  <c r="O166" i="27" s="1"/>
  <c r="M162" i="27"/>
  <c r="N162" i="27" s="1"/>
  <c r="O162" i="27" s="1"/>
  <c r="M158" i="27"/>
  <c r="N158" i="27" s="1"/>
  <c r="O158" i="27" s="1"/>
  <c r="M153" i="27"/>
  <c r="N153" i="27" s="1"/>
  <c r="O153" i="27" s="1"/>
  <c r="M149" i="27"/>
  <c r="N149" i="27" s="1"/>
  <c r="O149" i="27" s="1"/>
  <c r="M145" i="27"/>
  <c r="N145" i="27" s="1"/>
  <c r="O145" i="27" s="1"/>
  <c r="M141" i="27"/>
  <c r="N141" i="27" s="1"/>
  <c r="O141" i="27" s="1"/>
  <c r="M137" i="27"/>
  <c r="N137" i="27" s="1"/>
  <c r="O137" i="27" s="1"/>
  <c r="M132" i="27"/>
  <c r="N132" i="27" s="1"/>
  <c r="O132" i="27" s="1"/>
  <c r="M128" i="27"/>
  <c r="N128" i="27" s="1"/>
  <c r="O128" i="27" s="1"/>
  <c r="M124" i="27"/>
  <c r="N124" i="27" s="1"/>
  <c r="O124" i="27" s="1"/>
  <c r="M120" i="27"/>
  <c r="N120" i="27" s="1"/>
  <c r="O120" i="27" s="1"/>
  <c r="M116" i="27"/>
  <c r="N116" i="27" s="1"/>
  <c r="O116" i="27" s="1"/>
  <c r="M112" i="27"/>
  <c r="N112" i="27" s="1"/>
  <c r="O112" i="27" s="1"/>
  <c r="M107" i="27"/>
  <c r="N107" i="27" s="1"/>
  <c r="O107" i="27" s="1"/>
  <c r="M103" i="27"/>
  <c r="N103" i="27" s="1"/>
  <c r="O103" i="27" s="1"/>
  <c r="M99" i="27"/>
  <c r="N99" i="27" s="1"/>
  <c r="O99" i="27" s="1"/>
  <c r="M95" i="27"/>
  <c r="N95" i="27" s="1"/>
  <c r="O95" i="27" s="1"/>
  <c r="M91" i="27"/>
  <c r="N91" i="27" s="1"/>
  <c r="O91" i="27" s="1"/>
  <c r="M86" i="27"/>
  <c r="N86" i="27" s="1"/>
  <c r="O86" i="27" s="1"/>
  <c r="M82" i="27"/>
  <c r="N82" i="27" s="1"/>
  <c r="O82" i="27" s="1"/>
  <c r="M78" i="27"/>
  <c r="N78" i="27" s="1"/>
  <c r="O78" i="27" s="1"/>
  <c r="M74" i="27"/>
  <c r="N74" i="27" s="1"/>
  <c r="O74" i="27" s="1"/>
  <c r="M70" i="27"/>
  <c r="N70" i="27" s="1"/>
  <c r="O70" i="27" s="1"/>
  <c r="O175" i="26"/>
  <c r="I159" i="26"/>
  <c r="O159" i="26" s="1"/>
  <c r="I142" i="26"/>
  <c r="O142" i="26" s="1"/>
  <c r="I125" i="26"/>
  <c r="O125" i="26" s="1"/>
  <c r="I108" i="26"/>
  <c r="O108" i="26" s="1"/>
  <c r="I92" i="26"/>
  <c r="O92" i="26" s="1"/>
  <c r="O62" i="26"/>
  <c r="I171" i="26"/>
  <c r="O171" i="26" s="1"/>
  <c r="I154" i="26"/>
  <c r="O154" i="26" s="1"/>
  <c r="I138" i="26"/>
  <c r="O138" i="26" s="1"/>
  <c r="I121" i="26"/>
  <c r="I104" i="26"/>
  <c r="O87" i="26"/>
  <c r="O63" i="26"/>
  <c r="O160" i="26"/>
  <c r="N126" i="26"/>
  <c r="O126" i="26" s="1"/>
  <c r="O121" i="26"/>
  <c r="N109" i="26"/>
  <c r="N93" i="26"/>
  <c r="O93" i="26" s="1"/>
  <c r="O58" i="26"/>
  <c r="O36" i="26"/>
  <c r="O18" i="26"/>
  <c r="O146" i="26"/>
  <c r="O66" i="26"/>
  <c r="I167" i="26"/>
  <c r="O167" i="26" s="1"/>
  <c r="I150" i="26"/>
  <c r="O150" i="26" s="1"/>
  <c r="I134" i="26"/>
  <c r="I117" i="26"/>
  <c r="O117" i="26" s="1"/>
  <c r="I100" i="26"/>
  <c r="O100" i="26" s="1"/>
  <c r="O54" i="26"/>
  <c r="O50" i="26"/>
  <c r="O41" i="26"/>
  <c r="O113" i="26"/>
  <c r="N156" i="26"/>
  <c r="O156" i="26" s="1"/>
  <c r="N139" i="26"/>
  <c r="O134" i="26"/>
  <c r="N122" i="26"/>
  <c r="O122" i="26" s="1"/>
  <c r="O84" i="26"/>
  <c r="M34" i="26"/>
  <c r="N34" i="26" s="1"/>
  <c r="O34" i="26" s="1"/>
  <c r="M29" i="26"/>
  <c r="N29" i="26" s="1"/>
  <c r="O29" i="26" s="1"/>
  <c r="M25" i="26"/>
  <c r="N25" i="26" s="1"/>
  <c r="O25" i="26" s="1"/>
  <c r="M20" i="26"/>
  <c r="N20" i="26" s="1"/>
  <c r="O20" i="26" s="1"/>
  <c r="M16" i="26"/>
  <c r="N16" i="26" s="1"/>
  <c r="O16" i="26" s="1"/>
  <c r="M11" i="26"/>
  <c r="N11" i="26" s="1"/>
  <c r="O11" i="26" s="1"/>
  <c r="M80" i="25"/>
  <c r="N80" i="25" s="1"/>
  <c r="O80" i="25" s="1"/>
  <c r="M76" i="25"/>
  <c r="N76" i="25" s="1"/>
  <c r="O76" i="25" s="1"/>
  <c r="M72" i="25"/>
  <c r="N72" i="25" s="1"/>
  <c r="O72" i="25" s="1"/>
  <c r="M144" i="25"/>
  <c r="N144" i="25" s="1"/>
  <c r="O144" i="25" s="1"/>
  <c r="M140" i="25"/>
  <c r="N140" i="25" s="1"/>
  <c r="O140" i="25" s="1"/>
  <c r="M136" i="25"/>
  <c r="N136" i="25" s="1"/>
  <c r="O136" i="25" s="1"/>
  <c r="M132" i="25"/>
  <c r="N132" i="25" s="1"/>
  <c r="O132" i="25" s="1"/>
  <c r="M128" i="25"/>
  <c r="N128" i="25" s="1"/>
  <c r="O128" i="25" s="1"/>
  <c r="M123" i="25"/>
  <c r="N123" i="25" s="1"/>
  <c r="O123" i="25" s="1"/>
  <c r="M119" i="25"/>
  <c r="N119" i="25" s="1"/>
  <c r="O119" i="25" s="1"/>
  <c r="M115" i="25"/>
  <c r="N115" i="25" s="1"/>
  <c r="O115" i="25" s="1"/>
  <c r="M111" i="25"/>
  <c r="N111" i="25" s="1"/>
  <c r="O111" i="25" s="1"/>
  <c r="M107" i="25"/>
  <c r="N107" i="25" s="1"/>
  <c r="O107" i="25" s="1"/>
  <c r="M102" i="25"/>
  <c r="N102" i="25" s="1"/>
  <c r="O102" i="25" s="1"/>
  <c r="M98" i="25"/>
  <c r="N98" i="25" s="1"/>
  <c r="O98" i="25" s="1"/>
  <c r="M94" i="25"/>
  <c r="N94" i="25" s="1"/>
  <c r="O94" i="25" s="1"/>
  <c r="M90" i="25"/>
  <c r="N90" i="25" s="1"/>
  <c r="O90" i="25" s="1"/>
  <c r="M86" i="25"/>
  <c r="N86" i="25" s="1"/>
  <c r="O86" i="25" s="1"/>
  <c r="M82" i="25"/>
  <c r="N82" i="25" s="1"/>
  <c r="O82" i="25" s="1"/>
  <c r="M77" i="25"/>
  <c r="N77" i="25" s="1"/>
  <c r="O77" i="25" s="1"/>
  <c r="M73" i="25"/>
  <c r="N73" i="25" s="1"/>
  <c r="O73" i="25" s="1"/>
  <c r="M69" i="25"/>
  <c r="N69" i="25" s="1"/>
  <c r="O69" i="25" s="1"/>
  <c r="M145" i="25"/>
  <c r="N145" i="25" s="1"/>
  <c r="O145" i="25" s="1"/>
  <c r="M141" i="25"/>
  <c r="N141" i="25" s="1"/>
  <c r="O141" i="25" s="1"/>
  <c r="M137" i="25"/>
  <c r="N137" i="25" s="1"/>
  <c r="O137" i="25" s="1"/>
  <c r="M133" i="25"/>
  <c r="N133" i="25" s="1"/>
  <c r="O133" i="25" s="1"/>
  <c r="M129" i="25"/>
  <c r="N129" i="25" s="1"/>
  <c r="O129" i="25" s="1"/>
  <c r="M124" i="25"/>
  <c r="N124" i="25" s="1"/>
  <c r="O124" i="25" s="1"/>
  <c r="M120" i="25"/>
  <c r="N120" i="25" s="1"/>
  <c r="O120" i="25" s="1"/>
  <c r="M116" i="25"/>
  <c r="N116" i="25" s="1"/>
  <c r="O116" i="25" s="1"/>
  <c r="M112" i="25"/>
  <c r="N112" i="25" s="1"/>
  <c r="O112" i="25" s="1"/>
  <c r="M108" i="25"/>
  <c r="N108" i="25" s="1"/>
  <c r="O108" i="25" s="1"/>
  <c r="M104" i="25"/>
  <c r="N104" i="25" s="1"/>
  <c r="O104" i="25" s="1"/>
  <c r="M99" i="25"/>
  <c r="N99" i="25" s="1"/>
  <c r="O99" i="25" s="1"/>
  <c r="M95" i="25"/>
  <c r="N95" i="25" s="1"/>
  <c r="O95" i="25" s="1"/>
  <c r="M91" i="25"/>
  <c r="N91" i="25" s="1"/>
  <c r="O91" i="25" s="1"/>
  <c r="M87" i="25"/>
  <c r="N87" i="25" s="1"/>
  <c r="O87" i="25" s="1"/>
  <c r="M83" i="25"/>
  <c r="N83" i="25" s="1"/>
  <c r="O83" i="25" s="1"/>
  <c r="M78" i="25"/>
  <c r="N78" i="25" s="1"/>
  <c r="O78" i="25" s="1"/>
  <c r="M74" i="25"/>
  <c r="N74" i="25" s="1"/>
  <c r="O74" i="25" s="1"/>
  <c r="M70" i="25"/>
  <c r="N70" i="25" s="1"/>
  <c r="O70" i="25" s="1"/>
  <c r="O388" i="24"/>
  <c r="O366" i="24"/>
  <c r="O350" i="24"/>
  <c r="O337" i="24"/>
  <c r="O332" i="24"/>
  <c r="N319" i="24"/>
  <c r="N315" i="24"/>
  <c r="O315" i="24" s="1"/>
  <c r="N311" i="24"/>
  <c r="O311" i="24" s="1"/>
  <c r="O294" i="24"/>
  <c r="I292" i="24"/>
  <c r="M292" i="24"/>
  <c r="N292" i="24" s="1"/>
  <c r="O292" i="24" s="1"/>
  <c r="I300" i="24"/>
  <c r="M300" i="24"/>
  <c r="N300" i="24" s="1"/>
  <c r="N377" i="24"/>
  <c r="O377" i="24" s="1"/>
  <c r="I362" i="24"/>
  <c r="O362" i="24" s="1"/>
  <c r="I344" i="24"/>
  <c r="O344" i="24" s="1"/>
  <c r="I328" i="24"/>
  <c r="O275" i="24"/>
  <c r="O249" i="24"/>
  <c r="O220" i="24"/>
  <c r="I306" i="24"/>
  <c r="M306" i="24"/>
  <c r="N306" i="24" s="1"/>
  <c r="N301" i="24"/>
  <c r="M520" i="24"/>
  <c r="N520" i="24" s="1"/>
  <c r="O520" i="24" s="1"/>
  <c r="M512" i="24"/>
  <c r="N512" i="24" s="1"/>
  <c r="O512" i="24" s="1"/>
  <c r="M508" i="24"/>
  <c r="N508" i="24" s="1"/>
  <c r="O508" i="24" s="1"/>
  <c r="M498" i="24"/>
  <c r="N498" i="24" s="1"/>
  <c r="O498" i="24" s="1"/>
  <c r="M494" i="24"/>
  <c r="N494" i="24" s="1"/>
  <c r="O494" i="24" s="1"/>
  <c r="M490" i="24"/>
  <c r="N490" i="24" s="1"/>
  <c r="O490" i="24" s="1"/>
  <c r="M486" i="24"/>
  <c r="N486" i="24" s="1"/>
  <c r="O486" i="24" s="1"/>
  <c r="M482" i="24"/>
  <c r="N482" i="24" s="1"/>
  <c r="O482" i="24" s="1"/>
  <c r="M476" i="24"/>
  <c r="N476" i="24" s="1"/>
  <c r="O476" i="24" s="1"/>
  <c r="M472" i="24"/>
  <c r="N472" i="24" s="1"/>
  <c r="O472" i="24" s="1"/>
  <c r="M468" i="24"/>
  <c r="N468" i="24" s="1"/>
  <c r="O468" i="24" s="1"/>
  <c r="M464" i="24"/>
  <c r="N464" i="24" s="1"/>
  <c r="O464" i="24" s="1"/>
  <c r="M460" i="24"/>
  <c r="N460" i="24" s="1"/>
  <c r="O460" i="24" s="1"/>
  <c r="M454" i="24"/>
  <c r="N454" i="24" s="1"/>
  <c r="O454" i="24" s="1"/>
  <c r="M450" i="24"/>
  <c r="N450" i="24" s="1"/>
  <c r="O450" i="24" s="1"/>
  <c r="M446" i="24"/>
  <c r="N446" i="24" s="1"/>
  <c r="O446" i="24" s="1"/>
  <c r="M442" i="24"/>
  <c r="N442" i="24" s="1"/>
  <c r="O442" i="24" s="1"/>
  <c r="M438" i="24"/>
  <c r="N438" i="24" s="1"/>
  <c r="O438" i="24" s="1"/>
  <c r="M432" i="24"/>
  <c r="N432" i="24" s="1"/>
  <c r="O432" i="24" s="1"/>
  <c r="M428" i="24"/>
  <c r="N428" i="24" s="1"/>
  <c r="O428" i="24" s="1"/>
  <c r="M424" i="24"/>
  <c r="N424" i="24" s="1"/>
  <c r="O424" i="24" s="1"/>
  <c r="M420" i="24"/>
  <c r="N420" i="24" s="1"/>
  <c r="O420" i="24" s="1"/>
  <c r="M416" i="24"/>
  <c r="N416" i="24" s="1"/>
  <c r="O416" i="24" s="1"/>
  <c r="M410" i="24"/>
  <c r="N410" i="24" s="1"/>
  <c r="O410" i="24" s="1"/>
  <c r="M406" i="24"/>
  <c r="N406" i="24" s="1"/>
  <c r="O406" i="24" s="1"/>
  <c r="M402" i="24"/>
  <c r="N402" i="24" s="1"/>
  <c r="O402" i="24" s="1"/>
  <c r="M398" i="24"/>
  <c r="N398" i="24" s="1"/>
  <c r="O398" i="24" s="1"/>
  <c r="M384" i="24"/>
  <c r="N384" i="24" s="1"/>
  <c r="O384" i="24" s="1"/>
  <c r="O363" i="24"/>
  <c r="O358" i="24"/>
  <c r="N345" i="24"/>
  <c r="O345" i="24" s="1"/>
  <c r="N329" i="24"/>
  <c r="O322" i="24"/>
  <c r="I296" i="24"/>
  <c r="M296" i="24"/>
  <c r="N296" i="24" s="1"/>
  <c r="N293" i="24"/>
  <c r="O293" i="24" s="1"/>
  <c r="M516" i="24"/>
  <c r="N516" i="24" s="1"/>
  <c r="O516" i="24" s="1"/>
  <c r="M504" i="24"/>
  <c r="N504" i="24" s="1"/>
  <c r="O504" i="24" s="1"/>
  <c r="N395" i="24"/>
  <c r="O395" i="24" s="1"/>
  <c r="I354" i="24"/>
  <c r="O354" i="24" s="1"/>
  <c r="I336" i="24"/>
  <c r="O336" i="24" s="1"/>
  <c r="I318" i="24"/>
  <c r="O318" i="24" s="1"/>
  <c r="I314" i="24"/>
  <c r="I310" i="24"/>
  <c r="M310" i="24"/>
  <c r="N310" i="24" s="1"/>
  <c r="O310" i="24" s="1"/>
  <c r="N307" i="24"/>
  <c r="O307" i="24" s="1"/>
  <c r="O285" i="24"/>
  <c r="N373" i="24"/>
  <c r="N359" i="24"/>
  <c r="O359" i="24" s="1"/>
  <c r="N341" i="24"/>
  <c r="O341" i="24" s="1"/>
  <c r="N323" i="24"/>
  <c r="O323" i="24" s="1"/>
  <c r="O314" i="24"/>
  <c r="O245" i="24"/>
  <c r="O224" i="24"/>
  <c r="I309" i="24"/>
  <c r="O309" i="24" s="1"/>
  <c r="I305" i="24"/>
  <c r="I299" i="24"/>
  <c r="O299" i="24" s="1"/>
  <c r="I295" i="24"/>
  <c r="O295" i="24" s="1"/>
  <c r="I291" i="24"/>
  <c r="O291" i="24" s="1"/>
  <c r="O208" i="24"/>
  <c r="I124" i="24"/>
  <c r="M124" i="24"/>
  <c r="N124" i="24" s="1"/>
  <c r="I119" i="24"/>
  <c r="M119" i="24"/>
  <c r="N119" i="24" s="1"/>
  <c r="O98" i="24"/>
  <c r="I79" i="24"/>
  <c r="M79" i="24"/>
  <c r="N79" i="24" s="1"/>
  <c r="I53" i="24"/>
  <c r="M53" i="24"/>
  <c r="N53" i="24" s="1"/>
  <c r="O43" i="24"/>
  <c r="I28" i="24"/>
  <c r="M28" i="24"/>
  <c r="N28" i="24" s="1"/>
  <c r="I288" i="24"/>
  <c r="O288" i="24" s="1"/>
  <c r="I284" i="24"/>
  <c r="O284" i="24" s="1"/>
  <c r="I278" i="24"/>
  <c r="O278" i="24" s="1"/>
  <c r="I274" i="24"/>
  <c r="O274" i="24" s="1"/>
  <c r="I270" i="24"/>
  <c r="O270" i="24" s="1"/>
  <c r="I266" i="24"/>
  <c r="O266" i="24" s="1"/>
  <c r="I262" i="24"/>
  <c r="I256" i="24"/>
  <c r="O256" i="24" s="1"/>
  <c r="I252" i="24"/>
  <c r="O252" i="24" s="1"/>
  <c r="I248" i="24"/>
  <c r="O248" i="24" s="1"/>
  <c r="I244" i="24"/>
  <c r="O244" i="24" s="1"/>
  <c r="I240" i="24"/>
  <c r="I234" i="24"/>
  <c r="O234" i="24" s="1"/>
  <c r="I230" i="24"/>
  <c r="O230" i="24" s="1"/>
  <c r="I226" i="24"/>
  <c r="O226" i="24" s="1"/>
  <c r="I222" i="24"/>
  <c r="O222" i="24" s="1"/>
  <c r="I218" i="24"/>
  <c r="O218" i="24" s="1"/>
  <c r="I198" i="24"/>
  <c r="M198" i="24"/>
  <c r="N198" i="24" s="1"/>
  <c r="I165" i="24"/>
  <c r="M165" i="24"/>
  <c r="N165" i="24" s="1"/>
  <c r="I157" i="24"/>
  <c r="M157" i="24"/>
  <c r="N157" i="24" s="1"/>
  <c r="O143" i="24"/>
  <c r="I111" i="24"/>
  <c r="M111" i="24"/>
  <c r="N111" i="24" s="1"/>
  <c r="O89" i="24"/>
  <c r="N76" i="24"/>
  <c r="I71" i="24"/>
  <c r="M71" i="24"/>
  <c r="N71" i="24" s="1"/>
  <c r="N50" i="24"/>
  <c r="I9" i="24"/>
  <c r="M9" i="24"/>
  <c r="N9" i="24" s="1"/>
  <c r="I123" i="24"/>
  <c r="M123" i="24"/>
  <c r="N123" i="24" s="1"/>
  <c r="I108" i="24"/>
  <c r="M108" i="24"/>
  <c r="N108" i="24" s="1"/>
  <c r="I78" i="24"/>
  <c r="M78" i="24"/>
  <c r="N78" i="24" s="1"/>
  <c r="I57" i="24"/>
  <c r="M57" i="24"/>
  <c r="N57" i="24" s="1"/>
  <c r="I13" i="24"/>
  <c r="M13" i="24"/>
  <c r="N13" i="24" s="1"/>
  <c r="I202" i="24"/>
  <c r="M202" i="24"/>
  <c r="N202" i="24" s="1"/>
  <c r="I197" i="24"/>
  <c r="M197" i="24"/>
  <c r="N197" i="24" s="1"/>
  <c r="I169" i="24"/>
  <c r="M169" i="24"/>
  <c r="N169" i="24" s="1"/>
  <c r="I164" i="24"/>
  <c r="M164" i="24"/>
  <c r="N164" i="24" s="1"/>
  <c r="I156" i="24"/>
  <c r="M156" i="24"/>
  <c r="N156" i="24" s="1"/>
  <c r="I116" i="24"/>
  <c r="M116" i="24"/>
  <c r="N116" i="24" s="1"/>
  <c r="I75" i="24"/>
  <c r="M75" i="24"/>
  <c r="N75" i="24" s="1"/>
  <c r="I49" i="24"/>
  <c r="M49" i="24"/>
  <c r="N49" i="24" s="1"/>
  <c r="I206" i="24"/>
  <c r="M206" i="24"/>
  <c r="N206" i="24" s="1"/>
  <c r="I194" i="24"/>
  <c r="M194" i="24"/>
  <c r="N194" i="24" s="1"/>
  <c r="O188" i="24"/>
  <c r="O179" i="24"/>
  <c r="O175" i="24"/>
  <c r="I153" i="24"/>
  <c r="M153" i="24"/>
  <c r="N153" i="24" s="1"/>
  <c r="I107" i="24"/>
  <c r="M107" i="24"/>
  <c r="N107" i="24" s="1"/>
  <c r="O97" i="24"/>
  <c r="M269" i="24"/>
  <c r="N269" i="24" s="1"/>
  <c r="O269" i="24" s="1"/>
  <c r="M265" i="24"/>
  <c r="N265" i="24" s="1"/>
  <c r="O265" i="24" s="1"/>
  <c r="M261" i="24"/>
  <c r="N261" i="24" s="1"/>
  <c r="O261" i="24" s="1"/>
  <c r="M255" i="24"/>
  <c r="N255" i="24" s="1"/>
  <c r="O255" i="24" s="1"/>
  <c r="M251" i="24"/>
  <c r="N251" i="24" s="1"/>
  <c r="O251" i="24" s="1"/>
  <c r="M247" i="24"/>
  <c r="N247" i="24" s="1"/>
  <c r="O247" i="24" s="1"/>
  <c r="M243" i="24"/>
  <c r="N243" i="24" s="1"/>
  <c r="O243" i="24" s="1"/>
  <c r="M239" i="24"/>
  <c r="N239" i="24" s="1"/>
  <c r="O239" i="24" s="1"/>
  <c r="M233" i="24"/>
  <c r="N233" i="24" s="1"/>
  <c r="O233" i="24" s="1"/>
  <c r="M229" i="24"/>
  <c r="N229" i="24" s="1"/>
  <c r="O229" i="24" s="1"/>
  <c r="M225" i="24"/>
  <c r="N225" i="24" s="1"/>
  <c r="O225" i="24" s="1"/>
  <c r="M221" i="24"/>
  <c r="N221" i="24" s="1"/>
  <c r="O221" i="24" s="1"/>
  <c r="M217" i="24"/>
  <c r="N217" i="24" s="1"/>
  <c r="O217" i="24" s="1"/>
  <c r="M209" i="24"/>
  <c r="N209" i="24" s="1"/>
  <c r="O209" i="24" s="1"/>
  <c r="M205" i="24"/>
  <c r="N205" i="24" s="1"/>
  <c r="O205" i="24" s="1"/>
  <c r="I201" i="24"/>
  <c r="M201" i="24"/>
  <c r="N201" i="24" s="1"/>
  <c r="O201" i="24" s="1"/>
  <c r="O184" i="24"/>
  <c r="O172" i="24"/>
  <c r="I168" i="24"/>
  <c r="M168" i="24"/>
  <c r="N168" i="24" s="1"/>
  <c r="I161" i="24"/>
  <c r="M161" i="24"/>
  <c r="N161" i="24" s="1"/>
  <c r="I115" i="24"/>
  <c r="M115" i="24"/>
  <c r="N115" i="24" s="1"/>
  <c r="O115" i="24" s="1"/>
  <c r="O10" i="24"/>
  <c r="O191" i="24"/>
  <c r="O180" i="24"/>
  <c r="O176" i="24"/>
  <c r="I152" i="24"/>
  <c r="M152" i="24"/>
  <c r="N152" i="24" s="1"/>
  <c r="I120" i="24"/>
  <c r="M120" i="24"/>
  <c r="N120" i="24" s="1"/>
  <c r="O120" i="24" s="1"/>
  <c r="O102" i="24"/>
  <c r="I160" i="24"/>
  <c r="M160" i="24"/>
  <c r="N160" i="24" s="1"/>
  <c r="O147" i="24"/>
  <c r="I112" i="24"/>
  <c r="M112" i="24"/>
  <c r="N112" i="24" s="1"/>
  <c r="O112" i="24" s="1"/>
  <c r="N72" i="24"/>
  <c r="O39" i="24"/>
  <c r="M196" i="24"/>
  <c r="N196" i="24" s="1"/>
  <c r="O196" i="24" s="1"/>
  <c r="M163" i="24"/>
  <c r="N163" i="24" s="1"/>
  <c r="O163" i="24" s="1"/>
  <c r="M159" i="24"/>
  <c r="N159" i="24" s="1"/>
  <c r="O159" i="24" s="1"/>
  <c r="M155" i="24"/>
  <c r="N155" i="24" s="1"/>
  <c r="O155" i="24" s="1"/>
  <c r="M151" i="24"/>
  <c r="N151" i="24" s="1"/>
  <c r="O151" i="24" s="1"/>
  <c r="I113" i="24"/>
  <c r="O113" i="24" s="1"/>
  <c r="I109" i="24"/>
  <c r="O109" i="24" s="1"/>
  <c r="M106" i="24"/>
  <c r="N106" i="24" s="1"/>
  <c r="O106" i="24" s="1"/>
  <c r="I80" i="24"/>
  <c r="O80" i="24" s="1"/>
  <c r="I76" i="24"/>
  <c r="I72" i="24"/>
  <c r="I58" i="24"/>
  <c r="O58" i="24" s="1"/>
  <c r="I54" i="24"/>
  <c r="O54" i="24" s="1"/>
  <c r="M51" i="24"/>
  <c r="N51" i="24" s="1"/>
  <c r="O51" i="24" s="1"/>
  <c r="I50" i="24"/>
  <c r="I29" i="24"/>
  <c r="O29" i="24" s="1"/>
  <c r="M48" i="24"/>
  <c r="N48" i="24" s="1"/>
  <c r="O48" i="24" s="1"/>
  <c r="M67" i="24"/>
  <c r="N67" i="24" s="1"/>
  <c r="O67" i="24" s="1"/>
  <c r="M63" i="24"/>
  <c r="N63" i="24" s="1"/>
  <c r="O63" i="24" s="1"/>
  <c r="M42" i="24"/>
  <c r="N42" i="24" s="1"/>
  <c r="O42" i="24" s="1"/>
  <c r="M38" i="24"/>
  <c r="N38" i="24" s="1"/>
  <c r="O38" i="24" s="1"/>
  <c r="M34" i="24"/>
  <c r="N34" i="24" s="1"/>
  <c r="O34" i="24" s="1"/>
  <c r="M21" i="24"/>
  <c r="N21" i="24" s="1"/>
  <c r="O21" i="24" s="1"/>
  <c r="O58" i="23"/>
  <c r="O72" i="23"/>
  <c r="O30" i="23"/>
  <c r="O76" i="23"/>
  <c r="O38" i="23"/>
  <c r="O19" i="23"/>
  <c r="O11" i="23"/>
  <c r="O94" i="23"/>
  <c r="O52" i="23"/>
  <c r="M100" i="23"/>
  <c r="N100" i="23" s="1"/>
  <c r="O100" i="23" s="1"/>
  <c r="M96" i="23"/>
  <c r="N96" i="23" s="1"/>
  <c r="O96" i="23" s="1"/>
  <c r="M90" i="23"/>
  <c r="N90" i="23" s="1"/>
  <c r="O90" i="23" s="1"/>
  <c r="M84" i="23"/>
  <c r="N84" i="23" s="1"/>
  <c r="O84" i="23" s="1"/>
  <c r="M80" i="23"/>
  <c r="N80" i="23" s="1"/>
  <c r="O80" i="23" s="1"/>
  <c r="M74" i="23"/>
  <c r="N74" i="23" s="1"/>
  <c r="O74" i="23" s="1"/>
  <c r="M70" i="23"/>
  <c r="N70" i="23" s="1"/>
  <c r="O70" i="23" s="1"/>
  <c r="M64" i="23"/>
  <c r="N64" i="23" s="1"/>
  <c r="O64" i="23" s="1"/>
  <c r="M60" i="23"/>
  <c r="N60" i="23" s="1"/>
  <c r="O60" i="23" s="1"/>
  <c r="M54" i="23"/>
  <c r="N54" i="23" s="1"/>
  <c r="O54" i="23" s="1"/>
  <c r="M50" i="23"/>
  <c r="N50" i="23" s="1"/>
  <c r="O50" i="23" s="1"/>
  <c r="M44" i="23"/>
  <c r="N44" i="23" s="1"/>
  <c r="O44" i="23" s="1"/>
  <c r="M40" i="23"/>
  <c r="N40" i="23" s="1"/>
  <c r="O40" i="23" s="1"/>
  <c r="M34" i="23"/>
  <c r="N34" i="23" s="1"/>
  <c r="O34" i="23" s="1"/>
  <c r="M28" i="23"/>
  <c r="N28" i="23" s="1"/>
  <c r="O28" i="23" s="1"/>
  <c r="M24" i="23"/>
  <c r="N24" i="23" s="1"/>
  <c r="O24" i="23" s="1"/>
  <c r="M20" i="23"/>
  <c r="N20" i="23" s="1"/>
  <c r="O20" i="23" s="1"/>
  <c r="M16" i="23"/>
  <c r="N16" i="23" s="1"/>
  <c r="O16" i="23" s="1"/>
  <c r="M12" i="23"/>
  <c r="N12" i="23" s="1"/>
  <c r="O12" i="23" s="1"/>
  <c r="M8" i="23"/>
  <c r="N8" i="23" s="1"/>
  <c r="O8" i="23" s="1"/>
  <c r="O240" i="24" l="1"/>
  <c r="O329" i="24"/>
  <c r="O104" i="26"/>
  <c r="O10" i="25"/>
  <c r="O17" i="25"/>
  <c r="O335" i="24"/>
  <c r="O394" i="24"/>
  <c r="O430" i="24"/>
  <c r="O483" i="24"/>
  <c r="O94" i="24"/>
  <c r="O47" i="28"/>
  <c r="O26" i="24"/>
  <c r="O114" i="24"/>
  <c r="O273" i="24"/>
  <c r="O51" i="26"/>
  <c r="O492" i="24"/>
  <c r="O23" i="23"/>
  <c r="O71" i="23"/>
  <c r="O458" i="24"/>
  <c r="O399" i="24"/>
  <c r="O112" i="23"/>
  <c r="O473" i="24"/>
  <c r="O71" i="24"/>
  <c r="O157" i="24"/>
  <c r="O262" i="24"/>
  <c r="O296" i="24"/>
  <c r="O319" i="24"/>
  <c r="O109" i="26"/>
  <c r="O10" i="27"/>
  <c r="O96" i="26"/>
  <c r="O82" i="26"/>
  <c r="O141" i="26"/>
  <c r="O298" i="24"/>
  <c r="O497" i="24"/>
  <c r="O41" i="28"/>
  <c r="O38" i="29"/>
  <c r="O25" i="29"/>
  <c r="O114" i="25"/>
  <c r="O232" i="24"/>
  <c r="O69" i="23"/>
  <c r="O41" i="23"/>
  <c r="O156" i="24"/>
  <c r="O202" i="24"/>
  <c r="O108" i="24"/>
  <c r="O124" i="24"/>
  <c r="O300" i="24"/>
  <c r="O94" i="27"/>
  <c r="O79" i="26"/>
  <c r="O138" i="24"/>
  <c r="O18" i="24"/>
  <c r="O210" i="24"/>
  <c r="O115" i="23"/>
  <c r="O8" i="30"/>
  <c r="O101" i="29"/>
  <c r="O383" i="24"/>
  <c r="O14" i="30"/>
  <c r="O10" i="30"/>
  <c r="O13" i="28"/>
  <c r="O6" i="28"/>
  <c r="O52" i="28"/>
  <c r="O168" i="24"/>
  <c r="O153" i="24"/>
  <c r="O373" i="24"/>
  <c r="O328" i="24"/>
  <c r="O386" i="24"/>
  <c r="O349" i="24"/>
  <c r="O164" i="24"/>
  <c r="O13" i="24"/>
  <c r="O123" i="24"/>
  <c r="O76" i="24"/>
  <c r="O165" i="24"/>
  <c r="O53" i="24"/>
  <c r="O371" i="24"/>
  <c r="O167" i="24"/>
  <c r="O72" i="24"/>
  <c r="O75" i="24"/>
  <c r="O169" i="24"/>
  <c r="O57" i="24"/>
  <c r="O198" i="24"/>
  <c r="O216" i="24"/>
  <c r="O44" i="24"/>
  <c r="O419" i="24"/>
  <c r="O489" i="24"/>
  <c r="O287" i="24"/>
  <c r="O116" i="24"/>
  <c r="O197" i="24"/>
  <c r="O78" i="24"/>
  <c r="O396" i="24"/>
  <c r="O152" i="24"/>
  <c r="O161" i="24"/>
  <c r="O107" i="24"/>
  <c r="O119" i="24"/>
  <c r="O305" i="24"/>
  <c r="O301" i="24"/>
  <c r="O380" i="24"/>
  <c r="O466" i="24"/>
  <c r="O139" i="26"/>
  <c r="O26" i="26"/>
  <c r="O40" i="26"/>
  <c r="O98" i="27"/>
  <c r="O49" i="24"/>
  <c r="O194" i="24"/>
  <c r="O9" i="24"/>
  <c r="O111" i="24"/>
  <c r="O79" i="24"/>
  <c r="O160" i="24"/>
  <c r="O206" i="24"/>
  <c r="O50" i="24"/>
  <c r="O28" i="24"/>
  <c r="O306" i="24"/>
  <c r="J21" i="8" l="1"/>
  <c r="E21" i="8"/>
  <c r="J20" i="8"/>
  <c r="I20" i="8"/>
  <c r="E20" i="8"/>
  <c r="M20" i="8" s="1"/>
  <c r="N20" i="8" s="1"/>
  <c r="E15" i="8"/>
  <c r="J15" i="8"/>
  <c r="E19" i="8"/>
  <c r="J53" i="21"/>
  <c r="E53" i="21"/>
  <c r="J51" i="21"/>
  <c r="E51" i="21"/>
  <c r="J29" i="21"/>
  <c r="E29" i="21"/>
  <c r="J28" i="21"/>
  <c r="E28" i="21"/>
  <c r="J27" i="21"/>
  <c r="E27" i="21"/>
  <c r="M26" i="21"/>
  <c r="N26" i="21" s="1"/>
  <c r="J26" i="21"/>
  <c r="E26" i="21"/>
  <c r="I26" i="21" s="1"/>
  <c r="C168" i="2"/>
  <c r="E168" i="2" s="1"/>
  <c r="J168" i="2"/>
  <c r="J166" i="2"/>
  <c r="C166" i="2"/>
  <c r="E166" i="2" s="1"/>
  <c r="O20" i="8" l="1"/>
  <c r="I21" i="8"/>
  <c r="M21" i="8"/>
  <c r="N21" i="8" s="1"/>
  <c r="O21" i="8" s="1"/>
  <c r="I15" i="8"/>
  <c r="M15" i="8"/>
  <c r="N15" i="8" s="1"/>
  <c r="M53" i="21"/>
  <c r="N53" i="21" s="1"/>
  <c r="I53" i="21"/>
  <c r="I51" i="21"/>
  <c r="M51" i="21"/>
  <c r="N51" i="21" s="1"/>
  <c r="O26" i="21"/>
  <c r="M28" i="21"/>
  <c r="N28" i="21" s="1"/>
  <c r="I28" i="21"/>
  <c r="M27" i="21"/>
  <c r="N27" i="21" s="1"/>
  <c r="I27" i="21"/>
  <c r="M29" i="21"/>
  <c r="N29" i="21" s="1"/>
  <c r="I29" i="21"/>
  <c r="M168" i="2"/>
  <c r="N168" i="2" s="1"/>
  <c r="I168" i="2"/>
  <c r="M166" i="2"/>
  <c r="N166" i="2" s="1"/>
  <c r="I166" i="2"/>
  <c r="J160" i="2"/>
  <c r="C160" i="2"/>
  <c r="E160" i="2" s="1"/>
  <c r="J159" i="2"/>
  <c r="C159" i="2"/>
  <c r="E159" i="2" s="1"/>
  <c r="M159" i="2" s="1"/>
  <c r="J161" i="2"/>
  <c r="C161" i="2"/>
  <c r="E161" i="2" s="1"/>
  <c r="J158" i="2"/>
  <c r="E158" i="2"/>
  <c r="I158" i="2" s="1"/>
  <c r="C109" i="2"/>
  <c r="J113" i="2"/>
  <c r="C113" i="2"/>
  <c r="E113" i="2" s="1"/>
  <c r="M113" i="2" s="1"/>
  <c r="N113" i="2" s="1"/>
  <c r="J112" i="2"/>
  <c r="C112" i="2"/>
  <c r="E112" i="2" s="1"/>
  <c r="J111" i="2"/>
  <c r="C111" i="2"/>
  <c r="E111" i="2" s="1"/>
  <c r="J110" i="2"/>
  <c r="C110" i="2"/>
  <c r="E110" i="2" s="1"/>
  <c r="J109" i="2"/>
  <c r="E109" i="2"/>
  <c r="E108" i="2"/>
  <c r="C102" i="2"/>
  <c r="E102" i="2" s="1"/>
  <c r="I102" i="2" s="1"/>
  <c r="C95" i="2"/>
  <c r="C88" i="2"/>
  <c r="J106" i="2"/>
  <c r="C106" i="2"/>
  <c r="E106" i="2" s="1"/>
  <c r="J105" i="2"/>
  <c r="C105" i="2"/>
  <c r="E105" i="2" s="1"/>
  <c r="J104" i="2"/>
  <c r="C104" i="2"/>
  <c r="E104" i="2" s="1"/>
  <c r="M104" i="2" s="1"/>
  <c r="J103" i="2"/>
  <c r="C103" i="2"/>
  <c r="E103" i="2" s="1"/>
  <c r="J102" i="2"/>
  <c r="E101" i="2"/>
  <c r="J99" i="2"/>
  <c r="C99" i="2"/>
  <c r="E99" i="2" s="1"/>
  <c r="M99" i="2" s="1"/>
  <c r="N99" i="2" s="1"/>
  <c r="J98" i="2"/>
  <c r="C98" i="2"/>
  <c r="E98" i="2" s="1"/>
  <c r="J97" i="2"/>
  <c r="C97" i="2"/>
  <c r="E97" i="2" s="1"/>
  <c r="J96" i="2"/>
  <c r="C96" i="2"/>
  <c r="E96" i="2" s="1"/>
  <c r="J95" i="2"/>
  <c r="E95" i="2"/>
  <c r="E94" i="2"/>
  <c r="J92" i="2"/>
  <c r="C92" i="2"/>
  <c r="E92" i="2" s="1"/>
  <c r="M92" i="2" s="1"/>
  <c r="J91" i="2"/>
  <c r="C91" i="2"/>
  <c r="E91" i="2" s="1"/>
  <c r="J90" i="2"/>
  <c r="C90" i="2"/>
  <c r="E90" i="2" s="1"/>
  <c r="J89" i="2"/>
  <c r="C89" i="2"/>
  <c r="E89" i="2" s="1"/>
  <c r="J88" i="2"/>
  <c r="E88" i="2"/>
  <c r="M88" i="2" s="1"/>
  <c r="E87" i="2"/>
  <c r="C81" i="2"/>
  <c r="J85" i="2"/>
  <c r="C85" i="2"/>
  <c r="E85" i="2" s="1"/>
  <c r="J84" i="2"/>
  <c r="C84" i="2"/>
  <c r="E84" i="2" s="1"/>
  <c r="M84" i="2" s="1"/>
  <c r="J83" i="2"/>
  <c r="C83" i="2"/>
  <c r="E83" i="2" s="1"/>
  <c r="J82" i="2"/>
  <c r="C82" i="2"/>
  <c r="E82" i="2" s="1"/>
  <c r="I82" i="2" s="1"/>
  <c r="J81" i="2"/>
  <c r="E81" i="2"/>
  <c r="E80" i="2"/>
  <c r="C74" i="2"/>
  <c r="E74" i="2" s="1"/>
  <c r="J78" i="2"/>
  <c r="C78" i="2"/>
  <c r="E78" i="2" s="1"/>
  <c r="M78" i="2" s="1"/>
  <c r="J77" i="2"/>
  <c r="C77" i="2"/>
  <c r="E77" i="2" s="1"/>
  <c r="J76" i="2"/>
  <c r="C76" i="2"/>
  <c r="E76" i="2" s="1"/>
  <c r="M76" i="2" s="1"/>
  <c r="N76" i="2" s="1"/>
  <c r="J75" i="2"/>
  <c r="C75" i="2"/>
  <c r="E75" i="2" s="1"/>
  <c r="J74" i="2"/>
  <c r="E73" i="2"/>
  <c r="J154" i="2"/>
  <c r="E154" i="2"/>
  <c r="J153" i="2"/>
  <c r="E153" i="2"/>
  <c r="J152" i="2"/>
  <c r="E152" i="2"/>
  <c r="J151" i="2"/>
  <c r="E151" i="2"/>
  <c r="J141" i="2"/>
  <c r="C141" i="2"/>
  <c r="E141" i="2" s="1"/>
  <c r="J140" i="2"/>
  <c r="C140" i="2"/>
  <c r="E140" i="2" s="1"/>
  <c r="M140" i="2" s="1"/>
  <c r="N140" i="2" s="1"/>
  <c r="J139" i="2"/>
  <c r="C139" i="2"/>
  <c r="E139" i="2" s="1"/>
  <c r="J138" i="2"/>
  <c r="C138" i="2"/>
  <c r="E138" i="2" s="1"/>
  <c r="J137" i="2"/>
  <c r="C137" i="2"/>
  <c r="E137" i="2" s="1"/>
  <c r="J136" i="2"/>
  <c r="E136" i="2"/>
  <c r="M136" i="2" s="1"/>
  <c r="N136" i="2" s="1"/>
  <c r="J134" i="2"/>
  <c r="C134" i="2"/>
  <c r="E134" i="2" s="1"/>
  <c r="J133" i="2"/>
  <c r="C133" i="2"/>
  <c r="E133" i="2" s="1"/>
  <c r="J132" i="2"/>
  <c r="C132" i="2"/>
  <c r="E132" i="2" s="1"/>
  <c r="M132" i="2" s="1"/>
  <c r="J131" i="2"/>
  <c r="C131" i="2"/>
  <c r="E131" i="2" s="1"/>
  <c r="J130" i="2"/>
  <c r="C130" i="2"/>
  <c r="E130" i="2" s="1"/>
  <c r="J129" i="2"/>
  <c r="E129" i="2"/>
  <c r="M129" i="2" s="1"/>
  <c r="N129" i="2" s="1"/>
  <c r="J127" i="2"/>
  <c r="C127" i="2"/>
  <c r="E127" i="2" s="1"/>
  <c r="J126" i="2"/>
  <c r="C126" i="2"/>
  <c r="E126" i="2" s="1"/>
  <c r="J125" i="2"/>
  <c r="C125" i="2"/>
  <c r="E125" i="2" s="1"/>
  <c r="J124" i="2"/>
  <c r="C124" i="2"/>
  <c r="E124" i="2" s="1"/>
  <c r="J123" i="2"/>
  <c r="C123" i="2"/>
  <c r="E123" i="2" s="1"/>
  <c r="J122" i="2"/>
  <c r="E122" i="2"/>
  <c r="M122" i="2" s="1"/>
  <c r="J120" i="2"/>
  <c r="C120" i="2"/>
  <c r="E120" i="2" s="1"/>
  <c r="M120" i="2" s="1"/>
  <c r="N120" i="2" s="1"/>
  <c r="J119" i="2"/>
  <c r="C119" i="2"/>
  <c r="E119" i="2" s="1"/>
  <c r="J118" i="2"/>
  <c r="C118" i="2"/>
  <c r="E118" i="2" s="1"/>
  <c r="M118" i="2" s="1"/>
  <c r="J117" i="2"/>
  <c r="C117" i="2"/>
  <c r="E117" i="2" s="1"/>
  <c r="J116" i="2"/>
  <c r="C116" i="2"/>
  <c r="E116" i="2" s="1"/>
  <c r="J115" i="2"/>
  <c r="E115" i="2"/>
  <c r="M115" i="2" s="1"/>
  <c r="N115" i="2" s="1"/>
  <c r="J27" i="22"/>
  <c r="C42" i="22"/>
  <c r="E42" i="22" s="1"/>
  <c r="J42" i="22"/>
  <c r="C57" i="22"/>
  <c r="J57" i="22"/>
  <c r="J62" i="22"/>
  <c r="C62" i="22"/>
  <c r="E62" i="22" s="1"/>
  <c r="M62" i="22" s="1"/>
  <c r="J67" i="22"/>
  <c r="C67" i="22"/>
  <c r="E67" i="22" s="1"/>
  <c r="J72" i="22"/>
  <c r="C72" i="22"/>
  <c r="E72" i="22" s="1"/>
  <c r="J77" i="22"/>
  <c r="C77" i="22"/>
  <c r="E77" i="22" s="1"/>
  <c r="M77" i="22" s="1"/>
  <c r="N77" i="22" s="1"/>
  <c r="C82" i="22"/>
  <c r="E82" i="22" s="1"/>
  <c r="M82" i="22" s="1"/>
  <c r="J82" i="22"/>
  <c r="J88" i="22"/>
  <c r="C88" i="22"/>
  <c r="E88" i="22" s="1"/>
  <c r="J87" i="22"/>
  <c r="C87" i="22"/>
  <c r="E87" i="22" s="1"/>
  <c r="J86" i="22"/>
  <c r="C86" i="22"/>
  <c r="E86" i="22" s="1"/>
  <c r="J85" i="22"/>
  <c r="C85" i="22"/>
  <c r="E85" i="22" s="1"/>
  <c r="M85" i="22" s="1"/>
  <c r="J91" i="22"/>
  <c r="C91" i="22"/>
  <c r="E91" i="22" s="1"/>
  <c r="I91" i="22" s="1"/>
  <c r="C92" i="22"/>
  <c r="E92" i="22" s="1"/>
  <c r="C94" i="22"/>
  <c r="E94" i="22" s="1"/>
  <c r="J94" i="22"/>
  <c r="C147" i="22"/>
  <c r="E147" i="22" s="1"/>
  <c r="J147" i="22"/>
  <c r="J146" i="22"/>
  <c r="C146" i="22"/>
  <c r="E146" i="22" s="1"/>
  <c r="J145" i="22"/>
  <c r="C145" i="22"/>
  <c r="E145" i="22" s="1"/>
  <c r="J140" i="22"/>
  <c r="C140" i="22"/>
  <c r="E140" i="22" s="1"/>
  <c r="M140" i="22" s="1"/>
  <c r="J139" i="22"/>
  <c r="C139" i="22"/>
  <c r="E139" i="22" s="1"/>
  <c r="J138" i="22"/>
  <c r="C138" i="22"/>
  <c r="E138" i="22" s="1"/>
  <c r="M138" i="22" s="1"/>
  <c r="J135" i="22"/>
  <c r="C135" i="22"/>
  <c r="E135" i="22" s="1"/>
  <c r="M135" i="22" s="1"/>
  <c r="J134" i="22"/>
  <c r="C134" i="22"/>
  <c r="E134" i="22" s="1"/>
  <c r="J133" i="22"/>
  <c r="C133" i="22"/>
  <c r="E133" i="22" s="1"/>
  <c r="J130" i="22"/>
  <c r="C130" i="22"/>
  <c r="E130" i="22" s="1"/>
  <c r="J129" i="22"/>
  <c r="C129" i="22"/>
  <c r="E129" i="22" s="1"/>
  <c r="M129" i="22" s="1"/>
  <c r="J128" i="22"/>
  <c r="C128" i="22"/>
  <c r="E128" i="22" s="1"/>
  <c r="J125" i="22"/>
  <c r="C125" i="22"/>
  <c r="E125" i="22" s="1"/>
  <c r="J124" i="22"/>
  <c r="C124" i="22"/>
  <c r="E124" i="22" s="1"/>
  <c r="M124" i="22" s="1"/>
  <c r="J123" i="22"/>
  <c r="C123" i="22"/>
  <c r="E123" i="22" s="1"/>
  <c r="J120" i="22"/>
  <c r="C120" i="22"/>
  <c r="E120" i="22" s="1"/>
  <c r="M120" i="22" s="1"/>
  <c r="J119" i="22"/>
  <c r="C119" i="22"/>
  <c r="E119" i="22" s="1"/>
  <c r="J118" i="22"/>
  <c r="C118" i="22"/>
  <c r="E118" i="22" s="1"/>
  <c r="J115" i="22"/>
  <c r="C115" i="22"/>
  <c r="E115" i="22" s="1"/>
  <c r="M115" i="22" s="1"/>
  <c r="J114" i="22"/>
  <c r="C114" i="22"/>
  <c r="E114" i="22" s="1"/>
  <c r="J113" i="22"/>
  <c r="C113" i="22"/>
  <c r="E113" i="22" s="1"/>
  <c r="J110" i="22"/>
  <c r="C110" i="22"/>
  <c r="E110" i="22" s="1"/>
  <c r="J109" i="22"/>
  <c r="C109" i="22"/>
  <c r="E109" i="22" s="1"/>
  <c r="J108" i="22"/>
  <c r="C108" i="22"/>
  <c r="E108" i="22" s="1"/>
  <c r="J105" i="22"/>
  <c r="C105" i="22"/>
  <c r="E105" i="22" s="1"/>
  <c r="J104" i="22"/>
  <c r="C104" i="22"/>
  <c r="E104" i="22" s="1"/>
  <c r="M104" i="22" s="1"/>
  <c r="J103" i="22"/>
  <c r="C103" i="22"/>
  <c r="E103" i="22" s="1"/>
  <c r="J93" i="22"/>
  <c r="C93" i="22"/>
  <c r="E93" i="22" s="1"/>
  <c r="J92" i="22"/>
  <c r="J81" i="22"/>
  <c r="C81" i="22"/>
  <c r="E81" i="22" s="1"/>
  <c r="J80" i="22"/>
  <c r="C80" i="22"/>
  <c r="E80" i="22" s="1"/>
  <c r="M80" i="22" s="1"/>
  <c r="J76" i="22"/>
  <c r="C76" i="22"/>
  <c r="E76" i="22" s="1"/>
  <c r="J75" i="22"/>
  <c r="C75" i="22"/>
  <c r="E75" i="22" s="1"/>
  <c r="J71" i="22"/>
  <c r="C71" i="22"/>
  <c r="E71" i="22" s="1"/>
  <c r="J70" i="22"/>
  <c r="C70" i="22"/>
  <c r="E70" i="22" s="1"/>
  <c r="J66" i="22"/>
  <c r="C66" i="22"/>
  <c r="E66" i="22" s="1"/>
  <c r="J65" i="22"/>
  <c r="C65" i="22"/>
  <c r="E65" i="22" s="1"/>
  <c r="M65" i="22" s="1"/>
  <c r="J61" i="22"/>
  <c r="C61" i="22"/>
  <c r="E61" i="22" s="1"/>
  <c r="J60" i="22"/>
  <c r="C60" i="22"/>
  <c r="E60" i="22" s="1"/>
  <c r="J56" i="22"/>
  <c r="C56" i="22"/>
  <c r="E56" i="22" s="1"/>
  <c r="J55" i="22"/>
  <c r="C55" i="22"/>
  <c r="E55" i="22" s="1"/>
  <c r="J52" i="22"/>
  <c r="C52" i="22"/>
  <c r="E52" i="22" s="1"/>
  <c r="J51" i="22"/>
  <c r="C51" i="22"/>
  <c r="E51" i="22" s="1"/>
  <c r="M51" i="22" s="1"/>
  <c r="J50" i="22"/>
  <c r="C50" i="22"/>
  <c r="E50" i="22" s="1"/>
  <c r="J47" i="22"/>
  <c r="C47" i="22"/>
  <c r="E47" i="22" s="1"/>
  <c r="J46" i="22"/>
  <c r="C46" i="22"/>
  <c r="E46" i="22" s="1"/>
  <c r="J45" i="22"/>
  <c r="C45" i="22"/>
  <c r="E45" i="22" s="1"/>
  <c r="J41" i="22"/>
  <c r="C41" i="22"/>
  <c r="E41" i="22" s="1"/>
  <c r="J40" i="22"/>
  <c r="C40" i="22"/>
  <c r="E40" i="22" s="1"/>
  <c r="J37" i="22"/>
  <c r="C37" i="22"/>
  <c r="E37" i="22" s="1"/>
  <c r="J36" i="22"/>
  <c r="C36" i="22"/>
  <c r="E36" i="22" s="1"/>
  <c r="J35" i="22"/>
  <c r="C35" i="22"/>
  <c r="E35" i="22" s="1"/>
  <c r="J32" i="22"/>
  <c r="C32" i="22"/>
  <c r="E32" i="22" s="1"/>
  <c r="J31" i="22"/>
  <c r="C31" i="22"/>
  <c r="E31" i="22" s="1"/>
  <c r="M31" i="22" s="1"/>
  <c r="J30" i="22"/>
  <c r="C30" i="22"/>
  <c r="E30" i="22" s="1"/>
  <c r="C27" i="22"/>
  <c r="E27" i="22" s="1"/>
  <c r="M27" i="22" s="1"/>
  <c r="N27" i="22" s="1"/>
  <c r="J26" i="22"/>
  <c r="C26" i="22"/>
  <c r="E26" i="22" s="1"/>
  <c r="J25" i="22"/>
  <c r="C25" i="22"/>
  <c r="E25" i="22" s="1"/>
  <c r="J22" i="22"/>
  <c r="C22" i="22"/>
  <c r="E22" i="22" s="1"/>
  <c r="J21" i="22"/>
  <c r="C21" i="22"/>
  <c r="E21" i="22" s="1"/>
  <c r="I21" i="22" s="1"/>
  <c r="J20" i="22"/>
  <c r="C20" i="22"/>
  <c r="E20" i="22" s="1"/>
  <c r="J17" i="22"/>
  <c r="C17" i="22"/>
  <c r="E17" i="22" s="1"/>
  <c r="J16" i="22"/>
  <c r="C16" i="22"/>
  <c r="E16" i="22" s="1"/>
  <c r="J15" i="22"/>
  <c r="C15" i="22"/>
  <c r="E15" i="22" s="1"/>
  <c r="J10" i="22"/>
  <c r="C10" i="22"/>
  <c r="E10" i="22" s="1"/>
  <c r="N159" i="2" l="1"/>
  <c r="N88" i="2"/>
  <c r="O15" i="8"/>
  <c r="O53" i="21"/>
  <c r="O29" i="21"/>
  <c r="O51" i="21"/>
  <c r="O27" i="21"/>
  <c r="O28" i="21"/>
  <c r="N92" i="2"/>
  <c r="N132" i="2"/>
  <c r="O168" i="2"/>
  <c r="O166" i="2"/>
  <c r="I138" i="2"/>
  <c r="M138" i="2"/>
  <c r="N138" i="2" s="1"/>
  <c r="I110" i="2"/>
  <c r="M110" i="2"/>
  <c r="N110" i="2" s="1"/>
  <c r="N84" i="2"/>
  <c r="N104" i="2"/>
  <c r="M160" i="2"/>
  <c r="N160" i="2" s="1"/>
  <c r="I160" i="2"/>
  <c r="I159" i="2"/>
  <c r="O159" i="2" s="1"/>
  <c r="M161" i="2"/>
  <c r="N161" i="2" s="1"/>
  <c r="I161" i="2"/>
  <c r="M158" i="2"/>
  <c r="N158" i="2" s="1"/>
  <c r="O158" i="2" s="1"/>
  <c r="M109" i="2"/>
  <c r="N109" i="2" s="1"/>
  <c r="I109" i="2"/>
  <c r="M112" i="2"/>
  <c r="N112" i="2" s="1"/>
  <c r="I112" i="2"/>
  <c r="I111" i="2"/>
  <c r="M111" i="2"/>
  <c r="N111" i="2" s="1"/>
  <c r="I113" i="2"/>
  <c r="O113" i="2" s="1"/>
  <c r="I106" i="2"/>
  <c r="M106" i="2"/>
  <c r="N106" i="2" s="1"/>
  <c r="I96" i="2"/>
  <c r="M96" i="2"/>
  <c r="N96" i="2" s="1"/>
  <c r="O96" i="2" s="1"/>
  <c r="M105" i="2"/>
  <c r="N105" i="2" s="1"/>
  <c r="I105" i="2"/>
  <c r="I103" i="2"/>
  <c r="M103" i="2"/>
  <c r="N103" i="2" s="1"/>
  <c r="M102" i="2"/>
  <c r="N102" i="2" s="1"/>
  <c r="O102" i="2" s="1"/>
  <c r="I104" i="2"/>
  <c r="M97" i="2"/>
  <c r="N97" i="2" s="1"/>
  <c r="I97" i="2"/>
  <c r="I95" i="2"/>
  <c r="M95" i="2"/>
  <c r="N95" i="2" s="1"/>
  <c r="M98" i="2"/>
  <c r="N98" i="2" s="1"/>
  <c r="I98" i="2"/>
  <c r="I99" i="2"/>
  <c r="O99" i="2" s="1"/>
  <c r="N78" i="2"/>
  <c r="I90" i="2"/>
  <c r="M90" i="2"/>
  <c r="N90" i="2" s="1"/>
  <c r="I91" i="2"/>
  <c r="M91" i="2"/>
  <c r="N91" i="2" s="1"/>
  <c r="I89" i="2"/>
  <c r="M89" i="2"/>
  <c r="N89" i="2" s="1"/>
  <c r="I88" i="2"/>
  <c r="O88" i="2" s="1"/>
  <c r="I92" i="2"/>
  <c r="O92" i="2" s="1"/>
  <c r="I83" i="2"/>
  <c r="M83" i="2"/>
  <c r="N83" i="2" s="1"/>
  <c r="M81" i="2"/>
  <c r="N81" i="2" s="1"/>
  <c r="I81" i="2"/>
  <c r="M85" i="2"/>
  <c r="N85" i="2" s="1"/>
  <c r="I85" i="2"/>
  <c r="M82" i="2"/>
  <c r="N82" i="2" s="1"/>
  <c r="O82" i="2" s="1"/>
  <c r="I84" i="2"/>
  <c r="O84" i="2" s="1"/>
  <c r="I129" i="2"/>
  <c r="O129" i="2" s="1"/>
  <c r="M77" i="2"/>
  <c r="N77" i="2" s="1"/>
  <c r="I77" i="2"/>
  <c r="I75" i="2"/>
  <c r="M75" i="2"/>
  <c r="N75" i="2" s="1"/>
  <c r="M74" i="2"/>
  <c r="N74" i="2" s="1"/>
  <c r="I74" i="2"/>
  <c r="I78" i="2"/>
  <c r="I76" i="2"/>
  <c r="O76" i="2" s="1"/>
  <c r="I136" i="2"/>
  <c r="O136" i="2" s="1"/>
  <c r="N122" i="2"/>
  <c r="N118" i="2"/>
  <c r="M154" i="2"/>
  <c r="N154" i="2" s="1"/>
  <c r="I154" i="2"/>
  <c r="I151" i="2"/>
  <c r="M151" i="2"/>
  <c r="N151" i="2" s="1"/>
  <c r="M153" i="2"/>
  <c r="N153" i="2" s="1"/>
  <c r="I153" i="2"/>
  <c r="I152" i="2"/>
  <c r="M152" i="2"/>
  <c r="N152" i="2" s="1"/>
  <c r="M139" i="2"/>
  <c r="N139" i="2" s="1"/>
  <c r="I139" i="2"/>
  <c r="I137" i="2"/>
  <c r="M137" i="2"/>
  <c r="N137" i="2" s="1"/>
  <c r="M141" i="2"/>
  <c r="N141" i="2" s="1"/>
  <c r="I141" i="2"/>
  <c r="I140" i="2"/>
  <c r="O140" i="2" s="1"/>
  <c r="M133" i="2"/>
  <c r="N133" i="2" s="1"/>
  <c r="I133" i="2"/>
  <c r="I130" i="2"/>
  <c r="M130" i="2"/>
  <c r="N130" i="2" s="1"/>
  <c r="M134" i="2"/>
  <c r="N134" i="2" s="1"/>
  <c r="I134" i="2"/>
  <c r="I131" i="2"/>
  <c r="M131" i="2"/>
  <c r="N131" i="2" s="1"/>
  <c r="I132" i="2"/>
  <c r="I124" i="2"/>
  <c r="M124" i="2"/>
  <c r="N124" i="2" s="1"/>
  <c r="I115" i="2"/>
  <c r="O115" i="2" s="1"/>
  <c r="I122" i="2"/>
  <c r="M126" i="2"/>
  <c r="N126" i="2" s="1"/>
  <c r="I126" i="2"/>
  <c r="M125" i="2"/>
  <c r="N125" i="2" s="1"/>
  <c r="I125" i="2"/>
  <c r="I123" i="2"/>
  <c r="M123" i="2"/>
  <c r="N123" i="2" s="1"/>
  <c r="M127" i="2"/>
  <c r="N127" i="2" s="1"/>
  <c r="I127" i="2"/>
  <c r="I116" i="2"/>
  <c r="M116" i="2"/>
  <c r="N116" i="2" s="1"/>
  <c r="M119" i="2"/>
  <c r="N119" i="2" s="1"/>
  <c r="I119" i="2"/>
  <c r="I117" i="2"/>
  <c r="M117" i="2"/>
  <c r="N117" i="2" s="1"/>
  <c r="I120" i="2"/>
  <c r="O120" i="2" s="1"/>
  <c r="I118" i="2"/>
  <c r="I27" i="22"/>
  <c r="O27" i="22" s="1"/>
  <c r="N62" i="22"/>
  <c r="N135" i="22"/>
  <c r="M42" i="22"/>
  <c r="N42" i="22" s="1"/>
  <c r="I42" i="22"/>
  <c r="N85" i="22"/>
  <c r="N82" i="22"/>
  <c r="N138" i="22"/>
  <c r="I62" i="22"/>
  <c r="M67" i="22"/>
  <c r="N67" i="22" s="1"/>
  <c r="I67" i="22"/>
  <c r="M72" i="22"/>
  <c r="N72" i="22" s="1"/>
  <c r="I72" i="22"/>
  <c r="I77" i="22"/>
  <c r="O77" i="22" s="1"/>
  <c r="I82" i="22"/>
  <c r="O82" i="22" s="1"/>
  <c r="I87" i="22"/>
  <c r="M87" i="22"/>
  <c r="N87" i="22" s="1"/>
  <c r="M91" i="22"/>
  <c r="N91" i="22" s="1"/>
  <c r="O91" i="22" s="1"/>
  <c r="I85" i="22"/>
  <c r="M86" i="22"/>
  <c r="N86" i="22" s="1"/>
  <c r="I86" i="22"/>
  <c r="M88" i="22"/>
  <c r="N88" i="22" s="1"/>
  <c r="I88" i="22"/>
  <c r="N65" i="22"/>
  <c r="N120" i="22"/>
  <c r="N124" i="22"/>
  <c r="N80" i="22"/>
  <c r="N115" i="22"/>
  <c r="N140" i="22"/>
  <c r="M94" i="22"/>
  <c r="N94" i="22" s="1"/>
  <c r="I94" i="22"/>
  <c r="N31" i="22"/>
  <c r="N51" i="22"/>
  <c r="N104" i="22"/>
  <c r="M21" i="22"/>
  <c r="N21" i="22" s="1"/>
  <c r="O21" i="22" s="1"/>
  <c r="N129" i="22"/>
  <c r="M147" i="22"/>
  <c r="N147" i="22" s="1"/>
  <c r="I147" i="22"/>
  <c r="M145" i="22"/>
  <c r="N145" i="22" s="1"/>
  <c r="I145" i="22"/>
  <c r="M146" i="22"/>
  <c r="N146" i="22" s="1"/>
  <c r="I146" i="22"/>
  <c r="M139" i="22"/>
  <c r="N139" i="22" s="1"/>
  <c r="I139" i="22"/>
  <c r="I140" i="22"/>
  <c r="O140" i="22" s="1"/>
  <c r="I138" i="22"/>
  <c r="M133" i="22"/>
  <c r="N133" i="22" s="1"/>
  <c r="I133" i="22"/>
  <c r="M134" i="22"/>
  <c r="N134" i="22" s="1"/>
  <c r="I134" i="22"/>
  <c r="I135" i="22"/>
  <c r="O135" i="22" s="1"/>
  <c r="M128" i="22"/>
  <c r="N128" i="22" s="1"/>
  <c r="I128" i="22"/>
  <c r="M130" i="22"/>
  <c r="N130" i="22" s="1"/>
  <c r="I130" i="22"/>
  <c r="I129" i="22"/>
  <c r="M123" i="22"/>
  <c r="N123" i="22" s="1"/>
  <c r="I123" i="22"/>
  <c r="M125" i="22"/>
  <c r="N125" i="22" s="1"/>
  <c r="I125" i="22"/>
  <c r="I124" i="22"/>
  <c r="I118" i="22"/>
  <c r="M118" i="22"/>
  <c r="N118" i="22" s="1"/>
  <c r="M119" i="22"/>
  <c r="N119" i="22" s="1"/>
  <c r="I119" i="22"/>
  <c r="I120" i="22"/>
  <c r="M113" i="22"/>
  <c r="N113" i="22" s="1"/>
  <c r="I113" i="22"/>
  <c r="M114" i="22"/>
  <c r="N114" i="22" s="1"/>
  <c r="I114" i="22"/>
  <c r="I115" i="22"/>
  <c r="M109" i="22"/>
  <c r="N109" i="22" s="1"/>
  <c r="I109" i="22"/>
  <c r="M108" i="22"/>
  <c r="N108" i="22" s="1"/>
  <c r="I108" i="22"/>
  <c r="M110" i="22"/>
  <c r="N110" i="22" s="1"/>
  <c r="I110" i="22"/>
  <c r="M103" i="22"/>
  <c r="N103" i="22" s="1"/>
  <c r="I103" i="22"/>
  <c r="M105" i="22"/>
  <c r="N105" i="22" s="1"/>
  <c r="I105" i="22"/>
  <c r="I104" i="22"/>
  <c r="M92" i="22"/>
  <c r="N92" i="22" s="1"/>
  <c r="I92" i="22"/>
  <c r="M93" i="22"/>
  <c r="N93" i="22" s="1"/>
  <c r="I93" i="22"/>
  <c r="M81" i="22"/>
  <c r="N81" i="22" s="1"/>
  <c r="I81" i="22"/>
  <c r="I80" i="22"/>
  <c r="M76" i="22"/>
  <c r="N76" i="22" s="1"/>
  <c r="I76" i="22"/>
  <c r="M75" i="22"/>
  <c r="N75" i="22" s="1"/>
  <c r="I75" i="22"/>
  <c r="M70" i="22"/>
  <c r="N70" i="22" s="1"/>
  <c r="I70" i="22"/>
  <c r="M71" i="22"/>
  <c r="N71" i="22" s="1"/>
  <c r="I71" i="22"/>
  <c r="M66" i="22"/>
  <c r="N66" i="22" s="1"/>
  <c r="I66" i="22"/>
  <c r="I65" i="22"/>
  <c r="M60" i="22"/>
  <c r="N60" i="22" s="1"/>
  <c r="I60" i="22"/>
  <c r="M61" i="22"/>
  <c r="N61" i="22" s="1"/>
  <c r="I61" i="22"/>
  <c r="M55" i="22"/>
  <c r="N55" i="22" s="1"/>
  <c r="I55" i="22"/>
  <c r="M56" i="22"/>
  <c r="N56" i="22" s="1"/>
  <c r="I56" i="22"/>
  <c r="M50" i="22"/>
  <c r="N50" i="22" s="1"/>
  <c r="I50" i="22"/>
  <c r="M52" i="22"/>
  <c r="N52" i="22" s="1"/>
  <c r="I52" i="22"/>
  <c r="I51" i="22"/>
  <c r="M45" i="22"/>
  <c r="N45" i="22" s="1"/>
  <c r="I45" i="22"/>
  <c r="M46" i="22"/>
  <c r="N46" i="22" s="1"/>
  <c r="I46" i="22"/>
  <c r="M47" i="22"/>
  <c r="N47" i="22" s="1"/>
  <c r="I47" i="22"/>
  <c r="M40" i="22"/>
  <c r="N40" i="22" s="1"/>
  <c r="I40" i="22"/>
  <c r="M41" i="22"/>
  <c r="N41" i="22" s="1"/>
  <c r="I41" i="22"/>
  <c r="M35" i="22"/>
  <c r="N35" i="22" s="1"/>
  <c r="I35" i="22"/>
  <c r="M36" i="22"/>
  <c r="N36" i="22" s="1"/>
  <c r="I36" i="22"/>
  <c r="M37" i="22"/>
  <c r="N37" i="22" s="1"/>
  <c r="I37" i="22"/>
  <c r="M30" i="22"/>
  <c r="N30" i="22" s="1"/>
  <c r="I30" i="22"/>
  <c r="M32" i="22"/>
  <c r="N32" i="22" s="1"/>
  <c r="I32" i="22"/>
  <c r="I31" i="22"/>
  <c r="M26" i="22"/>
  <c r="N26" i="22" s="1"/>
  <c r="I26" i="22"/>
  <c r="M25" i="22"/>
  <c r="N25" i="22" s="1"/>
  <c r="I25" i="22"/>
  <c r="M20" i="22"/>
  <c r="N20" i="22" s="1"/>
  <c r="I20" i="22"/>
  <c r="M22" i="22"/>
  <c r="N22" i="22" s="1"/>
  <c r="I22" i="22"/>
  <c r="M15" i="22"/>
  <c r="N15" i="22" s="1"/>
  <c r="I15" i="22"/>
  <c r="M17" i="22"/>
  <c r="N17" i="22" s="1"/>
  <c r="I17" i="22"/>
  <c r="M16" i="22"/>
  <c r="N16" i="22" s="1"/>
  <c r="I16" i="22"/>
  <c r="I10" i="22"/>
  <c r="M10" i="22"/>
  <c r="N10" i="22" s="1"/>
  <c r="O110" i="2" l="1"/>
  <c r="O62" i="22"/>
  <c r="O111" i="2"/>
  <c r="O161" i="2"/>
  <c r="O138" i="2"/>
  <c r="O132" i="2"/>
  <c r="O116" i="2"/>
  <c r="O122" i="2"/>
  <c r="O112" i="2"/>
  <c r="O106" i="2"/>
  <c r="O104" i="2"/>
  <c r="O123" i="2"/>
  <c r="O151" i="2"/>
  <c r="O95" i="2"/>
  <c r="O124" i="2"/>
  <c r="O130" i="2"/>
  <c r="O137" i="2"/>
  <c r="O125" i="2"/>
  <c r="O118" i="2"/>
  <c r="O160" i="2"/>
  <c r="O109" i="2"/>
  <c r="O105" i="2"/>
  <c r="O97" i="2"/>
  <c r="O78" i="2"/>
  <c r="O103" i="2"/>
  <c r="O98" i="2"/>
  <c r="O89" i="2"/>
  <c r="O91" i="2"/>
  <c r="O90" i="2"/>
  <c r="O85" i="2"/>
  <c r="O81" i="2"/>
  <c r="O83" i="2"/>
  <c r="O75" i="2"/>
  <c r="O74" i="2"/>
  <c r="O77" i="2"/>
  <c r="O154" i="2"/>
  <c r="O117" i="2"/>
  <c r="O153" i="2"/>
  <c r="O152" i="2"/>
  <c r="O141" i="2"/>
  <c r="O139" i="2"/>
  <c r="O134" i="2"/>
  <c r="O131" i="2"/>
  <c r="O133" i="2"/>
  <c r="O119" i="2"/>
  <c r="O127" i="2"/>
  <c r="O126" i="2"/>
  <c r="O138" i="22"/>
  <c r="O65" i="22"/>
  <c r="O87" i="22"/>
  <c r="O104" i="22"/>
  <c r="O42" i="22"/>
  <c r="O85" i="22"/>
  <c r="O36" i="22"/>
  <c r="O67" i="22"/>
  <c r="O72" i="22"/>
  <c r="O80" i="22"/>
  <c r="O86" i="22"/>
  <c r="O124" i="22"/>
  <c r="O10" i="22"/>
  <c r="O88" i="22"/>
  <c r="O51" i="22"/>
  <c r="O120" i="22"/>
  <c r="O81" i="22"/>
  <c r="O16" i="22"/>
  <c r="O115" i="22"/>
  <c r="O118" i="22"/>
  <c r="O92" i="22"/>
  <c r="O31" i="22"/>
  <c r="O94" i="22"/>
  <c r="O40" i="22"/>
  <c r="O139" i="22"/>
  <c r="O20" i="22"/>
  <c r="O52" i="22"/>
  <c r="O129" i="22"/>
  <c r="O35" i="22"/>
  <c r="O66" i="22"/>
  <c r="O105" i="22"/>
  <c r="O22" i="22"/>
  <c r="O41" i="22"/>
  <c r="O114" i="22"/>
  <c r="O147" i="22"/>
  <c r="O26" i="22"/>
  <c r="O60" i="22"/>
  <c r="O76" i="22"/>
  <c r="O146" i="22"/>
  <c r="O145" i="22"/>
  <c r="O134" i="22"/>
  <c r="O133" i="22"/>
  <c r="O130" i="22"/>
  <c r="O128" i="22"/>
  <c r="O125" i="22"/>
  <c r="O123" i="22"/>
  <c r="O119" i="22"/>
  <c r="O113" i="22"/>
  <c r="O110" i="22"/>
  <c r="O108" i="22"/>
  <c r="O109" i="22"/>
  <c r="O103" i="22"/>
  <c r="O93" i="22"/>
  <c r="O75" i="22"/>
  <c r="O71" i="22"/>
  <c r="O70" i="22"/>
  <c r="O61" i="22"/>
  <c r="O56" i="22"/>
  <c r="O55" i="22"/>
  <c r="O50" i="22"/>
  <c r="O47" i="22"/>
  <c r="O46" i="22"/>
  <c r="O45" i="22"/>
  <c r="O37" i="22"/>
  <c r="O32" i="22"/>
  <c r="O30" i="22"/>
  <c r="O25" i="22"/>
  <c r="O17" i="22"/>
  <c r="O15" i="22"/>
  <c r="J144" i="22" l="1"/>
  <c r="E144" i="22"/>
  <c r="M144" i="22" s="1"/>
  <c r="J137" i="22"/>
  <c r="E137" i="22"/>
  <c r="M137" i="22" s="1"/>
  <c r="J132" i="22"/>
  <c r="E132" i="22"/>
  <c r="I132" i="22" s="1"/>
  <c r="J127" i="22"/>
  <c r="E127" i="22"/>
  <c r="J122" i="22"/>
  <c r="E122" i="22"/>
  <c r="M122" i="22" s="1"/>
  <c r="N122" i="22" s="1"/>
  <c r="J117" i="22"/>
  <c r="E117" i="22"/>
  <c r="I117" i="22" s="1"/>
  <c r="J112" i="22"/>
  <c r="E112" i="22"/>
  <c r="I112" i="22" s="1"/>
  <c r="J107" i="22"/>
  <c r="E107" i="22"/>
  <c r="J102" i="22"/>
  <c r="E102" i="22"/>
  <c r="M102" i="22" s="1"/>
  <c r="J100" i="22"/>
  <c r="C100" i="22"/>
  <c r="E100" i="22" s="1"/>
  <c r="I100" i="22" s="1"/>
  <c r="J99" i="22"/>
  <c r="E99" i="22"/>
  <c r="I99" i="22" s="1"/>
  <c r="J97" i="22"/>
  <c r="C97" i="22"/>
  <c r="E97" i="22" s="1"/>
  <c r="J96" i="22"/>
  <c r="E96" i="22"/>
  <c r="M96" i="22" s="1"/>
  <c r="E90" i="22"/>
  <c r="E84" i="22"/>
  <c r="M84" i="22" s="1"/>
  <c r="N84" i="22" s="1"/>
  <c r="O84" i="22" s="1"/>
  <c r="J79" i="22"/>
  <c r="E79" i="22"/>
  <c r="I79" i="22" s="1"/>
  <c r="J74" i="22"/>
  <c r="E74" i="22"/>
  <c r="J69" i="22"/>
  <c r="E69" i="22"/>
  <c r="M69" i="22" s="1"/>
  <c r="J64" i="22"/>
  <c r="E64" i="22"/>
  <c r="M64" i="22" s="1"/>
  <c r="J59" i="22"/>
  <c r="E59" i="22"/>
  <c r="I59" i="22" s="1"/>
  <c r="J54" i="22"/>
  <c r="E54" i="22"/>
  <c r="I54" i="22" s="1"/>
  <c r="J49" i="22"/>
  <c r="E49" i="22"/>
  <c r="J44" i="22"/>
  <c r="E44" i="22"/>
  <c r="I44" i="22" s="1"/>
  <c r="J39" i="22"/>
  <c r="E39" i="22"/>
  <c r="I39" i="22" s="1"/>
  <c r="J34" i="22"/>
  <c r="E34" i="22"/>
  <c r="M34" i="22" s="1"/>
  <c r="J29" i="22"/>
  <c r="E29" i="22"/>
  <c r="M29" i="22" s="1"/>
  <c r="J24" i="22"/>
  <c r="E24" i="22"/>
  <c r="J19" i="22"/>
  <c r="E19" i="22"/>
  <c r="M19" i="22" s="1"/>
  <c r="J14" i="22"/>
  <c r="E14" i="22"/>
  <c r="M14" i="22" s="1"/>
  <c r="J12" i="22"/>
  <c r="C12" i="22"/>
  <c r="E12" i="22" s="1"/>
  <c r="M12" i="22" s="1"/>
  <c r="J11" i="22"/>
  <c r="C11" i="22"/>
  <c r="E11" i="22" s="1"/>
  <c r="J9" i="22"/>
  <c r="E9" i="22"/>
  <c r="M9" i="22" s="1"/>
  <c r="J196" i="1"/>
  <c r="C196" i="1"/>
  <c r="E196" i="1" s="1"/>
  <c r="M196" i="1" s="1"/>
  <c r="N196" i="1" s="1"/>
  <c r="J195" i="1"/>
  <c r="C195" i="1"/>
  <c r="E195" i="1" s="1"/>
  <c r="J194" i="1"/>
  <c r="C194" i="1"/>
  <c r="E194" i="1" s="1"/>
  <c r="J193" i="1"/>
  <c r="C193" i="1"/>
  <c r="E193" i="1" s="1"/>
  <c r="J192" i="1"/>
  <c r="C192" i="1"/>
  <c r="E192" i="1" s="1"/>
  <c r="J189" i="1"/>
  <c r="C189" i="1"/>
  <c r="E189" i="1" s="1"/>
  <c r="J188" i="1"/>
  <c r="C188" i="1"/>
  <c r="E188" i="1" s="1"/>
  <c r="J187" i="1"/>
  <c r="C187" i="1"/>
  <c r="E187" i="1" s="1"/>
  <c r="J186" i="1"/>
  <c r="C186" i="1"/>
  <c r="E186" i="1" s="1"/>
  <c r="J185" i="1"/>
  <c r="C185" i="1"/>
  <c r="E185" i="1" s="1"/>
  <c r="J182" i="1"/>
  <c r="C182" i="1"/>
  <c r="E182" i="1" s="1"/>
  <c r="M182" i="1" s="1"/>
  <c r="N182" i="1" s="1"/>
  <c r="J181" i="1"/>
  <c r="C181" i="1"/>
  <c r="E181" i="1" s="1"/>
  <c r="J180" i="1"/>
  <c r="C180" i="1"/>
  <c r="E180" i="1" s="1"/>
  <c r="J179" i="1"/>
  <c r="C179" i="1"/>
  <c r="E179" i="1" s="1"/>
  <c r="J178" i="1"/>
  <c r="C178" i="1"/>
  <c r="E178" i="1" s="1"/>
  <c r="J175" i="1"/>
  <c r="C175" i="1"/>
  <c r="E175" i="1" s="1"/>
  <c r="M175" i="1" s="1"/>
  <c r="N175" i="1" s="1"/>
  <c r="J174" i="1"/>
  <c r="C174" i="1"/>
  <c r="E174" i="1" s="1"/>
  <c r="J173" i="1"/>
  <c r="C173" i="1"/>
  <c r="E173" i="1" s="1"/>
  <c r="J172" i="1"/>
  <c r="C172" i="1"/>
  <c r="E172" i="1" s="1"/>
  <c r="J171" i="1"/>
  <c r="C171" i="1"/>
  <c r="E171" i="1" s="1"/>
  <c r="J168" i="1"/>
  <c r="C168" i="1"/>
  <c r="E168" i="1" s="1"/>
  <c r="M168" i="1" s="1"/>
  <c r="N168" i="1" s="1"/>
  <c r="J167" i="1"/>
  <c r="C167" i="1"/>
  <c r="E167" i="1" s="1"/>
  <c r="J166" i="1"/>
  <c r="C166" i="1"/>
  <c r="E166" i="1" s="1"/>
  <c r="J165" i="1"/>
  <c r="C165" i="1"/>
  <c r="E165" i="1" s="1"/>
  <c r="J164" i="1"/>
  <c r="C164" i="1"/>
  <c r="E164" i="1" s="1"/>
  <c r="J191" i="1"/>
  <c r="E191" i="1"/>
  <c r="M191" i="1" s="1"/>
  <c r="N191" i="1" s="1"/>
  <c r="J184" i="1"/>
  <c r="E184" i="1"/>
  <c r="I184" i="1" s="1"/>
  <c r="J177" i="1"/>
  <c r="E177" i="1"/>
  <c r="M177" i="1" s="1"/>
  <c r="N177" i="1" s="1"/>
  <c r="J170" i="1"/>
  <c r="E170" i="1"/>
  <c r="M170" i="1" s="1"/>
  <c r="N170" i="1" s="1"/>
  <c r="M163" i="1"/>
  <c r="J163" i="1"/>
  <c r="E163" i="1"/>
  <c r="I163" i="1" s="1"/>
  <c r="J161" i="1"/>
  <c r="C161" i="1"/>
  <c r="E161" i="1" s="1"/>
  <c r="M161" i="1" s="1"/>
  <c r="J160" i="1"/>
  <c r="C160" i="1"/>
  <c r="E160" i="1" s="1"/>
  <c r="J159" i="1"/>
  <c r="C159" i="1"/>
  <c r="E159" i="1" s="1"/>
  <c r="J158" i="1"/>
  <c r="C158" i="1"/>
  <c r="E158" i="1" s="1"/>
  <c r="J157" i="1"/>
  <c r="C157" i="1"/>
  <c r="E157" i="1" s="1"/>
  <c r="J154" i="1"/>
  <c r="C154" i="1"/>
  <c r="E154" i="1" s="1"/>
  <c r="M154" i="1" s="1"/>
  <c r="J153" i="1"/>
  <c r="C153" i="1"/>
  <c r="E153" i="1" s="1"/>
  <c r="J152" i="1"/>
  <c r="C152" i="1"/>
  <c r="E152" i="1" s="1"/>
  <c r="J151" i="1"/>
  <c r="C151" i="1"/>
  <c r="E151" i="1" s="1"/>
  <c r="I151" i="1" s="1"/>
  <c r="J150" i="1"/>
  <c r="C150" i="1"/>
  <c r="E150" i="1" s="1"/>
  <c r="J147" i="1"/>
  <c r="C147" i="1"/>
  <c r="E147" i="1" s="1"/>
  <c r="J146" i="1"/>
  <c r="C146" i="1"/>
  <c r="E146" i="1" s="1"/>
  <c r="M146" i="1" s="1"/>
  <c r="J145" i="1"/>
  <c r="C145" i="1"/>
  <c r="E145" i="1" s="1"/>
  <c r="J144" i="1"/>
  <c r="C144" i="1"/>
  <c r="E144" i="1" s="1"/>
  <c r="J143" i="1"/>
  <c r="C143" i="1"/>
  <c r="E143" i="1" s="1"/>
  <c r="J156" i="1"/>
  <c r="E156" i="1"/>
  <c r="M156" i="1" s="1"/>
  <c r="J149" i="1"/>
  <c r="E149" i="1"/>
  <c r="I149" i="1" s="1"/>
  <c r="J142" i="1"/>
  <c r="E142" i="1"/>
  <c r="M142" i="1" s="1"/>
  <c r="J65" i="1"/>
  <c r="E65" i="1"/>
  <c r="M65" i="1" s="1"/>
  <c r="J70" i="1"/>
  <c r="C70" i="1"/>
  <c r="E70" i="1" s="1"/>
  <c r="J69" i="1"/>
  <c r="C69" i="1"/>
  <c r="E69" i="1" s="1"/>
  <c r="M69" i="1" s="1"/>
  <c r="J68" i="1"/>
  <c r="C68" i="1"/>
  <c r="E68" i="1" s="1"/>
  <c r="J67" i="1"/>
  <c r="C67" i="1"/>
  <c r="E67" i="1" s="1"/>
  <c r="I67" i="1" s="1"/>
  <c r="J66" i="1"/>
  <c r="C66" i="1"/>
  <c r="E66" i="1" s="1"/>
  <c r="J135" i="1"/>
  <c r="J132" i="1"/>
  <c r="J114" i="1"/>
  <c r="C114" i="1"/>
  <c r="E114" i="1" s="1"/>
  <c r="J113" i="1"/>
  <c r="C113" i="1"/>
  <c r="E113" i="1" s="1"/>
  <c r="J112" i="1"/>
  <c r="C112" i="1"/>
  <c r="E112" i="1" s="1"/>
  <c r="J111" i="1"/>
  <c r="C111" i="1"/>
  <c r="E111" i="1" s="1"/>
  <c r="J108" i="1"/>
  <c r="C108" i="1"/>
  <c r="E108" i="1" s="1"/>
  <c r="M108" i="1" s="1"/>
  <c r="J107" i="1"/>
  <c r="C107" i="1"/>
  <c r="E107" i="1" s="1"/>
  <c r="J106" i="1"/>
  <c r="C106" i="1"/>
  <c r="E106" i="1" s="1"/>
  <c r="M106" i="1" s="1"/>
  <c r="J105" i="1"/>
  <c r="C105" i="1"/>
  <c r="E105" i="1" s="1"/>
  <c r="J102" i="1"/>
  <c r="C102" i="1"/>
  <c r="E102" i="1" s="1"/>
  <c r="J101" i="1"/>
  <c r="C101" i="1"/>
  <c r="E101" i="1" s="1"/>
  <c r="J100" i="1"/>
  <c r="C100" i="1"/>
  <c r="E100" i="1" s="1"/>
  <c r="M100" i="1" s="1"/>
  <c r="J99" i="1"/>
  <c r="C99" i="1"/>
  <c r="E99" i="1" s="1"/>
  <c r="J90" i="1"/>
  <c r="C90" i="1"/>
  <c r="E90" i="1" s="1"/>
  <c r="J89" i="1"/>
  <c r="C89" i="1"/>
  <c r="E89" i="1" s="1"/>
  <c r="J88" i="1"/>
  <c r="C88" i="1"/>
  <c r="E88" i="1" s="1"/>
  <c r="M88" i="1" s="1"/>
  <c r="J87" i="1"/>
  <c r="C87" i="1"/>
  <c r="E87" i="1" s="1"/>
  <c r="J28" i="1"/>
  <c r="C28" i="1"/>
  <c r="E28" i="1" s="1"/>
  <c r="N163" i="1" l="1"/>
  <c r="I19" i="22"/>
  <c r="E57" i="22"/>
  <c r="M39" i="22"/>
  <c r="N39" i="22" s="1"/>
  <c r="O39" i="22" s="1"/>
  <c r="M59" i="22"/>
  <c r="N59" i="22" s="1"/>
  <c r="O59" i="22" s="1"/>
  <c r="N12" i="22"/>
  <c r="N14" i="22"/>
  <c r="M54" i="22"/>
  <c r="N54" i="22" s="1"/>
  <c r="O54" i="22" s="1"/>
  <c r="I144" i="22"/>
  <c r="I64" i="22"/>
  <c r="N29" i="22"/>
  <c r="M112" i="22"/>
  <c r="N112" i="22" s="1"/>
  <c r="O112" i="22" s="1"/>
  <c r="I97" i="22"/>
  <c r="M97" i="22"/>
  <c r="N97" i="22" s="1"/>
  <c r="N64" i="22"/>
  <c r="M99" i="22"/>
  <c r="N99" i="22" s="1"/>
  <c r="O99" i="22" s="1"/>
  <c r="N9" i="22"/>
  <c r="N19" i="22"/>
  <c r="O19" i="22" s="1"/>
  <c r="N34" i="22"/>
  <c r="M117" i="22"/>
  <c r="N117" i="22" s="1"/>
  <c r="O117" i="22" s="1"/>
  <c r="I9" i="22"/>
  <c r="I34" i="22"/>
  <c r="N102" i="22"/>
  <c r="I122" i="22"/>
  <c r="O122" i="22" s="1"/>
  <c r="M132" i="22"/>
  <c r="N132" i="22" s="1"/>
  <c r="O132" i="22" s="1"/>
  <c r="N137" i="22"/>
  <c r="I102" i="22"/>
  <c r="I137" i="22"/>
  <c r="N144" i="22"/>
  <c r="M44" i="22"/>
  <c r="N44" i="22" s="1"/>
  <c r="O44" i="22" s="1"/>
  <c r="N69" i="22"/>
  <c r="M79" i="22"/>
  <c r="N79" i="22" s="1"/>
  <c r="O79" i="22" s="1"/>
  <c r="N96" i="22"/>
  <c r="M11" i="22"/>
  <c r="N11" i="22" s="1"/>
  <c r="I11" i="22"/>
  <c r="I14" i="22"/>
  <c r="I24" i="22"/>
  <c r="M24" i="22"/>
  <c r="N24" i="22" s="1"/>
  <c r="I12" i="22"/>
  <c r="M127" i="22"/>
  <c r="N127" i="22" s="1"/>
  <c r="I127" i="22"/>
  <c r="I29" i="22"/>
  <c r="I69" i="22"/>
  <c r="I96" i="22"/>
  <c r="M100" i="22"/>
  <c r="N100" i="22" s="1"/>
  <c r="O100" i="22" s="1"/>
  <c r="M107" i="22"/>
  <c r="N107" i="22" s="1"/>
  <c r="I107" i="22"/>
  <c r="M74" i="22"/>
  <c r="N74" i="22" s="1"/>
  <c r="I74" i="22"/>
  <c r="M49" i="22"/>
  <c r="N49" i="22" s="1"/>
  <c r="I49" i="22"/>
  <c r="I165" i="1"/>
  <c r="M165" i="1"/>
  <c r="N165" i="1" s="1"/>
  <c r="O165" i="1" s="1"/>
  <c r="I179" i="1"/>
  <c r="M179" i="1"/>
  <c r="N179" i="1" s="1"/>
  <c r="O179" i="1" s="1"/>
  <c r="I191" i="1"/>
  <c r="O191" i="1" s="1"/>
  <c r="I177" i="1"/>
  <c r="O177" i="1" s="1"/>
  <c r="N65" i="1"/>
  <c r="M194" i="1"/>
  <c r="N194" i="1" s="1"/>
  <c r="I194" i="1"/>
  <c r="M195" i="1"/>
  <c r="N195" i="1" s="1"/>
  <c r="I195" i="1"/>
  <c r="I192" i="1"/>
  <c r="M192" i="1"/>
  <c r="N192" i="1" s="1"/>
  <c r="O192" i="1" s="1"/>
  <c r="I193" i="1"/>
  <c r="M193" i="1"/>
  <c r="N193" i="1" s="1"/>
  <c r="I196" i="1"/>
  <c r="O196" i="1" s="1"/>
  <c r="M188" i="1"/>
  <c r="N188" i="1" s="1"/>
  <c r="I188" i="1"/>
  <c r="M187" i="1"/>
  <c r="N187" i="1" s="1"/>
  <c r="I187" i="1"/>
  <c r="M186" i="1"/>
  <c r="N186" i="1" s="1"/>
  <c r="I186" i="1"/>
  <c r="I185" i="1"/>
  <c r="M185" i="1"/>
  <c r="N185" i="1" s="1"/>
  <c r="O185" i="1" s="1"/>
  <c r="M189" i="1"/>
  <c r="N189" i="1" s="1"/>
  <c r="I189" i="1"/>
  <c r="M181" i="1"/>
  <c r="N181" i="1" s="1"/>
  <c r="I181" i="1"/>
  <c r="M180" i="1"/>
  <c r="N180" i="1" s="1"/>
  <c r="I180" i="1"/>
  <c r="I178" i="1"/>
  <c r="M178" i="1"/>
  <c r="N178" i="1" s="1"/>
  <c r="O178" i="1" s="1"/>
  <c r="I182" i="1"/>
  <c r="O182" i="1" s="1"/>
  <c r="I172" i="1"/>
  <c r="M172" i="1"/>
  <c r="N172" i="1" s="1"/>
  <c r="M173" i="1"/>
  <c r="N173" i="1" s="1"/>
  <c r="I173" i="1"/>
  <c r="M174" i="1"/>
  <c r="N174" i="1" s="1"/>
  <c r="I174" i="1"/>
  <c r="I171" i="1"/>
  <c r="M171" i="1"/>
  <c r="N171" i="1" s="1"/>
  <c r="O171" i="1" s="1"/>
  <c r="I175" i="1"/>
  <c r="O175" i="1" s="1"/>
  <c r="I164" i="1"/>
  <c r="M164" i="1"/>
  <c r="N164" i="1" s="1"/>
  <c r="O164" i="1" s="1"/>
  <c r="M167" i="1"/>
  <c r="N167" i="1" s="1"/>
  <c r="I167" i="1"/>
  <c r="M166" i="1"/>
  <c r="N166" i="1" s="1"/>
  <c r="I166" i="1"/>
  <c r="I168" i="1"/>
  <c r="O168" i="1" s="1"/>
  <c r="O163" i="1"/>
  <c r="M184" i="1"/>
  <c r="N184" i="1" s="1"/>
  <c r="O184" i="1" s="1"/>
  <c r="N156" i="1"/>
  <c r="I170" i="1"/>
  <c r="O170" i="1" s="1"/>
  <c r="N154" i="1"/>
  <c r="N69" i="1"/>
  <c r="N161" i="1"/>
  <c r="M151" i="1"/>
  <c r="N151" i="1" s="1"/>
  <c r="O151" i="1" s="1"/>
  <c r="N142" i="1"/>
  <c r="N88" i="1"/>
  <c r="N100" i="1"/>
  <c r="N146" i="1"/>
  <c r="I157" i="1"/>
  <c r="M157" i="1"/>
  <c r="N157" i="1" s="1"/>
  <c r="M159" i="1"/>
  <c r="N159" i="1" s="1"/>
  <c r="I159" i="1"/>
  <c r="M160" i="1"/>
  <c r="N160" i="1" s="1"/>
  <c r="I160" i="1"/>
  <c r="I158" i="1"/>
  <c r="M158" i="1"/>
  <c r="N158" i="1" s="1"/>
  <c r="I161" i="1"/>
  <c r="M152" i="1"/>
  <c r="N152" i="1" s="1"/>
  <c r="I152" i="1"/>
  <c r="I150" i="1"/>
  <c r="M150" i="1"/>
  <c r="N150" i="1" s="1"/>
  <c r="M153" i="1"/>
  <c r="N153" i="1" s="1"/>
  <c r="I153" i="1"/>
  <c r="I154" i="1"/>
  <c r="M145" i="1"/>
  <c r="N145" i="1" s="1"/>
  <c r="I145" i="1"/>
  <c r="I143" i="1"/>
  <c r="M143" i="1"/>
  <c r="N143" i="1" s="1"/>
  <c r="O143" i="1" s="1"/>
  <c r="M147" i="1"/>
  <c r="N147" i="1" s="1"/>
  <c r="I147" i="1"/>
  <c r="I144" i="1"/>
  <c r="M144" i="1"/>
  <c r="N144" i="1" s="1"/>
  <c r="I146" i="1"/>
  <c r="I142" i="1"/>
  <c r="I156" i="1"/>
  <c r="M149" i="1"/>
  <c r="N149" i="1" s="1"/>
  <c r="O149" i="1" s="1"/>
  <c r="N108" i="1"/>
  <c r="M67" i="1"/>
  <c r="N67" i="1" s="1"/>
  <c r="O67" i="1" s="1"/>
  <c r="I65" i="1"/>
  <c r="O65" i="1" s="1"/>
  <c r="M70" i="1"/>
  <c r="N70" i="1" s="1"/>
  <c r="I70" i="1"/>
  <c r="M68" i="1"/>
  <c r="N68" i="1" s="1"/>
  <c r="I68" i="1"/>
  <c r="I66" i="1"/>
  <c r="M66" i="1"/>
  <c r="N66" i="1" s="1"/>
  <c r="I69" i="1"/>
  <c r="O69" i="1" s="1"/>
  <c r="N106" i="1"/>
  <c r="M113" i="1"/>
  <c r="N113" i="1" s="1"/>
  <c r="I113" i="1"/>
  <c r="M111" i="1"/>
  <c r="N111" i="1" s="1"/>
  <c r="I111" i="1"/>
  <c r="M112" i="1"/>
  <c r="N112" i="1" s="1"/>
  <c r="I112" i="1"/>
  <c r="M114" i="1"/>
  <c r="N114" i="1" s="1"/>
  <c r="I114" i="1"/>
  <c r="M107" i="1"/>
  <c r="N107" i="1" s="1"/>
  <c r="I107" i="1"/>
  <c r="I105" i="1"/>
  <c r="M105" i="1"/>
  <c r="N105" i="1" s="1"/>
  <c r="I108" i="1"/>
  <c r="I106" i="1"/>
  <c r="M102" i="1"/>
  <c r="N102" i="1" s="1"/>
  <c r="I102" i="1"/>
  <c r="M101" i="1"/>
  <c r="N101" i="1" s="1"/>
  <c r="I101" i="1"/>
  <c r="I99" i="1"/>
  <c r="M99" i="1"/>
  <c r="N99" i="1" s="1"/>
  <c r="I100" i="1"/>
  <c r="I28" i="1"/>
  <c r="M28" i="1"/>
  <c r="N28" i="1" s="1"/>
  <c r="M90" i="1"/>
  <c r="N90" i="1" s="1"/>
  <c r="I90" i="1"/>
  <c r="I89" i="1"/>
  <c r="M89" i="1"/>
  <c r="N89" i="1" s="1"/>
  <c r="I87" i="1"/>
  <c r="M87" i="1"/>
  <c r="N87" i="1" s="1"/>
  <c r="I88" i="1"/>
  <c r="O88" i="1" s="1"/>
  <c r="O172" i="1" l="1"/>
  <c r="O97" i="22"/>
  <c r="O186" i="1"/>
  <c r="O12" i="22"/>
  <c r="O14" i="22"/>
  <c r="M57" i="22"/>
  <c r="N57" i="22" s="1"/>
  <c r="I57" i="22"/>
  <c r="O102" i="22"/>
  <c r="O96" i="22"/>
  <c r="O29" i="22"/>
  <c r="O144" i="22"/>
  <c r="O9" i="22"/>
  <c r="O11" i="22"/>
  <c r="O69" i="22"/>
  <c r="O64" i="22"/>
  <c r="O34" i="22"/>
  <c r="O24" i="22"/>
  <c r="O137" i="22"/>
  <c r="O49" i="22"/>
  <c r="O74" i="22"/>
  <c r="O107" i="22"/>
  <c r="O127" i="22"/>
  <c r="O187" i="1"/>
  <c r="O106" i="1"/>
  <c r="O195" i="1"/>
  <c r="O193" i="1"/>
  <c r="O194" i="1"/>
  <c r="O189" i="1"/>
  <c r="O188" i="1"/>
  <c r="O180" i="1"/>
  <c r="O181" i="1"/>
  <c r="O174" i="1"/>
  <c r="O173" i="1"/>
  <c r="O167" i="1"/>
  <c r="O166" i="1"/>
  <c r="O154" i="1"/>
  <c r="O156" i="1"/>
  <c r="O146" i="1"/>
  <c r="O147" i="1"/>
  <c r="O89" i="1"/>
  <c r="O142" i="1"/>
  <c r="O87" i="1"/>
  <c r="O100" i="1"/>
  <c r="O108" i="1"/>
  <c r="O153" i="1"/>
  <c r="O99" i="1"/>
  <c r="O150" i="1"/>
  <c r="O144" i="1"/>
  <c r="O145" i="1"/>
  <c r="O161" i="1"/>
  <c r="O159" i="1"/>
  <c r="O157" i="1"/>
  <c r="O160" i="1"/>
  <c r="O158" i="1"/>
  <c r="O152" i="1"/>
  <c r="O105" i="1"/>
  <c r="O70" i="1"/>
  <c r="O66" i="1"/>
  <c r="O68" i="1"/>
  <c r="O111" i="1"/>
  <c r="O112" i="1"/>
  <c r="O114" i="1"/>
  <c r="O113" i="1"/>
  <c r="O107" i="1"/>
  <c r="O28" i="1"/>
  <c r="O102" i="1"/>
  <c r="O101" i="1"/>
  <c r="O90" i="1"/>
  <c r="O57" i="22" l="1"/>
  <c r="J110" i="1" l="1"/>
  <c r="E110" i="1"/>
  <c r="M110" i="1" s="1"/>
  <c r="N110" i="1" s="1"/>
  <c r="J104" i="1"/>
  <c r="E104" i="1"/>
  <c r="I104" i="1" s="1"/>
  <c r="J98" i="1"/>
  <c r="E98" i="1"/>
  <c r="I98" i="1" s="1"/>
  <c r="M98" i="1" l="1"/>
  <c r="N98" i="1" s="1"/>
  <c r="O98" i="1" s="1"/>
  <c r="I110" i="1"/>
  <c r="O110" i="1" s="1"/>
  <c r="M104" i="1"/>
  <c r="N104" i="1" s="1"/>
  <c r="O104" i="1" s="1"/>
  <c r="J136" i="1" l="1"/>
  <c r="C136" i="1"/>
  <c r="E136" i="1" s="1"/>
  <c r="E135" i="1"/>
  <c r="J133" i="1"/>
  <c r="C133" i="1"/>
  <c r="E133" i="1" s="1"/>
  <c r="E132" i="1"/>
  <c r="M135" i="1" l="1"/>
  <c r="N135" i="1" s="1"/>
  <c r="I135" i="1"/>
  <c r="M132" i="1"/>
  <c r="N132" i="1" s="1"/>
  <c r="I132" i="1"/>
  <c r="I136" i="1"/>
  <c r="M136" i="1"/>
  <c r="N136" i="1" s="1"/>
  <c r="M133" i="1"/>
  <c r="N133" i="1" s="1"/>
  <c r="I133" i="1"/>
  <c r="O135" i="1" l="1"/>
  <c r="O132" i="1"/>
  <c r="O136" i="1"/>
  <c r="O133" i="1"/>
  <c r="C56" i="1" l="1"/>
  <c r="E56" i="1" s="1"/>
  <c r="C55" i="1"/>
  <c r="E55" i="1" s="1"/>
  <c r="C54" i="1"/>
  <c r="E54" i="1" s="1"/>
  <c r="C53" i="1"/>
  <c r="C52" i="1"/>
  <c r="E52" i="1" s="1"/>
  <c r="J51" i="1"/>
  <c r="E51" i="1"/>
  <c r="M51" i="1" s="1"/>
  <c r="N51" i="1" s="1"/>
  <c r="J56" i="1"/>
  <c r="J55" i="1"/>
  <c r="J54" i="1"/>
  <c r="J53" i="1"/>
  <c r="E53" i="1"/>
  <c r="I53" i="1" s="1"/>
  <c r="J52" i="1"/>
  <c r="I51" i="1" l="1"/>
  <c r="O51" i="1" s="1"/>
  <c r="I55" i="1"/>
  <c r="M55" i="1"/>
  <c r="N55" i="1" s="1"/>
  <c r="I52" i="1"/>
  <c r="M52" i="1"/>
  <c r="N52" i="1" s="1"/>
  <c r="M54" i="1"/>
  <c r="N54" i="1" s="1"/>
  <c r="I54" i="1"/>
  <c r="I56" i="1"/>
  <c r="M56" i="1"/>
  <c r="N56" i="1" s="1"/>
  <c r="M53" i="1"/>
  <c r="N53" i="1" s="1"/>
  <c r="O53" i="1" s="1"/>
  <c r="O54" i="1" l="1"/>
  <c r="O52" i="1"/>
  <c r="O56" i="1"/>
  <c r="O55" i="1"/>
  <c r="J86" i="1" l="1"/>
  <c r="E86" i="1"/>
  <c r="M86" i="1" s="1"/>
  <c r="J84" i="1"/>
  <c r="C84" i="1"/>
  <c r="E84" i="1" s="1"/>
  <c r="J83" i="1"/>
  <c r="C83" i="1"/>
  <c r="E83" i="1" s="1"/>
  <c r="J82" i="1"/>
  <c r="C82" i="1"/>
  <c r="E82" i="1" s="1"/>
  <c r="M82" i="1" s="1"/>
  <c r="N82" i="1" s="1"/>
  <c r="J81" i="1"/>
  <c r="C81" i="1"/>
  <c r="E81" i="1" s="1"/>
  <c r="J80" i="1"/>
  <c r="E80" i="1"/>
  <c r="I80" i="1" s="1"/>
  <c r="N86" i="1" l="1"/>
  <c r="I81" i="1"/>
  <c r="M81" i="1"/>
  <c r="N81" i="1" s="1"/>
  <c r="I86" i="1"/>
  <c r="M80" i="1"/>
  <c r="N80" i="1" s="1"/>
  <c r="O80" i="1" s="1"/>
  <c r="M83" i="1"/>
  <c r="N83" i="1" s="1"/>
  <c r="I83" i="1"/>
  <c r="M84" i="1"/>
  <c r="N84" i="1" s="1"/>
  <c r="I84" i="1"/>
  <c r="I82" i="1"/>
  <c r="O82" i="1" s="1"/>
  <c r="O86" i="1" l="1"/>
  <c r="O81" i="1"/>
  <c r="O83" i="1"/>
  <c r="O84" i="1"/>
  <c r="E124" i="17" l="1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23" i="17"/>
  <c r="J82" i="8" l="1"/>
  <c r="J81" i="8"/>
  <c r="J80" i="8"/>
  <c r="J78" i="8"/>
  <c r="J77" i="8"/>
  <c r="J76" i="8"/>
  <c r="J71" i="8"/>
  <c r="J70" i="8"/>
  <c r="J69" i="8"/>
  <c r="J68" i="8"/>
  <c r="J67" i="8"/>
  <c r="J66" i="8"/>
  <c r="J65" i="8"/>
  <c r="J56" i="8"/>
  <c r="J62" i="8"/>
  <c r="J61" i="8"/>
  <c r="J60" i="8"/>
  <c r="J59" i="8"/>
  <c r="J58" i="8"/>
  <c r="J57" i="8"/>
  <c r="J53" i="8"/>
  <c r="J52" i="8"/>
  <c r="J51" i="8"/>
  <c r="J50" i="8"/>
  <c r="J49" i="8"/>
  <c r="J48" i="8"/>
  <c r="J47" i="8"/>
  <c r="J39" i="8"/>
  <c r="J40" i="8"/>
  <c r="J41" i="8"/>
  <c r="J42" i="8"/>
  <c r="J43" i="8"/>
  <c r="J44" i="8"/>
  <c r="J38" i="8"/>
  <c r="J32" i="8"/>
  <c r="J33" i="8"/>
  <c r="J34" i="8"/>
  <c r="J35" i="8"/>
  <c r="J31" i="8"/>
  <c r="J30" i="8"/>
  <c r="J29" i="8"/>
  <c r="J16" i="8"/>
  <c r="J14" i="8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74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52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8" i="20"/>
  <c r="J107" i="19"/>
  <c r="J108" i="19"/>
  <c r="J109" i="19"/>
  <c r="J110" i="19"/>
  <c r="J111" i="19"/>
  <c r="J112" i="19"/>
  <c r="J113" i="19"/>
  <c r="J114" i="19"/>
  <c r="J115" i="19"/>
  <c r="J116" i="19"/>
  <c r="J117" i="19"/>
  <c r="J118" i="19"/>
  <c r="J119" i="19"/>
  <c r="J120" i="19"/>
  <c r="J121" i="19"/>
  <c r="J122" i="19"/>
  <c r="J123" i="19"/>
  <c r="J124" i="19"/>
  <c r="J125" i="19"/>
  <c r="J126" i="19"/>
  <c r="J127" i="19"/>
  <c r="J128" i="19"/>
  <c r="J129" i="19"/>
  <c r="J130" i="19"/>
  <c r="J131" i="19"/>
  <c r="J132" i="19"/>
  <c r="J133" i="19"/>
  <c r="J134" i="19"/>
  <c r="J135" i="19"/>
  <c r="J136" i="19"/>
  <c r="J137" i="19"/>
  <c r="J106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J100" i="19"/>
  <c r="J101" i="19"/>
  <c r="J102" i="19"/>
  <c r="J103" i="19"/>
  <c r="J104" i="19"/>
  <c r="J73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40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7" i="19"/>
  <c r="J383" i="18"/>
  <c r="J384" i="18"/>
  <c r="J385" i="18"/>
  <c r="J386" i="18"/>
  <c r="J387" i="18"/>
  <c r="J388" i="18"/>
  <c r="J389" i="18"/>
  <c r="J390" i="18"/>
  <c r="J391" i="18"/>
  <c r="J392" i="18"/>
  <c r="J393" i="18"/>
  <c r="J394" i="18"/>
  <c r="J395" i="18"/>
  <c r="J382" i="18"/>
  <c r="J365" i="18"/>
  <c r="J366" i="18"/>
  <c r="J367" i="18"/>
  <c r="J368" i="18"/>
  <c r="J369" i="18"/>
  <c r="J370" i="18"/>
  <c r="J371" i="18"/>
  <c r="J372" i="18"/>
  <c r="J373" i="18"/>
  <c r="J374" i="18"/>
  <c r="J375" i="18"/>
  <c r="J376" i="18"/>
  <c r="J377" i="18"/>
  <c r="J378" i="18"/>
  <c r="J379" i="18"/>
  <c r="J380" i="18"/>
  <c r="J364" i="18"/>
  <c r="J349" i="18"/>
  <c r="J350" i="18"/>
  <c r="J351" i="18"/>
  <c r="J352" i="18"/>
  <c r="J353" i="18"/>
  <c r="J354" i="18"/>
  <c r="J355" i="18"/>
  <c r="J356" i="18"/>
  <c r="J357" i="18"/>
  <c r="J358" i="18"/>
  <c r="J359" i="18"/>
  <c r="J360" i="18"/>
  <c r="J361" i="18"/>
  <c r="J362" i="18"/>
  <c r="J348" i="18"/>
  <c r="J329" i="18"/>
  <c r="J330" i="18"/>
  <c r="J331" i="18"/>
  <c r="J332" i="18"/>
  <c r="J333" i="18"/>
  <c r="J334" i="18"/>
  <c r="J335" i="18"/>
  <c r="J336" i="18"/>
  <c r="J337" i="18"/>
  <c r="J338" i="18"/>
  <c r="J339" i="18"/>
  <c r="J340" i="18"/>
  <c r="J341" i="18"/>
  <c r="J342" i="18"/>
  <c r="J343" i="18"/>
  <c r="J344" i="18"/>
  <c r="J345" i="18"/>
  <c r="J346" i="18"/>
  <c r="J328" i="18"/>
  <c r="J321" i="18"/>
  <c r="J322" i="18"/>
  <c r="J323" i="18"/>
  <c r="J324" i="18"/>
  <c r="J325" i="18"/>
  <c r="J326" i="18"/>
  <c r="J320" i="18"/>
  <c r="J293" i="18"/>
  <c r="J294" i="18"/>
  <c r="J295" i="18"/>
  <c r="J296" i="18"/>
  <c r="J297" i="18"/>
  <c r="J298" i="18"/>
  <c r="J299" i="18"/>
  <c r="J300" i="18"/>
  <c r="J301" i="18"/>
  <c r="J302" i="18"/>
  <c r="J303" i="18"/>
  <c r="J304" i="18"/>
  <c r="J305" i="18"/>
  <c r="J306" i="18"/>
  <c r="J307" i="18"/>
  <c r="J308" i="18"/>
  <c r="J309" i="18"/>
  <c r="J310" i="18"/>
  <c r="J311" i="18"/>
  <c r="J312" i="18"/>
  <c r="J313" i="18"/>
  <c r="J314" i="18"/>
  <c r="J315" i="18"/>
  <c r="J316" i="18"/>
  <c r="J317" i="18"/>
  <c r="J318" i="18"/>
  <c r="J292" i="18"/>
  <c r="J273" i="18"/>
  <c r="J274" i="18"/>
  <c r="J275" i="18"/>
  <c r="J276" i="18"/>
  <c r="J277" i="18"/>
  <c r="J278" i="18"/>
  <c r="J279" i="18"/>
  <c r="J280" i="18"/>
  <c r="J281" i="18"/>
  <c r="J282" i="18"/>
  <c r="J283" i="18"/>
  <c r="J284" i="18"/>
  <c r="J285" i="18"/>
  <c r="J286" i="18"/>
  <c r="J287" i="18"/>
  <c r="J288" i="18"/>
  <c r="J289" i="18"/>
  <c r="J290" i="18"/>
  <c r="J272" i="18"/>
  <c r="J257" i="18"/>
  <c r="J258" i="18"/>
  <c r="J259" i="18"/>
  <c r="J260" i="18"/>
  <c r="J261" i="18"/>
  <c r="J262" i="18"/>
  <c r="J263" i="18"/>
  <c r="J264" i="18"/>
  <c r="J265" i="18"/>
  <c r="J266" i="18"/>
  <c r="J267" i="18"/>
  <c r="J268" i="18"/>
  <c r="J269" i="18"/>
  <c r="J270" i="18"/>
  <c r="J256" i="18"/>
  <c r="J238" i="18"/>
  <c r="J239" i="18"/>
  <c r="J240" i="18"/>
  <c r="J241" i="18"/>
  <c r="J242" i="18"/>
  <c r="J243" i="18"/>
  <c r="J244" i="18"/>
  <c r="J245" i="18"/>
  <c r="J246" i="18"/>
  <c r="J247" i="18"/>
  <c r="J248" i="18"/>
  <c r="J249" i="18"/>
  <c r="J250" i="18"/>
  <c r="J251" i="18"/>
  <c r="J252" i="18"/>
  <c r="J253" i="18"/>
  <c r="J254" i="18"/>
  <c r="J237" i="18"/>
  <c r="J201" i="18"/>
  <c r="J202" i="18"/>
  <c r="J203" i="18"/>
  <c r="J204" i="18"/>
  <c r="J205" i="18"/>
  <c r="J206" i="18"/>
  <c r="J207" i="18"/>
  <c r="J208" i="18"/>
  <c r="J209" i="18"/>
  <c r="J210" i="18"/>
  <c r="J211" i="18"/>
  <c r="J213" i="18"/>
  <c r="J214" i="18"/>
  <c r="J215" i="18"/>
  <c r="J216" i="18"/>
  <c r="J217" i="18"/>
  <c r="J218" i="18"/>
  <c r="J219" i="18"/>
  <c r="J220" i="18"/>
  <c r="J221" i="18"/>
  <c r="J222" i="18"/>
  <c r="J223" i="18"/>
  <c r="J224" i="18"/>
  <c r="J225" i="18"/>
  <c r="J226" i="18"/>
  <c r="J227" i="18"/>
  <c r="J228" i="18"/>
  <c r="J229" i="18"/>
  <c r="J230" i="18"/>
  <c r="J231" i="18"/>
  <c r="J232" i="18"/>
  <c r="J233" i="18"/>
  <c r="J234" i="18"/>
  <c r="J235" i="18"/>
  <c r="J200" i="18"/>
  <c r="J188" i="18"/>
  <c r="J189" i="18"/>
  <c r="J190" i="18"/>
  <c r="J191" i="18"/>
  <c r="J192" i="18"/>
  <c r="J193" i="18"/>
  <c r="J194" i="18"/>
  <c r="J195" i="18"/>
  <c r="J196" i="18"/>
  <c r="J197" i="18"/>
  <c r="J187" i="18"/>
  <c r="J174" i="18"/>
  <c r="J175" i="18"/>
  <c r="J176" i="18"/>
  <c r="J177" i="18"/>
  <c r="J178" i="18"/>
  <c r="J179" i="18"/>
  <c r="J180" i="18"/>
  <c r="J181" i="18"/>
  <c r="J182" i="18"/>
  <c r="J183" i="18"/>
  <c r="J184" i="18"/>
  <c r="J173" i="18"/>
  <c r="J160" i="18"/>
  <c r="J161" i="18"/>
  <c r="J162" i="18"/>
  <c r="J163" i="18"/>
  <c r="J164" i="18"/>
  <c r="J165" i="18"/>
  <c r="J166" i="18"/>
  <c r="J167" i="18"/>
  <c r="J168" i="18"/>
  <c r="J169" i="18"/>
  <c r="J170" i="18"/>
  <c r="J159" i="18"/>
  <c r="J146" i="18"/>
  <c r="J147" i="18"/>
  <c r="J148" i="18"/>
  <c r="J149" i="18"/>
  <c r="J150" i="18"/>
  <c r="J151" i="18"/>
  <c r="J152" i="18"/>
  <c r="J153" i="18"/>
  <c r="J154" i="18"/>
  <c r="J155" i="18"/>
  <c r="J156" i="18"/>
  <c r="J145" i="18"/>
  <c r="J132" i="18"/>
  <c r="J133" i="18"/>
  <c r="J134" i="18"/>
  <c r="J135" i="18"/>
  <c r="J136" i="18"/>
  <c r="J137" i="18"/>
  <c r="J138" i="18"/>
  <c r="J139" i="18"/>
  <c r="J140" i="18"/>
  <c r="J141" i="18"/>
  <c r="J142" i="18"/>
  <c r="J131" i="18"/>
  <c r="J118" i="18"/>
  <c r="J119" i="18"/>
  <c r="J120" i="18"/>
  <c r="J121" i="18"/>
  <c r="J122" i="18"/>
  <c r="J123" i="18"/>
  <c r="J124" i="18"/>
  <c r="J125" i="18"/>
  <c r="J126" i="18"/>
  <c r="J127" i="18"/>
  <c r="J128" i="18"/>
  <c r="J117" i="18"/>
  <c r="J109" i="18"/>
  <c r="J110" i="18"/>
  <c r="J111" i="18"/>
  <c r="J112" i="18"/>
  <c r="J113" i="18"/>
  <c r="J114" i="18"/>
  <c r="J108" i="18"/>
  <c r="J101" i="18"/>
  <c r="J102" i="18"/>
  <c r="J103" i="18"/>
  <c r="J104" i="18"/>
  <c r="J105" i="18"/>
  <c r="J100" i="18"/>
  <c r="J97" i="18"/>
  <c r="J96" i="18"/>
  <c r="J95" i="18"/>
  <c r="J94" i="18"/>
  <c r="J93" i="18"/>
  <c r="J92" i="18"/>
  <c r="J91" i="18"/>
  <c r="J90" i="18"/>
  <c r="J82" i="18"/>
  <c r="J83" i="18"/>
  <c r="J84" i="18"/>
  <c r="J85" i="18"/>
  <c r="J86" i="18"/>
  <c r="J87" i="18"/>
  <c r="J81" i="18"/>
  <c r="J72" i="18"/>
  <c r="J73" i="18"/>
  <c r="J74" i="18"/>
  <c r="J75" i="18"/>
  <c r="J76" i="18"/>
  <c r="J77" i="18"/>
  <c r="J78" i="18"/>
  <c r="J71" i="18"/>
  <c r="J61" i="18"/>
  <c r="J62" i="18"/>
  <c r="J63" i="18"/>
  <c r="J64" i="18"/>
  <c r="J65" i="18"/>
  <c r="J66" i="18"/>
  <c r="J67" i="18"/>
  <c r="J68" i="18"/>
  <c r="J60" i="18"/>
  <c r="J57" i="18"/>
  <c r="J56" i="18"/>
  <c r="J55" i="18"/>
  <c r="J54" i="18"/>
  <c r="J53" i="18"/>
  <c r="J52" i="18"/>
  <c r="J51" i="18"/>
  <c r="J50" i="18"/>
  <c r="J49" i="18"/>
  <c r="J48" i="18"/>
  <c r="J38" i="18"/>
  <c r="J39" i="18"/>
  <c r="J40" i="18"/>
  <c r="J41" i="18"/>
  <c r="J42" i="18"/>
  <c r="J43" i="18"/>
  <c r="J44" i="18"/>
  <c r="J45" i="18"/>
  <c r="J37" i="18"/>
  <c r="J27" i="18"/>
  <c r="J28" i="18"/>
  <c r="J29" i="18"/>
  <c r="J30" i="18"/>
  <c r="J31" i="18"/>
  <c r="J32" i="18"/>
  <c r="J33" i="18"/>
  <c r="J34" i="18"/>
  <c r="J25" i="18"/>
  <c r="J26" i="18"/>
  <c r="J18" i="18"/>
  <c r="J19" i="18"/>
  <c r="J20" i="18"/>
  <c r="J21" i="18"/>
  <c r="J22" i="18"/>
  <c r="J17" i="18"/>
  <c r="J9" i="18"/>
  <c r="J10" i="18"/>
  <c r="J11" i="18"/>
  <c r="J12" i="18"/>
  <c r="J13" i="18"/>
  <c r="J14" i="18"/>
  <c r="J8" i="18"/>
  <c r="J403" i="17"/>
  <c r="J402" i="17"/>
  <c r="J401" i="17"/>
  <c r="J400" i="17"/>
  <c r="J399" i="17"/>
  <c r="J398" i="17"/>
  <c r="J397" i="17"/>
  <c r="J396" i="17"/>
  <c r="J395" i="17"/>
  <c r="J394" i="17"/>
  <c r="J393" i="17"/>
  <c r="J392" i="17"/>
  <c r="J391" i="17"/>
  <c r="J390" i="17"/>
  <c r="J389" i="17"/>
  <c r="J388" i="17"/>
  <c r="J387" i="17"/>
  <c r="J382" i="17"/>
  <c r="J383" i="17"/>
  <c r="J384" i="17"/>
  <c r="J385" i="17"/>
  <c r="J381" i="17"/>
  <c r="J380" i="17"/>
  <c r="J379" i="17"/>
  <c r="J378" i="17"/>
  <c r="J377" i="17"/>
  <c r="J376" i="17"/>
  <c r="J375" i="17"/>
  <c r="J374" i="17"/>
  <c r="J373" i="17"/>
  <c r="J372" i="17"/>
  <c r="J371" i="17"/>
  <c r="J370" i="17"/>
  <c r="J369" i="17"/>
  <c r="J364" i="17"/>
  <c r="J365" i="17"/>
  <c r="J366" i="17"/>
  <c r="J367" i="17"/>
  <c r="J363" i="17"/>
  <c r="J362" i="17"/>
  <c r="J361" i="17"/>
  <c r="J360" i="17"/>
  <c r="J359" i="17"/>
  <c r="J358" i="17"/>
  <c r="J357" i="17"/>
  <c r="J356" i="17"/>
  <c r="J355" i="17"/>
  <c r="J353" i="17"/>
  <c r="J352" i="17"/>
  <c r="J351" i="17"/>
  <c r="J350" i="17"/>
  <c r="J349" i="17"/>
  <c r="J348" i="17"/>
  <c r="J347" i="17"/>
  <c r="J346" i="17"/>
  <c r="J345" i="17"/>
  <c r="J343" i="17"/>
  <c r="J342" i="17"/>
  <c r="J341" i="17"/>
  <c r="J340" i="17"/>
  <c r="J339" i="17"/>
  <c r="J338" i="17"/>
  <c r="J337" i="17"/>
  <c r="J336" i="17"/>
  <c r="J335" i="17"/>
  <c r="J333" i="17"/>
  <c r="J332" i="17"/>
  <c r="J331" i="17"/>
  <c r="J330" i="17"/>
  <c r="J329" i="17"/>
  <c r="J328" i="17"/>
  <c r="J327" i="17"/>
  <c r="J326" i="17"/>
  <c r="J325" i="17"/>
  <c r="J323" i="17"/>
  <c r="J322" i="17"/>
  <c r="J321" i="17"/>
  <c r="J320" i="17"/>
  <c r="J319" i="17"/>
  <c r="J318" i="17"/>
  <c r="J317" i="17"/>
  <c r="J316" i="17"/>
  <c r="J315" i="17"/>
  <c r="J313" i="17"/>
  <c r="J312" i="17"/>
  <c r="J311" i="17"/>
  <c r="J310" i="17"/>
  <c r="J309" i="17"/>
  <c r="J308" i="17"/>
  <c r="J307" i="17"/>
  <c r="J306" i="17"/>
  <c r="J305" i="17"/>
  <c r="J303" i="17"/>
  <c r="J302" i="17"/>
  <c r="J301" i="17"/>
  <c r="J300" i="17"/>
  <c r="J299" i="17"/>
  <c r="J298" i="17"/>
  <c r="J297" i="17"/>
  <c r="J296" i="17"/>
  <c r="J295" i="17"/>
  <c r="J293" i="17"/>
  <c r="J292" i="17"/>
  <c r="J291" i="17"/>
  <c r="J290" i="17"/>
  <c r="J289" i="17"/>
  <c r="J288" i="17"/>
  <c r="J287" i="17"/>
  <c r="J286" i="17"/>
  <c r="J285" i="17"/>
  <c r="J276" i="17"/>
  <c r="J277" i="17"/>
  <c r="J278" i="17"/>
  <c r="J279" i="17"/>
  <c r="J280" i="17"/>
  <c r="J281" i="17"/>
  <c r="J282" i="17"/>
  <c r="J283" i="17"/>
  <c r="J275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23" i="17"/>
  <c r="J121" i="17"/>
  <c r="J120" i="17"/>
  <c r="J119" i="17"/>
  <c r="J116" i="17"/>
  <c r="J115" i="17"/>
  <c r="J114" i="17"/>
  <c r="J111" i="17"/>
  <c r="J110" i="17"/>
  <c r="J109" i="17"/>
  <c r="J106" i="17"/>
  <c r="J105" i="17"/>
  <c r="J104" i="17"/>
  <c r="J101" i="17"/>
  <c r="J100" i="17"/>
  <c r="J99" i="17"/>
  <c r="J96" i="17"/>
  <c r="J95" i="17"/>
  <c r="J94" i="17"/>
  <c r="J91" i="17"/>
  <c r="J90" i="17"/>
  <c r="J89" i="17"/>
  <c r="J86" i="17"/>
  <c r="J85" i="17"/>
  <c r="J84" i="17"/>
  <c r="J81" i="17"/>
  <c r="J80" i="17"/>
  <c r="J77" i="17"/>
  <c r="J76" i="17"/>
  <c r="J73" i="17"/>
  <c r="J72" i="17"/>
  <c r="J69" i="17"/>
  <c r="J68" i="17"/>
  <c r="J65" i="17"/>
  <c r="J64" i="17"/>
  <c r="J61" i="17"/>
  <c r="J60" i="17"/>
  <c r="J57" i="17"/>
  <c r="J56" i="17"/>
  <c r="J53" i="17"/>
  <c r="J52" i="17"/>
  <c r="J49" i="17"/>
  <c r="J48" i="17"/>
  <c r="J45" i="17"/>
  <c r="J44" i="17"/>
  <c r="J43" i="17"/>
  <c r="J40" i="17"/>
  <c r="J39" i="17"/>
  <c r="J38" i="17"/>
  <c r="J35" i="17"/>
  <c r="J34" i="17"/>
  <c r="J33" i="17"/>
  <c r="J30" i="17"/>
  <c r="J29" i="17"/>
  <c r="J28" i="17"/>
  <c r="J25" i="17"/>
  <c r="J24" i="17"/>
  <c r="J23" i="17"/>
  <c r="J20" i="17"/>
  <c r="J19" i="17"/>
  <c r="J18" i="17"/>
  <c r="J15" i="17"/>
  <c r="J14" i="17"/>
  <c r="J13" i="17"/>
  <c r="J9" i="17"/>
  <c r="J10" i="17"/>
  <c r="J8" i="17"/>
  <c r="J74" i="21"/>
  <c r="J73" i="21"/>
  <c r="J71" i="21"/>
  <c r="J70" i="21"/>
  <c r="J68" i="21"/>
  <c r="J67" i="21"/>
  <c r="J65" i="21"/>
  <c r="J64" i="21"/>
  <c r="J62" i="21"/>
  <c r="J61" i="21"/>
  <c r="J59" i="21"/>
  <c r="J58" i="21"/>
  <c r="J56" i="21"/>
  <c r="J55" i="21"/>
  <c r="J48" i="21"/>
  <c r="J47" i="21"/>
  <c r="J46" i="21"/>
  <c r="J45" i="21"/>
  <c r="J36" i="21"/>
  <c r="J35" i="21"/>
  <c r="J34" i="21"/>
  <c r="J33" i="21"/>
  <c r="J52" i="21"/>
  <c r="J9" i="21"/>
  <c r="J10" i="21"/>
  <c r="J11" i="21"/>
  <c r="J8" i="21"/>
  <c r="C74" i="21"/>
  <c r="C71" i="21"/>
  <c r="C68" i="21"/>
  <c r="C65" i="21"/>
  <c r="C62" i="21"/>
  <c r="C59" i="21"/>
  <c r="C56" i="21"/>
  <c r="E48" i="21"/>
  <c r="E47" i="21"/>
  <c r="E46" i="21"/>
  <c r="J167" i="2"/>
  <c r="J165" i="2"/>
  <c r="J71" i="2"/>
  <c r="J70" i="2"/>
  <c r="J69" i="2"/>
  <c r="J68" i="2"/>
  <c r="J67" i="2"/>
  <c r="J66" i="2"/>
  <c r="J63" i="2"/>
  <c r="J62" i="2"/>
  <c r="J61" i="2"/>
  <c r="J60" i="2"/>
  <c r="J59" i="2"/>
  <c r="J58" i="2"/>
  <c r="J55" i="2"/>
  <c r="J54" i="2"/>
  <c r="J53" i="2"/>
  <c r="J52" i="2"/>
  <c r="J51" i="2"/>
  <c r="J50" i="2"/>
  <c r="J47" i="2"/>
  <c r="J46" i="2"/>
  <c r="J45" i="2"/>
  <c r="J44" i="2"/>
  <c r="J43" i="2"/>
  <c r="J42" i="2"/>
  <c r="J39" i="2"/>
  <c r="J38" i="2"/>
  <c r="J37" i="2"/>
  <c r="J36" i="2"/>
  <c r="J35" i="2"/>
  <c r="J34" i="2"/>
  <c r="J31" i="2"/>
  <c r="J30" i="2"/>
  <c r="J29" i="2"/>
  <c r="J28" i="2"/>
  <c r="J27" i="2"/>
  <c r="J26" i="2"/>
  <c r="J19" i="2"/>
  <c r="J20" i="2"/>
  <c r="J21" i="2"/>
  <c r="J22" i="2"/>
  <c r="J23" i="2"/>
  <c r="J228" i="1"/>
  <c r="J227" i="1"/>
  <c r="J226" i="1"/>
  <c r="J225" i="1"/>
  <c r="J224" i="1"/>
  <c r="J223" i="1"/>
  <c r="J130" i="1"/>
  <c r="J129" i="1"/>
  <c r="J128" i="1"/>
  <c r="J127" i="1"/>
  <c r="J126" i="1"/>
  <c r="J125" i="1"/>
  <c r="J122" i="1"/>
  <c r="J121" i="1"/>
  <c r="J120" i="1"/>
  <c r="J119" i="1"/>
  <c r="J118" i="1"/>
  <c r="J117" i="1"/>
  <c r="J77" i="1"/>
  <c r="J76" i="1"/>
  <c r="J75" i="1"/>
  <c r="J74" i="1"/>
  <c r="J73" i="1"/>
  <c r="J72" i="1"/>
  <c r="J63" i="1"/>
  <c r="J62" i="1"/>
  <c r="J61" i="1"/>
  <c r="J60" i="1"/>
  <c r="J59" i="1"/>
  <c r="J58" i="1"/>
  <c r="J49" i="1"/>
  <c r="J48" i="1"/>
  <c r="J47" i="1"/>
  <c r="J46" i="1"/>
  <c r="J45" i="1"/>
  <c r="J44" i="1"/>
  <c r="J42" i="1"/>
  <c r="J41" i="1"/>
  <c r="J40" i="1"/>
  <c r="J39" i="1"/>
  <c r="J38" i="1"/>
  <c r="J37" i="1"/>
  <c r="J35" i="1"/>
  <c r="J34" i="1"/>
  <c r="J33" i="1"/>
  <c r="J32" i="1"/>
  <c r="J31" i="1"/>
  <c r="J30" i="1"/>
  <c r="J27" i="1"/>
  <c r="J26" i="1"/>
  <c r="J25" i="1"/>
  <c r="J24" i="1"/>
  <c r="J23" i="1"/>
  <c r="J21" i="1"/>
  <c r="J20" i="1"/>
  <c r="J19" i="1"/>
  <c r="J18" i="1"/>
  <c r="J17" i="1"/>
  <c r="J16" i="1"/>
  <c r="J10" i="1"/>
  <c r="J11" i="1"/>
  <c r="J12" i="1"/>
  <c r="J13" i="1"/>
  <c r="J14" i="1"/>
  <c r="J9" i="1"/>
  <c r="J371" i="13"/>
  <c r="J370" i="13"/>
  <c r="J369" i="13"/>
  <c r="J368" i="13"/>
  <c r="J367" i="13"/>
  <c r="J366" i="13"/>
  <c r="J365" i="13"/>
  <c r="J364" i="13"/>
  <c r="J363" i="13"/>
  <c r="J362" i="13"/>
  <c r="J361" i="13"/>
  <c r="J360" i="13"/>
  <c r="J359" i="13"/>
  <c r="J358" i="13"/>
  <c r="J357" i="13"/>
  <c r="J356" i="13"/>
  <c r="J355" i="13"/>
  <c r="J354" i="13"/>
  <c r="J353" i="13"/>
  <c r="J352" i="13"/>
  <c r="J351" i="13"/>
  <c r="J350" i="13"/>
  <c r="J349" i="13"/>
  <c r="J348" i="13"/>
  <c r="J347" i="13"/>
  <c r="J346" i="13"/>
  <c r="J345" i="13"/>
  <c r="J245" i="13"/>
  <c r="J244" i="13"/>
  <c r="J243" i="13"/>
  <c r="J242" i="13"/>
  <c r="J241" i="13"/>
  <c r="J240" i="13"/>
  <c r="J239" i="13"/>
  <c r="J238" i="13"/>
  <c r="J237" i="13"/>
  <c r="J236" i="13"/>
  <c r="J235" i="13"/>
  <c r="J234" i="13"/>
  <c r="J233" i="13"/>
  <c r="J232" i="13"/>
  <c r="J231" i="13"/>
  <c r="J230" i="13"/>
  <c r="J229" i="13"/>
  <c r="J228" i="13"/>
  <c r="J227" i="13"/>
  <c r="J226" i="13"/>
  <c r="J225" i="13"/>
  <c r="J224" i="13"/>
  <c r="J223" i="13"/>
  <c r="J222" i="13"/>
  <c r="J221" i="13"/>
  <c r="J220" i="13"/>
  <c r="J219" i="13"/>
  <c r="J215" i="13"/>
  <c r="J214" i="13"/>
  <c r="J213" i="13"/>
  <c r="J212" i="13"/>
  <c r="J211" i="13"/>
  <c r="J210" i="13"/>
  <c r="J209" i="13"/>
  <c r="J208" i="13"/>
  <c r="J207" i="13"/>
  <c r="J206" i="13"/>
  <c r="J205" i="13"/>
  <c r="J204" i="13"/>
  <c r="J203" i="13"/>
  <c r="J202" i="13"/>
  <c r="J201" i="13"/>
  <c r="J200" i="13"/>
  <c r="J199" i="13"/>
  <c r="J198" i="13"/>
  <c r="J197" i="13"/>
  <c r="J196" i="13"/>
  <c r="J192" i="13"/>
  <c r="J191" i="13"/>
  <c r="J190" i="13"/>
  <c r="J189" i="13"/>
  <c r="J188" i="13"/>
  <c r="J187" i="13"/>
  <c r="J186" i="13"/>
  <c r="J185" i="13"/>
  <c r="J184" i="13"/>
  <c r="J178" i="13"/>
  <c r="J177" i="13"/>
  <c r="J176" i="13"/>
  <c r="J175" i="13"/>
  <c r="J174" i="13"/>
  <c r="J173" i="13"/>
  <c r="J172" i="13"/>
  <c r="J171" i="13"/>
  <c r="J170" i="13"/>
  <c r="J169" i="13"/>
  <c r="J168" i="13"/>
  <c r="J167" i="13"/>
  <c r="J166" i="13"/>
  <c r="J165" i="13"/>
  <c r="J161" i="13"/>
  <c r="J160" i="13"/>
  <c r="J159" i="13"/>
  <c r="J158" i="13"/>
  <c r="J157" i="13"/>
  <c r="J156" i="13"/>
  <c r="J155" i="13"/>
  <c r="J154" i="13"/>
  <c r="J153" i="13"/>
  <c r="J152" i="13"/>
  <c r="J151" i="13"/>
  <c r="J150" i="13"/>
  <c r="J149" i="13"/>
  <c r="J145" i="13"/>
  <c r="J144" i="13"/>
  <c r="J143" i="13"/>
  <c r="J142" i="13"/>
  <c r="J141" i="13"/>
  <c r="J140" i="13"/>
  <c r="J139" i="13"/>
  <c r="J138" i="13"/>
  <c r="J137" i="13"/>
  <c r="J131" i="13"/>
  <c r="J130" i="13"/>
  <c r="J129" i="13"/>
  <c r="J128" i="13"/>
  <c r="J127" i="13"/>
  <c r="J126" i="13"/>
  <c r="J125" i="13"/>
  <c r="J124" i="13"/>
  <c r="J123" i="13"/>
  <c r="J122" i="13"/>
  <c r="J121" i="13"/>
  <c r="J120" i="13"/>
  <c r="J119" i="13"/>
  <c r="J118" i="13"/>
  <c r="J117" i="13"/>
  <c r="J116" i="13"/>
  <c r="J115" i="13"/>
  <c r="J114" i="13"/>
  <c r="J110" i="13"/>
  <c r="J109" i="13"/>
  <c r="J108" i="13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9" i="13"/>
  <c r="M33" i="21" l="1"/>
  <c r="N33" i="21" s="1"/>
  <c r="I33" i="21"/>
  <c r="O33" i="21" l="1"/>
  <c r="E8" i="21"/>
  <c r="E52" i="21" l="1"/>
  <c r="E11" i="21" l="1"/>
  <c r="M11" i="21" s="1"/>
  <c r="N11" i="21" s="1"/>
  <c r="E10" i="21"/>
  <c r="M10" i="21" s="1"/>
  <c r="N10" i="21" s="1"/>
  <c r="E9" i="21"/>
  <c r="M9" i="21" s="1"/>
  <c r="N9" i="21" s="1"/>
  <c r="M74" i="21" l="1"/>
  <c r="N74" i="21" s="1"/>
  <c r="I74" i="21"/>
  <c r="M73" i="21"/>
  <c r="N73" i="21" s="1"/>
  <c r="I73" i="21"/>
  <c r="M71" i="21"/>
  <c r="N71" i="21" s="1"/>
  <c r="I71" i="21"/>
  <c r="M70" i="21"/>
  <c r="N70" i="21" s="1"/>
  <c r="I70" i="21"/>
  <c r="M68" i="21"/>
  <c r="N68" i="21" s="1"/>
  <c r="I68" i="21"/>
  <c r="M67" i="21"/>
  <c r="N67" i="21" s="1"/>
  <c r="I67" i="21"/>
  <c r="M65" i="21"/>
  <c r="N65" i="21" s="1"/>
  <c r="I65" i="21"/>
  <c r="M64" i="21"/>
  <c r="N64" i="21" s="1"/>
  <c r="I64" i="21"/>
  <c r="M62" i="21"/>
  <c r="N62" i="21" s="1"/>
  <c r="I62" i="21"/>
  <c r="M61" i="21"/>
  <c r="N61" i="21" s="1"/>
  <c r="I61" i="21"/>
  <c r="M59" i="21"/>
  <c r="N59" i="21" s="1"/>
  <c r="I59" i="21"/>
  <c r="M58" i="21"/>
  <c r="N58" i="21" s="1"/>
  <c r="I58" i="21"/>
  <c r="M56" i="21"/>
  <c r="N56" i="21" s="1"/>
  <c r="I56" i="21"/>
  <c r="M55" i="21"/>
  <c r="N55" i="21" s="1"/>
  <c r="I55" i="21"/>
  <c r="M48" i="21"/>
  <c r="N48" i="21" s="1"/>
  <c r="I48" i="21"/>
  <c r="M47" i="21"/>
  <c r="N47" i="21" s="1"/>
  <c r="I47" i="21"/>
  <c r="M46" i="21"/>
  <c r="N46" i="21" s="1"/>
  <c r="I46" i="21"/>
  <c r="M45" i="21"/>
  <c r="N45" i="21" s="1"/>
  <c r="I45" i="21"/>
  <c r="M36" i="21"/>
  <c r="N36" i="21" s="1"/>
  <c r="I36" i="21"/>
  <c r="M35" i="21"/>
  <c r="N35" i="21" s="1"/>
  <c r="I35" i="21"/>
  <c r="M34" i="21"/>
  <c r="N34" i="21" s="1"/>
  <c r="I34" i="21"/>
  <c r="M52" i="21"/>
  <c r="N52" i="21" s="1"/>
  <c r="I52" i="21"/>
  <c r="I11" i="21"/>
  <c r="O11" i="21" s="1"/>
  <c r="I10" i="21"/>
  <c r="O10" i="21" s="1"/>
  <c r="I9" i="21"/>
  <c r="O9" i="21" s="1"/>
  <c r="M8" i="21"/>
  <c r="N8" i="21" s="1"/>
  <c r="I8" i="21"/>
  <c r="O74" i="21" l="1"/>
  <c r="O52" i="21"/>
  <c r="O36" i="21"/>
  <c r="O48" i="21"/>
  <c r="O59" i="21"/>
  <c r="O65" i="21"/>
  <c r="O71" i="21"/>
  <c r="O34" i="21"/>
  <c r="O46" i="21"/>
  <c r="O56" i="21"/>
  <c r="O62" i="21"/>
  <c r="O68" i="21"/>
  <c r="O47" i="21"/>
  <c r="O64" i="21"/>
  <c r="O70" i="21"/>
  <c r="O35" i="21"/>
  <c r="O58" i="21"/>
  <c r="O8" i="21"/>
  <c r="O73" i="21"/>
  <c r="O45" i="21"/>
  <c r="O55" i="21"/>
  <c r="O61" i="21"/>
  <c r="O67" i="21"/>
  <c r="E27" i="20"/>
  <c r="M27" i="20" s="1"/>
  <c r="N27" i="20" s="1"/>
  <c r="E26" i="20"/>
  <c r="M26" i="20" s="1"/>
  <c r="N26" i="20" s="1"/>
  <c r="E25" i="20"/>
  <c r="M25" i="20" s="1"/>
  <c r="N25" i="20" s="1"/>
  <c r="E24" i="20"/>
  <c r="I24" i="20" s="1"/>
  <c r="E23" i="20"/>
  <c r="M23" i="20" s="1"/>
  <c r="N23" i="20" s="1"/>
  <c r="E22" i="20"/>
  <c r="M22" i="20" s="1"/>
  <c r="N22" i="20" s="1"/>
  <c r="E21" i="20"/>
  <c r="M21" i="20" s="1"/>
  <c r="N21" i="20" s="1"/>
  <c r="E20" i="20"/>
  <c r="I20" i="20" s="1"/>
  <c r="E19" i="20"/>
  <c r="M19" i="20" s="1"/>
  <c r="N19" i="20" s="1"/>
  <c r="E18" i="20"/>
  <c r="M18" i="20" s="1"/>
  <c r="N18" i="20" s="1"/>
  <c r="E17" i="20"/>
  <c r="M17" i="20" s="1"/>
  <c r="N17" i="20" s="1"/>
  <c r="E16" i="20"/>
  <c r="I16" i="20" s="1"/>
  <c r="E15" i="20"/>
  <c r="M15" i="20" s="1"/>
  <c r="N15" i="20" s="1"/>
  <c r="E49" i="20"/>
  <c r="M49" i="20" s="1"/>
  <c r="N49" i="20" s="1"/>
  <c r="E48" i="20"/>
  <c r="M48" i="20" s="1"/>
  <c r="N48" i="20" s="1"/>
  <c r="E47" i="20"/>
  <c r="M47" i="20" s="1"/>
  <c r="N47" i="20" s="1"/>
  <c r="E46" i="20"/>
  <c r="I46" i="20" s="1"/>
  <c r="E45" i="20"/>
  <c r="M45" i="20" s="1"/>
  <c r="N45" i="20" s="1"/>
  <c r="E44" i="20"/>
  <c r="M44" i="20" s="1"/>
  <c r="N44" i="20" s="1"/>
  <c r="E43" i="20"/>
  <c r="M43" i="20" s="1"/>
  <c r="N43" i="20" s="1"/>
  <c r="E42" i="20"/>
  <c r="M42" i="20" s="1"/>
  <c r="N42" i="20" s="1"/>
  <c r="E41" i="20"/>
  <c r="M41" i="20" s="1"/>
  <c r="N41" i="20" s="1"/>
  <c r="E40" i="20"/>
  <c r="M40" i="20" s="1"/>
  <c r="N40" i="20" s="1"/>
  <c r="E39" i="20"/>
  <c r="M39" i="20" s="1"/>
  <c r="N39" i="20" s="1"/>
  <c r="E38" i="20"/>
  <c r="I38" i="20" s="1"/>
  <c r="E37" i="20"/>
  <c r="M37" i="20" s="1"/>
  <c r="N37" i="20" s="1"/>
  <c r="E36" i="20"/>
  <c r="M36" i="20" s="1"/>
  <c r="N36" i="20" s="1"/>
  <c r="E35" i="20"/>
  <c r="M35" i="20" s="1"/>
  <c r="N35" i="20" s="1"/>
  <c r="E34" i="20"/>
  <c r="M34" i="20" s="1"/>
  <c r="N34" i="20" s="1"/>
  <c r="E33" i="20"/>
  <c r="M33" i="20" s="1"/>
  <c r="N33" i="20" s="1"/>
  <c r="E32" i="20"/>
  <c r="M32" i="20" s="1"/>
  <c r="N32" i="20" s="1"/>
  <c r="E31" i="20"/>
  <c r="M31" i="20" s="1"/>
  <c r="N31" i="20" s="1"/>
  <c r="E30" i="20"/>
  <c r="I30" i="20" s="1"/>
  <c r="E29" i="20"/>
  <c r="M29" i="20" s="1"/>
  <c r="N29" i="20" s="1"/>
  <c r="E14" i="20"/>
  <c r="M14" i="20" s="1"/>
  <c r="N14" i="20" s="1"/>
  <c r="E57" i="20"/>
  <c r="M57" i="20" s="1"/>
  <c r="N57" i="20" s="1"/>
  <c r="E56" i="20"/>
  <c r="M56" i="20" s="1"/>
  <c r="N56" i="20" s="1"/>
  <c r="E55" i="20"/>
  <c r="I55" i="20" s="1"/>
  <c r="E54" i="20"/>
  <c r="I54" i="20" s="1"/>
  <c r="E53" i="20"/>
  <c r="M53" i="20" s="1"/>
  <c r="N53" i="20" s="1"/>
  <c r="E52" i="20"/>
  <c r="I52" i="20" s="1"/>
  <c r="M24" i="20" l="1"/>
  <c r="N24" i="20" s="1"/>
  <c r="O24" i="20" s="1"/>
  <c r="M38" i="20"/>
  <c r="N38" i="20" s="1"/>
  <c r="O38" i="20" s="1"/>
  <c r="M30" i="20"/>
  <c r="N30" i="20" s="1"/>
  <c r="O30" i="20" s="1"/>
  <c r="I35" i="20"/>
  <c r="O35" i="20" s="1"/>
  <c r="M46" i="20"/>
  <c r="N46" i="20" s="1"/>
  <c r="O46" i="20" s="1"/>
  <c r="I17" i="20"/>
  <c r="O17" i="20" s="1"/>
  <c r="I21" i="20"/>
  <c r="O21" i="20" s="1"/>
  <c r="I25" i="20"/>
  <c r="O25" i="20" s="1"/>
  <c r="I43" i="20"/>
  <c r="O43" i="20" s="1"/>
  <c r="I18" i="20"/>
  <c r="O18" i="20" s="1"/>
  <c r="I26" i="20"/>
  <c r="O26" i="20" s="1"/>
  <c r="M54" i="20"/>
  <c r="N54" i="20" s="1"/>
  <c r="O54" i="20" s="1"/>
  <c r="M16" i="20"/>
  <c r="N16" i="20" s="1"/>
  <c r="O16" i="20" s="1"/>
  <c r="M20" i="20"/>
  <c r="N20" i="20" s="1"/>
  <c r="O20" i="20" s="1"/>
  <c r="I53" i="20"/>
  <c r="I15" i="20"/>
  <c r="O15" i="20" s="1"/>
  <c r="I23" i="20"/>
  <c r="O23" i="20" s="1"/>
  <c r="I22" i="20"/>
  <c r="O22" i="20" s="1"/>
  <c r="I19" i="20"/>
  <c r="O19" i="20" s="1"/>
  <c r="I27" i="20"/>
  <c r="O27" i="20" s="1"/>
  <c r="I32" i="20"/>
  <c r="O32" i="20" s="1"/>
  <c r="I40" i="20"/>
  <c r="O40" i="20" s="1"/>
  <c r="I48" i="20"/>
  <c r="O48" i="20" s="1"/>
  <c r="I29" i="20"/>
  <c r="O29" i="20" s="1"/>
  <c r="I37" i="20"/>
  <c r="O37" i="20" s="1"/>
  <c r="I45" i="20"/>
  <c r="O45" i="20" s="1"/>
  <c r="I34" i="20"/>
  <c r="O34" i="20" s="1"/>
  <c r="I42" i="20"/>
  <c r="O42" i="20" s="1"/>
  <c r="I31" i="20"/>
  <c r="O31" i="20" s="1"/>
  <c r="I39" i="20"/>
  <c r="O39" i="20" s="1"/>
  <c r="I47" i="20"/>
  <c r="O47" i="20" s="1"/>
  <c r="I36" i="20"/>
  <c r="O36" i="20" s="1"/>
  <c r="I44" i="20"/>
  <c r="O44" i="20" s="1"/>
  <c r="I33" i="20"/>
  <c r="O33" i="20" s="1"/>
  <c r="I41" i="20"/>
  <c r="O41" i="20" s="1"/>
  <c r="I49" i="20"/>
  <c r="O49" i="20" s="1"/>
  <c r="I14" i="20"/>
  <c r="O14" i="20" s="1"/>
  <c r="I56" i="20"/>
  <c r="O56" i="20" s="1"/>
  <c r="M55" i="20"/>
  <c r="N55" i="20" s="1"/>
  <c r="O55" i="20" s="1"/>
  <c r="M52" i="20"/>
  <c r="N52" i="20" s="1"/>
  <c r="O52" i="20" s="1"/>
  <c r="I57" i="20"/>
  <c r="O57" i="20" s="1"/>
  <c r="O53" i="20"/>
  <c r="E371" i="13" l="1"/>
  <c r="M371" i="13" s="1"/>
  <c r="N371" i="13" s="1"/>
  <c r="E370" i="13"/>
  <c r="I370" i="13" s="1"/>
  <c r="E369" i="13"/>
  <c r="M369" i="13" s="1"/>
  <c r="N369" i="13" s="1"/>
  <c r="E368" i="13"/>
  <c r="I368" i="13" s="1"/>
  <c r="E367" i="13"/>
  <c r="I367" i="13" s="1"/>
  <c r="E366" i="13"/>
  <c r="M366" i="13" s="1"/>
  <c r="N366" i="13" s="1"/>
  <c r="E365" i="13"/>
  <c r="M365" i="13" s="1"/>
  <c r="N365" i="13" s="1"/>
  <c r="E364" i="13"/>
  <c r="M364" i="13" s="1"/>
  <c r="N364" i="13" s="1"/>
  <c r="E363" i="13"/>
  <c r="I363" i="13" s="1"/>
  <c r="E362" i="13"/>
  <c r="I362" i="13" s="1"/>
  <c r="E361" i="13"/>
  <c r="M361" i="13" s="1"/>
  <c r="N361" i="13" s="1"/>
  <c r="E360" i="13"/>
  <c r="M360" i="13" s="1"/>
  <c r="N360" i="13" s="1"/>
  <c r="E359" i="13"/>
  <c r="I359" i="13" s="1"/>
  <c r="E358" i="13"/>
  <c r="M358" i="13" s="1"/>
  <c r="N358" i="13" s="1"/>
  <c r="E178" i="13"/>
  <c r="M178" i="13" s="1"/>
  <c r="N178" i="13" s="1"/>
  <c r="E161" i="13"/>
  <c r="M161" i="13" s="1"/>
  <c r="N161" i="13" s="1"/>
  <c r="E160" i="13"/>
  <c r="M160" i="13" s="1"/>
  <c r="N160" i="13" s="1"/>
  <c r="E159" i="13"/>
  <c r="I159" i="13" s="1"/>
  <c r="E158" i="13"/>
  <c r="M158" i="13" s="1"/>
  <c r="N158" i="13" s="1"/>
  <c r="E157" i="13"/>
  <c r="I157" i="13" s="1"/>
  <c r="E156" i="13"/>
  <c r="M156" i="13" s="1"/>
  <c r="N156" i="13" s="1"/>
  <c r="E155" i="13"/>
  <c r="M155" i="13" s="1"/>
  <c r="N155" i="13" s="1"/>
  <c r="E154" i="13"/>
  <c r="M154" i="13" s="1"/>
  <c r="N154" i="13" s="1"/>
  <c r="E153" i="13"/>
  <c r="M153" i="13" s="1"/>
  <c r="N153" i="13" s="1"/>
  <c r="E152" i="13"/>
  <c r="M152" i="13" s="1"/>
  <c r="N152" i="13" s="1"/>
  <c r="E151" i="13"/>
  <c r="I151" i="13" s="1"/>
  <c r="E150" i="13"/>
  <c r="M150" i="13" s="1"/>
  <c r="N150" i="13" s="1"/>
  <c r="E149" i="13"/>
  <c r="I149" i="13" s="1"/>
  <c r="E145" i="13"/>
  <c r="M145" i="13" s="1"/>
  <c r="N145" i="13" s="1"/>
  <c r="E144" i="13"/>
  <c r="M144" i="13" s="1"/>
  <c r="N144" i="13" s="1"/>
  <c r="E143" i="13"/>
  <c r="I143" i="13" s="1"/>
  <c r="E142" i="13"/>
  <c r="I142" i="13" s="1"/>
  <c r="E141" i="13"/>
  <c r="M141" i="13" s="1"/>
  <c r="N141" i="13" s="1"/>
  <c r="E140" i="13"/>
  <c r="I140" i="13" s="1"/>
  <c r="E139" i="13"/>
  <c r="I139" i="13" s="1"/>
  <c r="E138" i="13"/>
  <c r="M138" i="13" s="1"/>
  <c r="N138" i="13" s="1"/>
  <c r="E137" i="13"/>
  <c r="M137" i="13" s="1"/>
  <c r="N137" i="13" s="1"/>
  <c r="E357" i="13"/>
  <c r="M357" i="13" s="1"/>
  <c r="N357" i="13" s="1"/>
  <c r="E356" i="13"/>
  <c r="I356" i="13" s="1"/>
  <c r="E355" i="13"/>
  <c r="M355" i="13" s="1"/>
  <c r="N355" i="13" s="1"/>
  <c r="E354" i="13"/>
  <c r="I354" i="13" s="1"/>
  <c r="E353" i="13"/>
  <c r="M353" i="13" s="1"/>
  <c r="N353" i="13" s="1"/>
  <c r="E352" i="13"/>
  <c r="M352" i="13" s="1"/>
  <c r="N352" i="13" s="1"/>
  <c r="E351" i="13"/>
  <c r="I351" i="13" s="1"/>
  <c r="E350" i="13"/>
  <c r="M350" i="13" s="1"/>
  <c r="N350" i="13" s="1"/>
  <c r="E349" i="13"/>
  <c r="M349" i="13" s="1"/>
  <c r="N349" i="13" s="1"/>
  <c r="E348" i="13"/>
  <c r="I348" i="13" s="1"/>
  <c r="E347" i="13"/>
  <c r="M347" i="13" s="1"/>
  <c r="N347" i="13" s="1"/>
  <c r="E346" i="13"/>
  <c r="I346" i="13" s="1"/>
  <c r="E345" i="13"/>
  <c r="M345" i="13" s="1"/>
  <c r="N345" i="13" s="1"/>
  <c r="E177" i="13"/>
  <c r="M177" i="13" s="1"/>
  <c r="N177" i="13" s="1"/>
  <c r="E176" i="13"/>
  <c r="I176" i="13" s="1"/>
  <c r="E175" i="13"/>
  <c r="I175" i="13" s="1"/>
  <c r="E174" i="13"/>
  <c r="M174" i="13" s="1"/>
  <c r="N174" i="13" s="1"/>
  <c r="E173" i="13"/>
  <c r="M173" i="13" s="1"/>
  <c r="N173" i="13" s="1"/>
  <c r="E172" i="13"/>
  <c r="I172" i="13" s="1"/>
  <c r="E171" i="13"/>
  <c r="M171" i="13" s="1"/>
  <c r="N171" i="13" s="1"/>
  <c r="E170" i="13"/>
  <c r="I170" i="13" s="1"/>
  <c r="E169" i="13"/>
  <c r="M169" i="13" s="1"/>
  <c r="N169" i="13" s="1"/>
  <c r="E168" i="13"/>
  <c r="M168" i="13" s="1"/>
  <c r="N168" i="13" s="1"/>
  <c r="E167" i="13"/>
  <c r="M167" i="13" s="1"/>
  <c r="N167" i="13" s="1"/>
  <c r="E166" i="13"/>
  <c r="I166" i="13" s="1"/>
  <c r="E165" i="13"/>
  <c r="M165" i="13" s="1"/>
  <c r="N165" i="13" s="1"/>
  <c r="M368" i="13" l="1"/>
  <c r="N368" i="13" s="1"/>
  <c r="O368" i="13" s="1"/>
  <c r="I141" i="13"/>
  <c r="O141" i="13" s="1"/>
  <c r="M363" i="13"/>
  <c r="N363" i="13" s="1"/>
  <c r="M142" i="13"/>
  <c r="N142" i="13" s="1"/>
  <c r="O142" i="13" s="1"/>
  <c r="M367" i="13"/>
  <c r="N367" i="13" s="1"/>
  <c r="O367" i="13" s="1"/>
  <c r="M139" i="13"/>
  <c r="N139" i="13" s="1"/>
  <c r="O139" i="13" s="1"/>
  <c r="M359" i="13"/>
  <c r="N359" i="13" s="1"/>
  <c r="O359" i="13" s="1"/>
  <c r="I364" i="13"/>
  <c r="O364" i="13" s="1"/>
  <c r="I360" i="13"/>
  <c r="O360" i="13" s="1"/>
  <c r="O363" i="13"/>
  <c r="M362" i="13"/>
  <c r="N362" i="13" s="1"/>
  <c r="O362" i="13" s="1"/>
  <c r="M370" i="13"/>
  <c r="N370" i="13" s="1"/>
  <c r="O370" i="13" s="1"/>
  <c r="I361" i="13"/>
  <c r="O361" i="13" s="1"/>
  <c r="I369" i="13"/>
  <c r="O369" i="13" s="1"/>
  <c r="I365" i="13"/>
  <c r="O365" i="13" s="1"/>
  <c r="I358" i="13"/>
  <c r="O358" i="13" s="1"/>
  <c r="I366" i="13"/>
  <c r="O366" i="13" s="1"/>
  <c r="I371" i="13"/>
  <c r="O371" i="13" s="1"/>
  <c r="I353" i="13"/>
  <c r="O353" i="13" s="1"/>
  <c r="M151" i="13"/>
  <c r="N151" i="13" s="1"/>
  <c r="O151" i="13" s="1"/>
  <c r="I345" i="13"/>
  <c r="O345" i="13" s="1"/>
  <c r="M351" i="13"/>
  <c r="N351" i="13" s="1"/>
  <c r="O351" i="13" s="1"/>
  <c r="I178" i="13"/>
  <c r="O178" i="13" s="1"/>
  <c r="M354" i="13"/>
  <c r="N354" i="13" s="1"/>
  <c r="O354" i="13" s="1"/>
  <c r="I158" i="13"/>
  <c r="O158" i="13" s="1"/>
  <c r="M149" i="13"/>
  <c r="N149" i="13" s="1"/>
  <c r="O149" i="13" s="1"/>
  <c r="I150" i="13"/>
  <c r="O150" i="13" s="1"/>
  <c r="M157" i="13"/>
  <c r="N157" i="13" s="1"/>
  <c r="O157" i="13" s="1"/>
  <c r="M346" i="13"/>
  <c r="N346" i="13" s="1"/>
  <c r="O346" i="13" s="1"/>
  <c r="I154" i="13"/>
  <c r="O154" i="13" s="1"/>
  <c r="M175" i="13"/>
  <c r="N175" i="13" s="1"/>
  <c r="O175" i="13" s="1"/>
  <c r="M356" i="13"/>
  <c r="N356" i="13" s="1"/>
  <c r="O356" i="13" s="1"/>
  <c r="M348" i="13"/>
  <c r="N348" i="13" s="1"/>
  <c r="O348" i="13" s="1"/>
  <c r="I144" i="13"/>
  <c r="O144" i="13" s="1"/>
  <c r="M172" i="13"/>
  <c r="N172" i="13" s="1"/>
  <c r="O172" i="13" s="1"/>
  <c r="M159" i="13"/>
  <c r="N159" i="13" s="1"/>
  <c r="O159" i="13" s="1"/>
  <c r="I167" i="13"/>
  <c r="O167" i="13" s="1"/>
  <c r="I156" i="13"/>
  <c r="O156" i="13" s="1"/>
  <c r="I153" i="13"/>
  <c r="O153" i="13" s="1"/>
  <c r="I161" i="13"/>
  <c r="O161" i="13" s="1"/>
  <c r="I155" i="13"/>
  <c r="O155" i="13" s="1"/>
  <c r="I152" i="13"/>
  <c r="O152" i="13" s="1"/>
  <c r="I160" i="13"/>
  <c r="O160" i="13" s="1"/>
  <c r="M143" i="13"/>
  <c r="N143" i="13" s="1"/>
  <c r="O143" i="13" s="1"/>
  <c r="I137" i="13"/>
  <c r="O137" i="13" s="1"/>
  <c r="M140" i="13"/>
  <c r="N140" i="13" s="1"/>
  <c r="O140" i="13" s="1"/>
  <c r="I145" i="13"/>
  <c r="O145" i="13" s="1"/>
  <c r="I138" i="13"/>
  <c r="O138" i="13" s="1"/>
  <c r="I350" i="13"/>
  <c r="O350" i="13" s="1"/>
  <c r="I347" i="13"/>
  <c r="O347" i="13" s="1"/>
  <c r="I355" i="13"/>
  <c r="O355" i="13" s="1"/>
  <c r="I352" i="13"/>
  <c r="O352" i="13" s="1"/>
  <c r="I349" i="13"/>
  <c r="O349" i="13" s="1"/>
  <c r="I357" i="13"/>
  <c r="O357" i="13" s="1"/>
  <c r="M170" i="13"/>
  <c r="N170" i="13" s="1"/>
  <c r="O170" i="13" s="1"/>
  <c r="I169" i="13"/>
  <c r="O169" i="13" s="1"/>
  <c r="I174" i="13"/>
  <c r="O174" i="13" s="1"/>
  <c r="M166" i="13"/>
  <c r="N166" i="13" s="1"/>
  <c r="O166" i="13" s="1"/>
  <c r="M176" i="13"/>
  <c r="N176" i="13" s="1"/>
  <c r="O176" i="13" s="1"/>
  <c r="I177" i="13"/>
  <c r="O177" i="13" s="1"/>
  <c r="I171" i="13"/>
  <c r="O171" i="13" s="1"/>
  <c r="I168" i="13"/>
  <c r="O168" i="13" s="1"/>
  <c r="I165" i="13"/>
  <c r="O165" i="13" s="1"/>
  <c r="I173" i="13"/>
  <c r="O173" i="13" s="1"/>
  <c r="E131" i="13"/>
  <c r="I131" i="13" s="1"/>
  <c r="E130" i="13"/>
  <c r="I130" i="13" s="1"/>
  <c r="E129" i="13"/>
  <c r="N129" i="13" s="1"/>
  <c r="E128" i="13"/>
  <c r="N128" i="13" s="1"/>
  <c r="E127" i="13"/>
  <c r="N127" i="13" s="1"/>
  <c r="E67" i="13"/>
  <c r="I67" i="13" s="1"/>
  <c r="E66" i="13"/>
  <c r="N66" i="13" s="1"/>
  <c r="E65" i="13"/>
  <c r="N65" i="13" s="1"/>
  <c r="N64" i="13"/>
  <c r="E64" i="13"/>
  <c r="I64" i="13" s="1"/>
  <c r="E63" i="13"/>
  <c r="I63" i="13" l="1"/>
  <c r="M63" i="13"/>
  <c r="I128" i="13"/>
  <c r="O128" i="13" s="1"/>
  <c r="I127" i="13"/>
  <c r="O127" i="13" s="1"/>
  <c r="N131" i="13"/>
  <c r="O131" i="13" s="1"/>
  <c r="N130" i="13"/>
  <c r="O130" i="13" s="1"/>
  <c r="I129" i="13"/>
  <c r="O129" i="13" s="1"/>
  <c r="N67" i="13"/>
  <c r="O67" i="13" s="1"/>
  <c r="I66" i="13"/>
  <c r="O66" i="13" s="1"/>
  <c r="I65" i="13"/>
  <c r="O65" i="13" s="1"/>
  <c r="O64" i="13"/>
  <c r="N63" i="13"/>
  <c r="E340" i="13"/>
  <c r="M340" i="13" s="1"/>
  <c r="N340" i="13" s="1"/>
  <c r="E339" i="13"/>
  <c r="I339" i="13" s="1"/>
  <c r="E338" i="13"/>
  <c r="M338" i="13" s="1"/>
  <c r="N338" i="13" s="1"/>
  <c r="E337" i="13"/>
  <c r="M337" i="13" s="1"/>
  <c r="N337" i="13" s="1"/>
  <c r="E336" i="13"/>
  <c r="I336" i="13" s="1"/>
  <c r="E335" i="13"/>
  <c r="M335" i="13" s="1"/>
  <c r="N335" i="13" s="1"/>
  <c r="E334" i="13"/>
  <c r="I334" i="13" s="1"/>
  <c r="E333" i="13"/>
  <c r="M333" i="13" s="1"/>
  <c r="N333" i="13" s="1"/>
  <c r="E332" i="13"/>
  <c r="M332" i="13" s="1"/>
  <c r="N332" i="13" s="1"/>
  <c r="E331" i="13"/>
  <c r="I331" i="13" s="1"/>
  <c r="E330" i="13"/>
  <c r="M330" i="13" s="1"/>
  <c r="N330" i="13" s="1"/>
  <c r="E329" i="13"/>
  <c r="M329" i="13" s="1"/>
  <c r="N329" i="13" s="1"/>
  <c r="E328" i="13"/>
  <c r="M328" i="13" s="1"/>
  <c r="N328" i="13" s="1"/>
  <c r="E327" i="13"/>
  <c r="M327" i="13" s="1"/>
  <c r="N327" i="13" s="1"/>
  <c r="E326" i="13"/>
  <c r="I326" i="13" s="1"/>
  <c r="E325" i="13"/>
  <c r="M325" i="13" s="1"/>
  <c r="N325" i="13" s="1"/>
  <c r="E324" i="13"/>
  <c r="M324" i="13" s="1"/>
  <c r="N324" i="13" s="1"/>
  <c r="E323" i="13"/>
  <c r="I323" i="13" s="1"/>
  <c r="E322" i="13"/>
  <c r="M322" i="13" s="1"/>
  <c r="N322" i="13" s="1"/>
  <c r="E321" i="13"/>
  <c r="M321" i="13" s="1"/>
  <c r="N321" i="13" s="1"/>
  <c r="E320" i="13"/>
  <c r="M320" i="13" s="1"/>
  <c r="N320" i="13" s="1"/>
  <c r="E319" i="13"/>
  <c r="M319" i="13" s="1"/>
  <c r="N319" i="13" s="1"/>
  <c r="E318" i="13"/>
  <c r="M318" i="13" s="1"/>
  <c r="N318" i="13" s="1"/>
  <c r="E317" i="13"/>
  <c r="M317" i="13" s="1"/>
  <c r="N317" i="13" s="1"/>
  <c r="E316" i="13"/>
  <c r="M316" i="13" s="1"/>
  <c r="N316" i="13" s="1"/>
  <c r="E315" i="13"/>
  <c r="I315" i="13" s="1"/>
  <c r="E314" i="13"/>
  <c r="M314" i="13" s="1"/>
  <c r="N314" i="13" s="1"/>
  <c r="E309" i="13"/>
  <c r="M309" i="13" s="1"/>
  <c r="N309" i="13" s="1"/>
  <c r="E308" i="13"/>
  <c r="I308" i="13" s="1"/>
  <c r="E307" i="13"/>
  <c r="M307" i="13" s="1"/>
  <c r="N307" i="13" s="1"/>
  <c r="E306" i="13"/>
  <c r="M306" i="13" s="1"/>
  <c r="N306" i="13" s="1"/>
  <c r="E305" i="13"/>
  <c r="M305" i="13" s="1"/>
  <c r="N305" i="13" s="1"/>
  <c r="E304" i="13"/>
  <c r="M304" i="13" s="1"/>
  <c r="N304" i="13" s="1"/>
  <c r="E303" i="13"/>
  <c r="M303" i="13" s="1"/>
  <c r="N303" i="13" s="1"/>
  <c r="E302" i="13"/>
  <c r="M302" i="13" s="1"/>
  <c r="N302" i="13" s="1"/>
  <c r="E301" i="13"/>
  <c r="M301" i="13" s="1"/>
  <c r="N301" i="13" s="1"/>
  <c r="E300" i="13"/>
  <c r="M300" i="13" s="1"/>
  <c r="N300" i="13" s="1"/>
  <c r="E299" i="13"/>
  <c r="M299" i="13" s="1"/>
  <c r="N299" i="13" s="1"/>
  <c r="E298" i="13"/>
  <c r="M298" i="13" s="1"/>
  <c r="N298" i="13" s="1"/>
  <c r="E297" i="13"/>
  <c r="I297" i="13" s="1"/>
  <c r="E296" i="13"/>
  <c r="I296" i="13" s="1"/>
  <c r="E295" i="13"/>
  <c r="M295" i="13" s="1"/>
  <c r="N295" i="13" s="1"/>
  <c r="E294" i="13"/>
  <c r="M294" i="13" s="1"/>
  <c r="N294" i="13" s="1"/>
  <c r="E293" i="13"/>
  <c r="M293" i="13" s="1"/>
  <c r="N293" i="13" s="1"/>
  <c r="E292" i="13"/>
  <c r="M292" i="13" s="1"/>
  <c r="N292" i="13" s="1"/>
  <c r="E291" i="13"/>
  <c r="I291" i="13" s="1"/>
  <c r="E290" i="13"/>
  <c r="M290" i="13" s="1"/>
  <c r="N290" i="13" s="1"/>
  <c r="E289" i="13"/>
  <c r="M289" i="13" s="1"/>
  <c r="N289" i="13" s="1"/>
  <c r="E288" i="13"/>
  <c r="I288" i="13" s="1"/>
  <c r="E287" i="13"/>
  <c r="I287" i="13" s="1"/>
  <c r="E286" i="13"/>
  <c r="M286" i="13" s="1"/>
  <c r="N286" i="13" s="1"/>
  <c r="E285" i="13"/>
  <c r="M285" i="13" s="1"/>
  <c r="N285" i="13" s="1"/>
  <c r="E284" i="13"/>
  <c r="M284" i="13" s="1"/>
  <c r="N284" i="13" s="1"/>
  <c r="E283" i="13"/>
  <c r="I283" i="13" s="1"/>
  <c r="E245" i="13"/>
  <c r="M245" i="13" s="1"/>
  <c r="N245" i="13" s="1"/>
  <c r="E244" i="13"/>
  <c r="M244" i="13" s="1"/>
  <c r="N244" i="13" s="1"/>
  <c r="E243" i="13"/>
  <c r="I243" i="13" s="1"/>
  <c r="E242" i="13"/>
  <c r="M242" i="13" s="1"/>
  <c r="N242" i="13" s="1"/>
  <c r="E241" i="13"/>
  <c r="I241" i="13" s="1"/>
  <c r="E240" i="13"/>
  <c r="M240" i="13" s="1"/>
  <c r="N240" i="13" s="1"/>
  <c r="E239" i="13"/>
  <c r="M239" i="13" s="1"/>
  <c r="N239" i="13" s="1"/>
  <c r="E238" i="13"/>
  <c r="M238" i="13" s="1"/>
  <c r="N238" i="13" s="1"/>
  <c r="E237" i="13"/>
  <c r="I237" i="13" s="1"/>
  <c r="E236" i="13"/>
  <c r="M236" i="13" s="1"/>
  <c r="N236" i="13" s="1"/>
  <c r="E235" i="13"/>
  <c r="M235" i="13" s="1"/>
  <c r="N235" i="13" s="1"/>
  <c r="E234" i="13"/>
  <c r="M234" i="13" s="1"/>
  <c r="N234" i="13" s="1"/>
  <c r="E233" i="13"/>
  <c r="M233" i="13" s="1"/>
  <c r="N233" i="13" s="1"/>
  <c r="E232" i="13"/>
  <c r="M232" i="13" s="1"/>
  <c r="N232" i="13" s="1"/>
  <c r="E231" i="13"/>
  <c r="M231" i="13" s="1"/>
  <c r="N231" i="13" s="1"/>
  <c r="E230" i="13"/>
  <c r="I230" i="13" s="1"/>
  <c r="E229" i="13"/>
  <c r="M229" i="13" s="1"/>
  <c r="N229" i="13" s="1"/>
  <c r="E228" i="13"/>
  <c r="M228" i="13" s="1"/>
  <c r="N228" i="13" s="1"/>
  <c r="E227" i="13"/>
  <c r="M227" i="13" s="1"/>
  <c r="N227" i="13" s="1"/>
  <c r="E226" i="13"/>
  <c r="M226" i="13" s="1"/>
  <c r="N226" i="13" s="1"/>
  <c r="E225" i="13"/>
  <c r="M225" i="13" s="1"/>
  <c r="N225" i="13" s="1"/>
  <c r="E224" i="13"/>
  <c r="I224" i="13" s="1"/>
  <c r="E223" i="13"/>
  <c r="M223" i="13" s="1"/>
  <c r="N223" i="13" s="1"/>
  <c r="E222" i="13"/>
  <c r="I222" i="13" s="1"/>
  <c r="E221" i="13"/>
  <c r="M221" i="13" s="1"/>
  <c r="N221" i="13" s="1"/>
  <c r="E220" i="13"/>
  <c r="I220" i="13" s="1"/>
  <c r="E219" i="13"/>
  <c r="M219" i="13" s="1"/>
  <c r="N219" i="13" s="1"/>
  <c r="E280" i="13"/>
  <c r="M280" i="13" s="1"/>
  <c r="N280" i="13" s="1"/>
  <c r="E279" i="13"/>
  <c r="I279" i="13" s="1"/>
  <c r="E278" i="13"/>
  <c r="M278" i="13" s="1"/>
  <c r="N278" i="13" s="1"/>
  <c r="E277" i="13"/>
  <c r="M277" i="13" s="1"/>
  <c r="N277" i="13" s="1"/>
  <c r="E276" i="13"/>
  <c r="M276" i="13" s="1"/>
  <c r="N276" i="13" s="1"/>
  <c r="E275" i="13"/>
  <c r="M275" i="13" s="1"/>
  <c r="N275" i="13" s="1"/>
  <c r="E274" i="13"/>
  <c r="I274" i="13" s="1"/>
  <c r="E273" i="13"/>
  <c r="M273" i="13" s="1"/>
  <c r="N273" i="13" s="1"/>
  <c r="E272" i="13"/>
  <c r="M272" i="13" s="1"/>
  <c r="N272" i="13" s="1"/>
  <c r="E271" i="13"/>
  <c r="I271" i="13" s="1"/>
  <c r="E270" i="13"/>
  <c r="I270" i="13" s="1"/>
  <c r="E269" i="13"/>
  <c r="M269" i="13" s="1"/>
  <c r="N269" i="13" s="1"/>
  <c r="E268" i="13"/>
  <c r="I268" i="13" s="1"/>
  <c r="E267" i="13"/>
  <c r="M267" i="13" s="1"/>
  <c r="N267" i="13" s="1"/>
  <c r="E266" i="13"/>
  <c r="I266" i="13" s="1"/>
  <c r="E265" i="13"/>
  <c r="M265" i="13" s="1"/>
  <c r="N265" i="13" s="1"/>
  <c r="E264" i="13"/>
  <c r="I264" i="13" s="1"/>
  <c r="E263" i="13"/>
  <c r="I263" i="13" s="1"/>
  <c r="E262" i="13"/>
  <c r="M262" i="13" s="1"/>
  <c r="N262" i="13" s="1"/>
  <c r="E261" i="13"/>
  <c r="M261" i="13" s="1"/>
  <c r="N261" i="13" s="1"/>
  <c r="E215" i="13"/>
  <c r="M215" i="13" s="1"/>
  <c r="N215" i="13" s="1"/>
  <c r="E214" i="13"/>
  <c r="M214" i="13" s="1"/>
  <c r="E213" i="13"/>
  <c r="I213" i="13" s="1"/>
  <c r="E212" i="13"/>
  <c r="I212" i="13" s="1"/>
  <c r="E211" i="13"/>
  <c r="M211" i="13" s="1"/>
  <c r="N211" i="13" s="1"/>
  <c r="E210" i="13"/>
  <c r="M210" i="13" s="1"/>
  <c r="N210" i="13" s="1"/>
  <c r="E209" i="13"/>
  <c r="M209" i="13" s="1"/>
  <c r="N209" i="13" s="1"/>
  <c r="E208" i="13"/>
  <c r="I208" i="13" s="1"/>
  <c r="E207" i="13"/>
  <c r="M207" i="13" s="1"/>
  <c r="N207" i="13" s="1"/>
  <c r="E206" i="13"/>
  <c r="I206" i="13" s="1"/>
  <c r="E205" i="13"/>
  <c r="M205" i="13" s="1"/>
  <c r="N205" i="13" s="1"/>
  <c r="E204" i="13"/>
  <c r="I204" i="13" s="1"/>
  <c r="E203" i="13"/>
  <c r="I203" i="13" s="1"/>
  <c r="E202" i="13"/>
  <c r="I202" i="13" s="1"/>
  <c r="E201" i="13"/>
  <c r="I201" i="13" s="1"/>
  <c r="E200" i="13"/>
  <c r="I200" i="13" s="1"/>
  <c r="E199" i="13"/>
  <c r="I199" i="13" s="1"/>
  <c r="E198" i="13"/>
  <c r="I198" i="13" s="1"/>
  <c r="E197" i="13"/>
  <c r="I197" i="13" s="1"/>
  <c r="E196" i="13"/>
  <c r="E258" i="13"/>
  <c r="M258" i="13" s="1"/>
  <c r="E257" i="13"/>
  <c r="I257" i="13" s="1"/>
  <c r="E256" i="13"/>
  <c r="M256" i="13" s="1"/>
  <c r="E255" i="13"/>
  <c r="I255" i="13" s="1"/>
  <c r="E254" i="13"/>
  <c r="M254" i="13" s="1"/>
  <c r="E253" i="13"/>
  <c r="I253" i="13" s="1"/>
  <c r="E252" i="13"/>
  <c r="M252" i="13" s="1"/>
  <c r="N252" i="13" s="1"/>
  <c r="E251" i="13"/>
  <c r="I251" i="13" s="1"/>
  <c r="E250" i="13"/>
  <c r="M250" i="13" s="1"/>
  <c r="N250" i="13" s="1"/>
  <c r="E192" i="13"/>
  <c r="M192" i="13" s="1"/>
  <c r="N192" i="13" s="1"/>
  <c r="E191" i="13"/>
  <c r="M191" i="13" s="1"/>
  <c r="N191" i="13" s="1"/>
  <c r="E190" i="13"/>
  <c r="M190" i="13" s="1"/>
  <c r="N190" i="13" s="1"/>
  <c r="E189" i="13"/>
  <c r="M189" i="13" s="1"/>
  <c r="N189" i="13" s="1"/>
  <c r="E188" i="13"/>
  <c r="M188" i="13" s="1"/>
  <c r="N188" i="13" s="1"/>
  <c r="E187" i="13"/>
  <c r="M187" i="13" s="1"/>
  <c r="N187" i="13" s="1"/>
  <c r="E186" i="13"/>
  <c r="M186" i="13" s="1"/>
  <c r="N186" i="13" s="1"/>
  <c r="E185" i="13"/>
  <c r="M185" i="13" s="1"/>
  <c r="N185" i="13" s="1"/>
  <c r="E184" i="13"/>
  <c r="M184" i="13" s="1"/>
  <c r="N184" i="13" s="1"/>
  <c r="O63" i="13" l="1"/>
  <c r="I278" i="13"/>
  <c r="O278" i="13" s="1"/>
  <c r="M336" i="13"/>
  <c r="N336" i="13" s="1"/>
  <c r="O336" i="13" s="1"/>
  <c r="M315" i="13"/>
  <c r="N315" i="13" s="1"/>
  <c r="O315" i="13" s="1"/>
  <c r="I322" i="13"/>
  <c r="O322" i="13" s="1"/>
  <c r="M230" i="13"/>
  <c r="N230" i="13" s="1"/>
  <c r="O230" i="13" s="1"/>
  <c r="M323" i="13"/>
  <c r="N323" i="13" s="1"/>
  <c r="O323" i="13" s="1"/>
  <c r="I330" i="13"/>
  <c r="O330" i="13" s="1"/>
  <c r="M331" i="13"/>
  <c r="N331" i="13" s="1"/>
  <c r="O331" i="13" s="1"/>
  <c r="I242" i="13"/>
  <c r="O242" i="13" s="1"/>
  <c r="M206" i="13"/>
  <c r="N206" i="13" s="1"/>
  <c r="O206" i="13" s="1"/>
  <c r="I328" i="13"/>
  <c r="O328" i="13" s="1"/>
  <c r="I314" i="13"/>
  <c r="O314" i="13" s="1"/>
  <c r="I320" i="13"/>
  <c r="O320" i="13" s="1"/>
  <c r="M334" i="13"/>
  <c r="N334" i="13" s="1"/>
  <c r="O334" i="13" s="1"/>
  <c r="I338" i="13"/>
  <c r="O338" i="13" s="1"/>
  <c r="M255" i="13"/>
  <c r="N255" i="13" s="1"/>
  <c r="O255" i="13" s="1"/>
  <c r="M326" i="13"/>
  <c r="N326" i="13" s="1"/>
  <c r="O326" i="13" s="1"/>
  <c r="M339" i="13"/>
  <c r="N339" i="13" s="1"/>
  <c r="O339" i="13" s="1"/>
  <c r="M279" i="13"/>
  <c r="N279" i="13" s="1"/>
  <c r="O279" i="13" s="1"/>
  <c r="M291" i="13"/>
  <c r="N291" i="13" s="1"/>
  <c r="O291" i="13" s="1"/>
  <c r="I317" i="13"/>
  <c r="O317" i="13" s="1"/>
  <c r="I325" i="13"/>
  <c r="O325" i="13" s="1"/>
  <c r="I333" i="13"/>
  <c r="O333" i="13" s="1"/>
  <c r="I319" i="13"/>
  <c r="O319" i="13" s="1"/>
  <c r="I327" i="13"/>
  <c r="O327" i="13" s="1"/>
  <c r="I335" i="13"/>
  <c r="O335" i="13" s="1"/>
  <c r="I316" i="13"/>
  <c r="O316" i="13" s="1"/>
  <c r="I324" i="13"/>
  <c r="O324" i="13" s="1"/>
  <c r="I332" i="13"/>
  <c r="O332" i="13" s="1"/>
  <c r="I340" i="13"/>
  <c r="O340" i="13" s="1"/>
  <c r="I321" i="13"/>
  <c r="O321" i="13" s="1"/>
  <c r="I329" i="13"/>
  <c r="O329" i="13" s="1"/>
  <c r="I337" i="13"/>
  <c r="O337" i="13" s="1"/>
  <c r="I318" i="13"/>
  <c r="O318" i="13" s="1"/>
  <c r="M253" i="13"/>
  <c r="N253" i="13" s="1"/>
  <c r="O253" i="13" s="1"/>
  <c r="M197" i="13"/>
  <c r="N197" i="13" s="1"/>
  <c r="O197" i="13" s="1"/>
  <c r="M208" i="13"/>
  <c r="N208" i="13" s="1"/>
  <c r="O208" i="13" s="1"/>
  <c r="I306" i="13"/>
  <c r="O306" i="13" s="1"/>
  <c r="M199" i="13"/>
  <c r="N199" i="13" s="1"/>
  <c r="O199" i="13" s="1"/>
  <c r="I269" i="13"/>
  <c r="O269" i="13" s="1"/>
  <c r="I276" i="13"/>
  <c r="O276" i="13" s="1"/>
  <c r="M200" i="13"/>
  <c r="N200" i="13" s="1"/>
  <c r="O200" i="13" s="1"/>
  <c r="I303" i="13"/>
  <c r="O303" i="13" s="1"/>
  <c r="M271" i="13"/>
  <c r="N271" i="13" s="1"/>
  <c r="O271" i="13" s="1"/>
  <c r="I252" i="13"/>
  <c r="O252" i="13" s="1"/>
  <c r="M201" i="13"/>
  <c r="N201" i="13" s="1"/>
  <c r="O201" i="13" s="1"/>
  <c r="M263" i="13"/>
  <c r="N263" i="13" s="1"/>
  <c r="O263" i="13" s="1"/>
  <c r="M220" i="13"/>
  <c r="N220" i="13" s="1"/>
  <c r="O220" i="13" s="1"/>
  <c r="I236" i="13"/>
  <c r="O236" i="13" s="1"/>
  <c r="M283" i="13"/>
  <c r="N283" i="13" s="1"/>
  <c r="O283" i="13" s="1"/>
  <c r="M297" i="13"/>
  <c r="N297" i="13" s="1"/>
  <c r="O297" i="13" s="1"/>
  <c r="I304" i="13"/>
  <c r="O304" i="13" s="1"/>
  <c r="M257" i="13"/>
  <c r="N257" i="13" s="1"/>
  <c r="O257" i="13" s="1"/>
  <c r="M202" i="13"/>
  <c r="N202" i="13" s="1"/>
  <c r="O202" i="13" s="1"/>
  <c r="I227" i="13"/>
  <c r="O227" i="13" s="1"/>
  <c r="I289" i="13"/>
  <c r="O289" i="13" s="1"/>
  <c r="I301" i="13"/>
  <c r="O301" i="13" s="1"/>
  <c r="M266" i="13"/>
  <c r="N266" i="13" s="1"/>
  <c r="O266" i="13" s="1"/>
  <c r="I191" i="13"/>
  <c r="O191" i="13" s="1"/>
  <c r="M203" i="13"/>
  <c r="N203" i="13" s="1"/>
  <c r="O203" i="13" s="1"/>
  <c r="M264" i="13"/>
  <c r="N264" i="13" s="1"/>
  <c r="O264" i="13" s="1"/>
  <c r="M268" i="13"/>
  <c r="N268" i="13" s="1"/>
  <c r="O268" i="13" s="1"/>
  <c r="I233" i="13"/>
  <c r="O233" i="13" s="1"/>
  <c r="I294" i="13"/>
  <c r="O294" i="13" s="1"/>
  <c r="M196" i="13"/>
  <c r="N196" i="13" s="1"/>
  <c r="M204" i="13"/>
  <c r="N204" i="13" s="1"/>
  <c r="O204" i="13" s="1"/>
  <c r="M274" i="13"/>
  <c r="N274" i="13" s="1"/>
  <c r="O274" i="13" s="1"/>
  <c r="M222" i="13"/>
  <c r="N222" i="13" s="1"/>
  <c r="O222" i="13" s="1"/>
  <c r="M237" i="13"/>
  <c r="N237" i="13" s="1"/>
  <c r="O237" i="13" s="1"/>
  <c r="I309" i="13"/>
  <c r="O309" i="13" s="1"/>
  <c r="I261" i="13"/>
  <c r="O261" i="13" s="1"/>
  <c r="I265" i="13"/>
  <c r="O265" i="13" s="1"/>
  <c r="I286" i="13"/>
  <c r="O286" i="13" s="1"/>
  <c r="I298" i="13"/>
  <c r="O298" i="13" s="1"/>
  <c r="N258" i="13"/>
  <c r="N256" i="13"/>
  <c r="M198" i="13"/>
  <c r="N198" i="13" s="1"/>
  <c r="O198" i="13" s="1"/>
  <c r="I234" i="13"/>
  <c r="O234" i="13" s="1"/>
  <c r="I238" i="13"/>
  <c r="O238" i="13" s="1"/>
  <c r="I305" i="13"/>
  <c r="O305" i="13" s="1"/>
  <c r="M308" i="13"/>
  <c r="N308" i="13" s="1"/>
  <c r="O308" i="13" s="1"/>
  <c r="M296" i="13"/>
  <c r="N296" i="13" s="1"/>
  <c r="O296" i="13" s="1"/>
  <c r="I300" i="13"/>
  <c r="O300" i="13" s="1"/>
  <c r="I290" i="13"/>
  <c r="O290" i="13" s="1"/>
  <c r="M288" i="13"/>
  <c r="N288" i="13" s="1"/>
  <c r="O288" i="13" s="1"/>
  <c r="I293" i="13"/>
  <c r="O293" i="13" s="1"/>
  <c r="I295" i="13"/>
  <c r="O295" i="13" s="1"/>
  <c r="I302" i="13"/>
  <c r="O302" i="13" s="1"/>
  <c r="I284" i="13"/>
  <c r="O284" i="13" s="1"/>
  <c r="M287" i="13"/>
  <c r="N287" i="13" s="1"/>
  <c r="O287" i="13" s="1"/>
  <c r="I292" i="13"/>
  <c r="O292" i="13" s="1"/>
  <c r="I299" i="13"/>
  <c r="O299" i="13" s="1"/>
  <c r="I307" i="13"/>
  <c r="O307" i="13" s="1"/>
  <c r="I285" i="13"/>
  <c r="O285" i="13" s="1"/>
  <c r="I245" i="13"/>
  <c r="O245" i="13" s="1"/>
  <c r="M243" i="13"/>
  <c r="N243" i="13" s="1"/>
  <c r="O243" i="13" s="1"/>
  <c r="I244" i="13"/>
  <c r="O244" i="13" s="1"/>
  <c r="M241" i="13"/>
  <c r="N241" i="13" s="1"/>
  <c r="O241" i="13" s="1"/>
  <c r="I235" i="13"/>
  <c r="O235" i="13" s="1"/>
  <c r="I240" i="13"/>
  <c r="O240" i="13" s="1"/>
  <c r="I232" i="13"/>
  <c r="O232" i="13" s="1"/>
  <c r="I239" i="13"/>
  <c r="O239" i="13" s="1"/>
  <c r="I221" i="13"/>
  <c r="O221" i="13" s="1"/>
  <c r="M224" i="13"/>
  <c r="N224" i="13" s="1"/>
  <c r="O224" i="13" s="1"/>
  <c r="I229" i="13"/>
  <c r="O229" i="13" s="1"/>
  <c r="I226" i="13"/>
  <c r="O226" i="13" s="1"/>
  <c r="I223" i="13"/>
  <c r="O223" i="13" s="1"/>
  <c r="I231" i="13"/>
  <c r="O231" i="13" s="1"/>
  <c r="I228" i="13"/>
  <c r="O228" i="13" s="1"/>
  <c r="I225" i="13"/>
  <c r="O225" i="13" s="1"/>
  <c r="I219" i="13"/>
  <c r="O219" i="13" s="1"/>
  <c r="I273" i="13"/>
  <c r="O273" i="13" s="1"/>
  <c r="M270" i="13"/>
  <c r="N270" i="13" s="1"/>
  <c r="O270" i="13" s="1"/>
  <c r="I275" i="13"/>
  <c r="O275" i="13" s="1"/>
  <c r="I272" i="13"/>
  <c r="O272" i="13" s="1"/>
  <c r="I280" i="13"/>
  <c r="O280" i="13" s="1"/>
  <c r="I277" i="13"/>
  <c r="O277" i="13" s="1"/>
  <c r="I262" i="13"/>
  <c r="O262" i="13" s="1"/>
  <c r="I267" i="13"/>
  <c r="O267" i="13" s="1"/>
  <c r="N214" i="13"/>
  <c r="I215" i="13"/>
  <c r="O215" i="13" s="1"/>
  <c r="M213" i="13"/>
  <c r="N213" i="13" s="1"/>
  <c r="O213" i="13" s="1"/>
  <c r="M212" i="13"/>
  <c r="N212" i="13" s="1"/>
  <c r="O212" i="13" s="1"/>
  <c r="I214" i="13"/>
  <c r="I210" i="13"/>
  <c r="O210" i="13" s="1"/>
  <c r="I211" i="13"/>
  <c r="O211" i="13" s="1"/>
  <c r="I207" i="13"/>
  <c r="O207" i="13" s="1"/>
  <c r="I209" i="13"/>
  <c r="O209" i="13" s="1"/>
  <c r="I205" i="13"/>
  <c r="O205" i="13" s="1"/>
  <c r="N254" i="13"/>
  <c r="I196" i="13"/>
  <c r="I258" i="13"/>
  <c r="I254" i="13"/>
  <c r="M251" i="13"/>
  <c r="N251" i="13" s="1"/>
  <c r="O251" i="13" s="1"/>
  <c r="I256" i="13"/>
  <c r="I250" i="13"/>
  <c r="O250" i="13" s="1"/>
  <c r="I192" i="13"/>
  <c r="O192" i="13" s="1"/>
  <c r="I190" i="13"/>
  <c r="O190" i="13" s="1"/>
  <c r="I189" i="13"/>
  <c r="O189" i="13" s="1"/>
  <c r="I188" i="13"/>
  <c r="O188" i="13" s="1"/>
  <c r="I187" i="13"/>
  <c r="O187" i="13" s="1"/>
  <c r="I186" i="13"/>
  <c r="O186" i="13" s="1"/>
  <c r="I185" i="13"/>
  <c r="O185" i="13" s="1"/>
  <c r="I184" i="13"/>
  <c r="O184" i="13" s="1"/>
  <c r="O258" i="13" l="1"/>
  <c r="O214" i="13"/>
  <c r="O256" i="13"/>
  <c r="O196" i="13"/>
  <c r="O254" i="13"/>
  <c r="E84" i="20"/>
  <c r="I84" i="20" s="1"/>
  <c r="E94" i="20"/>
  <c r="M94" i="20" s="1"/>
  <c r="N94" i="20" s="1"/>
  <c r="E93" i="20"/>
  <c r="I93" i="20" s="1"/>
  <c r="E92" i="20"/>
  <c r="M92" i="20" s="1"/>
  <c r="N92" i="20" s="1"/>
  <c r="E91" i="20"/>
  <c r="M91" i="20" s="1"/>
  <c r="N91" i="20" s="1"/>
  <c r="E90" i="20"/>
  <c r="M90" i="20" s="1"/>
  <c r="N90" i="20" s="1"/>
  <c r="E89" i="20"/>
  <c r="I89" i="20" s="1"/>
  <c r="E88" i="20"/>
  <c r="M88" i="20" s="1"/>
  <c r="N88" i="20" s="1"/>
  <c r="E87" i="20"/>
  <c r="M87" i="20" s="1"/>
  <c r="N87" i="20" s="1"/>
  <c r="E86" i="20"/>
  <c r="M86" i="20" s="1"/>
  <c r="N86" i="20" s="1"/>
  <c r="E85" i="20"/>
  <c r="I85" i="20" s="1"/>
  <c r="E83" i="20"/>
  <c r="M83" i="20" s="1"/>
  <c r="N83" i="20" s="1"/>
  <c r="E82" i="20"/>
  <c r="M82" i="20" s="1"/>
  <c r="N82" i="20" s="1"/>
  <c r="E81" i="20"/>
  <c r="M81" i="20" s="1"/>
  <c r="N81" i="20" s="1"/>
  <c r="E80" i="20"/>
  <c r="I80" i="20" s="1"/>
  <c r="E79" i="20"/>
  <c r="M79" i="20" s="1"/>
  <c r="N79" i="20" s="1"/>
  <c r="E78" i="20"/>
  <c r="M78" i="20" s="1"/>
  <c r="N78" i="20" s="1"/>
  <c r="E77" i="20"/>
  <c r="M77" i="20" s="1"/>
  <c r="N77" i="20" s="1"/>
  <c r="E76" i="20"/>
  <c r="I76" i="20" s="1"/>
  <c r="E75" i="20"/>
  <c r="M75" i="20" s="1"/>
  <c r="N75" i="20" s="1"/>
  <c r="E74" i="20"/>
  <c r="M74" i="20" s="1"/>
  <c r="N74" i="20" s="1"/>
  <c r="E72" i="20"/>
  <c r="I72" i="20" s="1"/>
  <c r="E71" i="20"/>
  <c r="M71" i="20" s="1"/>
  <c r="N71" i="20" s="1"/>
  <c r="E70" i="20"/>
  <c r="M70" i="20" s="1"/>
  <c r="N70" i="20" s="1"/>
  <c r="E69" i="20"/>
  <c r="M69" i="20" s="1"/>
  <c r="N69" i="20" s="1"/>
  <c r="E68" i="20"/>
  <c r="I68" i="20" s="1"/>
  <c r="E67" i="20"/>
  <c r="I67" i="20" s="1"/>
  <c r="E66" i="20"/>
  <c r="M66" i="20" s="1"/>
  <c r="N66" i="20" s="1"/>
  <c r="E65" i="20"/>
  <c r="M65" i="20" s="1"/>
  <c r="N65" i="20" s="1"/>
  <c r="E64" i="20"/>
  <c r="I64" i="20" s="1"/>
  <c r="E63" i="20"/>
  <c r="I63" i="20" s="1"/>
  <c r="E62" i="20"/>
  <c r="M62" i="20" s="1"/>
  <c r="N62" i="20" s="1"/>
  <c r="E61" i="20"/>
  <c r="M61" i="20" s="1"/>
  <c r="N61" i="20" s="1"/>
  <c r="E60" i="20"/>
  <c r="I60" i="20" s="1"/>
  <c r="E59" i="20"/>
  <c r="M59" i="20" s="1"/>
  <c r="N59" i="20" s="1"/>
  <c r="E58" i="20"/>
  <c r="M58" i="20" s="1"/>
  <c r="N58" i="20" s="1"/>
  <c r="E13" i="20"/>
  <c r="M13" i="20" s="1"/>
  <c r="N13" i="20" s="1"/>
  <c r="E12" i="20"/>
  <c r="I12" i="20" s="1"/>
  <c r="E11" i="20"/>
  <c r="M11" i="20" s="1"/>
  <c r="N11" i="20" s="1"/>
  <c r="E10" i="20"/>
  <c r="M10" i="20" s="1"/>
  <c r="N10" i="20" s="1"/>
  <c r="E9" i="20"/>
  <c r="M9" i="20" s="1"/>
  <c r="N9" i="20" s="1"/>
  <c r="E8" i="20"/>
  <c r="M8" i="20" s="1"/>
  <c r="N8" i="20" s="1"/>
  <c r="C121" i="17"/>
  <c r="E121" i="17" s="1"/>
  <c r="M121" i="17" s="1"/>
  <c r="N121" i="17" s="1"/>
  <c r="C120" i="17"/>
  <c r="C116" i="17"/>
  <c r="E116" i="17" s="1"/>
  <c r="C115" i="17"/>
  <c r="E115" i="17" s="1"/>
  <c r="I115" i="17" s="1"/>
  <c r="C111" i="17"/>
  <c r="E111" i="17" s="1"/>
  <c r="I111" i="17" s="1"/>
  <c r="C110" i="17"/>
  <c r="C106" i="17"/>
  <c r="E106" i="17" s="1"/>
  <c r="I106" i="17" s="1"/>
  <c r="C105" i="17"/>
  <c r="E105" i="17" s="1"/>
  <c r="C101" i="17"/>
  <c r="E101" i="17" s="1"/>
  <c r="M101" i="17" s="1"/>
  <c r="N101" i="17" s="1"/>
  <c r="C100" i="17"/>
  <c r="E100" i="17" s="1"/>
  <c r="M100" i="17" s="1"/>
  <c r="N100" i="17" s="1"/>
  <c r="C96" i="17"/>
  <c r="E96" i="17" s="1"/>
  <c r="C95" i="17"/>
  <c r="E95" i="17" s="1"/>
  <c r="I95" i="17" s="1"/>
  <c r="C91" i="17"/>
  <c r="E91" i="17" s="1"/>
  <c r="M91" i="17" s="1"/>
  <c r="N91" i="17" s="1"/>
  <c r="C90" i="17"/>
  <c r="C86" i="17"/>
  <c r="E86" i="17" s="1"/>
  <c r="I86" i="17" s="1"/>
  <c r="C85" i="17"/>
  <c r="E85" i="17" s="1"/>
  <c r="C81" i="17"/>
  <c r="E81" i="17" s="1"/>
  <c r="I81" i="17" s="1"/>
  <c r="C77" i="17"/>
  <c r="E77" i="17" s="1"/>
  <c r="C73" i="17"/>
  <c r="E73" i="17" s="1"/>
  <c r="I73" i="17" s="1"/>
  <c r="C69" i="17"/>
  <c r="E69" i="17" s="1"/>
  <c r="C65" i="17"/>
  <c r="E65" i="17" s="1"/>
  <c r="I65" i="17" s="1"/>
  <c r="C61" i="17"/>
  <c r="C57" i="17"/>
  <c r="E57" i="17" s="1"/>
  <c r="I57" i="17" s="1"/>
  <c r="C53" i="17"/>
  <c r="E53" i="17" s="1"/>
  <c r="C49" i="17"/>
  <c r="E49" i="17" s="1"/>
  <c r="I49" i="17" s="1"/>
  <c r="C45" i="17"/>
  <c r="E45" i="17" s="1"/>
  <c r="M45" i="17" s="1"/>
  <c r="N45" i="17" s="1"/>
  <c r="C44" i="17"/>
  <c r="E44" i="17" s="1"/>
  <c r="M44" i="17" s="1"/>
  <c r="N44" i="17" s="1"/>
  <c r="C40" i="17"/>
  <c r="E40" i="17" s="1"/>
  <c r="I40" i="17" s="1"/>
  <c r="C39" i="17"/>
  <c r="E39" i="17" s="1"/>
  <c r="C35" i="17"/>
  <c r="C34" i="17"/>
  <c r="E34" i="17" s="1"/>
  <c r="M34" i="17" s="1"/>
  <c r="N34" i="17" s="1"/>
  <c r="C30" i="17"/>
  <c r="E30" i="17" s="1"/>
  <c r="C29" i="17"/>
  <c r="E29" i="17" s="1"/>
  <c r="I29" i="17" s="1"/>
  <c r="C25" i="17"/>
  <c r="E25" i="17" s="1"/>
  <c r="M25" i="17" s="1"/>
  <c r="N25" i="17" s="1"/>
  <c r="C24" i="17"/>
  <c r="E24" i="17" s="1"/>
  <c r="I24" i="17" s="1"/>
  <c r="C20" i="17"/>
  <c r="E20" i="17" s="1"/>
  <c r="I20" i="17" s="1"/>
  <c r="C19" i="17"/>
  <c r="E19" i="17" s="1"/>
  <c r="C15" i="17"/>
  <c r="E15" i="17" s="1"/>
  <c r="M15" i="17" s="1"/>
  <c r="N15" i="17" s="1"/>
  <c r="C14" i="17"/>
  <c r="E14" i="17" s="1"/>
  <c r="M14" i="17" s="1"/>
  <c r="N14" i="17" s="1"/>
  <c r="C10" i="17"/>
  <c r="E10" i="17" s="1"/>
  <c r="C9" i="17"/>
  <c r="E9" i="17" s="1"/>
  <c r="I9" i="17" s="1"/>
  <c r="E119" i="17"/>
  <c r="I119" i="17" s="1"/>
  <c r="E120" i="17"/>
  <c r="M120" i="17" s="1"/>
  <c r="N120" i="17" s="1"/>
  <c r="E114" i="17"/>
  <c r="M114" i="17" s="1"/>
  <c r="N114" i="17" s="1"/>
  <c r="E109" i="17"/>
  <c r="E110" i="17"/>
  <c r="M110" i="17" s="1"/>
  <c r="N110" i="17" s="1"/>
  <c r="E104" i="17"/>
  <c r="M104" i="17" s="1"/>
  <c r="N104" i="17" s="1"/>
  <c r="E99" i="17"/>
  <c r="I99" i="17" s="1"/>
  <c r="E94" i="17"/>
  <c r="M94" i="17" s="1"/>
  <c r="N94" i="17" s="1"/>
  <c r="E89" i="17"/>
  <c r="E90" i="17"/>
  <c r="M90" i="17" s="1"/>
  <c r="N90" i="17" s="1"/>
  <c r="E84" i="17"/>
  <c r="M84" i="17" s="1"/>
  <c r="N84" i="17" s="1"/>
  <c r="E80" i="17"/>
  <c r="M80" i="17" s="1"/>
  <c r="N80" i="17" s="1"/>
  <c r="E76" i="17"/>
  <c r="M76" i="17" s="1"/>
  <c r="N76" i="17" s="1"/>
  <c r="E72" i="17"/>
  <c r="M72" i="17" s="1"/>
  <c r="N72" i="17" s="1"/>
  <c r="E68" i="17"/>
  <c r="M68" i="17" s="1"/>
  <c r="N68" i="17" s="1"/>
  <c r="E64" i="17"/>
  <c r="M64" i="17" s="1"/>
  <c r="N64" i="17" s="1"/>
  <c r="E60" i="17"/>
  <c r="M60" i="17" s="1"/>
  <c r="N60" i="17" s="1"/>
  <c r="E61" i="17"/>
  <c r="E56" i="17"/>
  <c r="M56" i="17" s="1"/>
  <c r="N56" i="17" s="1"/>
  <c r="E52" i="17"/>
  <c r="M52" i="17" s="1"/>
  <c r="N52" i="17" s="1"/>
  <c r="E48" i="17"/>
  <c r="M48" i="17" s="1"/>
  <c r="N48" i="17" s="1"/>
  <c r="E43" i="17"/>
  <c r="E38" i="17"/>
  <c r="M38" i="17" s="1"/>
  <c r="N38" i="17" s="1"/>
  <c r="E35" i="17"/>
  <c r="M35" i="17" s="1"/>
  <c r="N35" i="17" s="1"/>
  <c r="E33" i="17"/>
  <c r="I33" i="17" s="1"/>
  <c r="E28" i="17"/>
  <c r="M28" i="17" s="1"/>
  <c r="N28" i="17" s="1"/>
  <c r="E23" i="17"/>
  <c r="E18" i="17"/>
  <c r="M18" i="17" s="1"/>
  <c r="N18" i="17" s="1"/>
  <c r="E13" i="17"/>
  <c r="I13" i="17" s="1"/>
  <c r="E8" i="17"/>
  <c r="M8" i="17" s="1"/>
  <c r="N8" i="17" s="1"/>
  <c r="E137" i="19"/>
  <c r="M137" i="19" s="1"/>
  <c r="N137" i="19" s="1"/>
  <c r="E136" i="19"/>
  <c r="M136" i="19" s="1"/>
  <c r="N136" i="19" s="1"/>
  <c r="E135" i="19"/>
  <c r="M135" i="19" s="1"/>
  <c r="N135" i="19" s="1"/>
  <c r="E134" i="19"/>
  <c r="M134" i="19" s="1"/>
  <c r="N134" i="19" s="1"/>
  <c r="E133" i="19"/>
  <c r="E132" i="19"/>
  <c r="M132" i="19" s="1"/>
  <c r="N132" i="19" s="1"/>
  <c r="E131" i="19"/>
  <c r="E130" i="19"/>
  <c r="M130" i="19" s="1"/>
  <c r="N130" i="19" s="1"/>
  <c r="E129" i="19"/>
  <c r="E128" i="19"/>
  <c r="M128" i="19" s="1"/>
  <c r="N128" i="19" s="1"/>
  <c r="E127" i="19"/>
  <c r="M127" i="19" s="1"/>
  <c r="N127" i="19" s="1"/>
  <c r="E126" i="19"/>
  <c r="E125" i="19"/>
  <c r="E124" i="19"/>
  <c r="M124" i="19" s="1"/>
  <c r="N124" i="19" s="1"/>
  <c r="E123" i="19"/>
  <c r="M123" i="19" s="1"/>
  <c r="N123" i="19" s="1"/>
  <c r="E122" i="19"/>
  <c r="M122" i="19" s="1"/>
  <c r="N122" i="19" s="1"/>
  <c r="E121" i="19"/>
  <c r="E120" i="19"/>
  <c r="M120" i="19" s="1"/>
  <c r="N120" i="19" s="1"/>
  <c r="E119" i="19"/>
  <c r="M119" i="19" s="1"/>
  <c r="N119" i="19" s="1"/>
  <c r="E118" i="19"/>
  <c r="M118" i="19" s="1"/>
  <c r="N118" i="19" s="1"/>
  <c r="E117" i="19"/>
  <c r="E116" i="19"/>
  <c r="M116" i="19" s="1"/>
  <c r="N116" i="19" s="1"/>
  <c r="E115" i="19"/>
  <c r="E114" i="19"/>
  <c r="M114" i="19" s="1"/>
  <c r="N114" i="19" s="1"/>
  <c r="E113" i="19"/>
  <c r="E112" i="19"/>
  <c r="M112" i="19" s="1"/>
  <c r="N112" i="19" s="1"/>
  <c r="E111" i="19"/>
  <c r="E110" i="19"/>
  <c r="E109" i="19"/>
  <c r="E108" i="19"/>
  <c r="M108" i="19" s="1"/>
  <c r="N108" i="19" s="1"/>
  <c r="E107" i="19"/>
  <c r="E106" i="19"/>
  <c r="M106" i="19" s="1"/>
  <c r="N106" i="19" s="1"/>
  <c r="E104" i="19"/>
  <c r="M104" i="19" s="1"/>
  <c r="N104" i="19" s="1"/>
  <c r="E103" i="19"/>
  <c r="M103" i="19" s="1"/>
  <c r="N103" i="19" s="1"/>
  <c r="E102" i="19"/>
  <c r="M102" i="19" s="1"/>
  <c r="N102" i="19" s="1"/>
  <c r="E101" i="19"/>
  <c r="E100" i="19"/>
  <c r="M100" i="19" s="1"/>
  <c r="N100" i="19" s="1"/>
  <c r="E99" i="19"/>
  <c r="M99" i="19" s="1"/>
  <c r="N99" i="19" s="1"/>
  <c r="E98" i="19"/>
  <c r="M98" i="19" s="1"/>
  <c r="N98" i="19" s="1"/>
  <c r="E97" i="19"/>
  <c r="M97" i="19" s="1"/>
  <c r="N97" i="19" s="1"/>
  <c r="E96" i="19"/>
  <c r="M96" i="19" s="1"/>
  <c r="N96" i="19" s="1"/>
  <c r="E95" i="19"/>
  <c r="M95" i="19" s="1"/>
  <c r="N95" i="19" s="1"/>
  <c r="E94" i="19"/>
  <c r="M94" i="19" s="1"/>
  <c r="N94" i="19" s="1"/>
  <c r="E93" i="19"/>
  <c r="M93" i="19" s="1"/>
  <c r="N93" i="19" s="1"/>
  <c r="E92" i="19"/>
  <c r="E91" i="19"/>
  <c r="M91" i="19" s="1"/>
  <c r="N91" i="19" s="1"/>
  <c r="E90" i="19"/>
  <c r="M90" i="19" s="1"/>
  <c r="N90" i="19" s="1"/>
  <c r="E89" i="19"/>
  <c r="M89" i="19" s="1"/>
  <c r="N89" i="19" s="1"/>
  <c r="E88" i="19"/>
  <c r="M88" i="19" s="1"/>
  <c r="N88" i="19" s="1"/>
  <c r="E87" i="19"/>
  <c r="M87" i="19" s="1"/>
  <c r="N87" i="19" s="1"/>
  <c r="E86" i="19"/>
  <c r="M86" i="19" s="1"/>
  <c r="N86" i="19" s="1"/>
  <c r="E85" i="19"/>
  <c r="E84" i="19"/>
  <c r="M84" i="19" s="1"/>
  <c r="N84" i="19" s="1"/>
  <c r="E83" i="19"/>
  <c r="M83" i="19" s="1"/>
  <c r="N83" i="19" s="1"/>
  <c r="E82" i="19"/>
  <c r="M82" i="19" s="1"/>
  <c r="N82" i="19" s="1"/>
  <c r="E81" i="19"/>
  <c r="M81" i="19" s="1"/>
  <c r="N81" i="19" s="1"/>
  <c r="E80" i="19"/>
  <c r="M80" i="19" s="1"/>
  <c r="N80" i="19" s="1"/>
  <c r="E79" i="19"/>
  <c r="M79" i="19" s="1"/>
  <c r="N79" i="19" s="1"/>
  <c r="E78" i="19"/>
  <c r="M78" i="19" s="1"/>
  <c r="N78" i="19" s="1"/>
  <c r="E77" i="19"/>
  <c r="M77" i="19" s="1"/>
  <c r="N77" i="19" s="1"/>
  <c r="E76" i="19"/>
  <c r="E75" i="19"/>
  <c r="M75" i="19" s="1"/>
  <c r="N75" i="19" s="1"/>
  <c r="E74" i="19"/>
  <c r="M74" i="19" s="1"/>
  <c r="N74" i="19" s="1"/>
  <c r="E73" i="19"/>
  <c r="M73" i="19" s="1"/>
  <c r="N73" i="19" s="1"/>
  <c r="E71" i="19"/>
  <c r="M71" i="19" s="1"/>
  <c r="N71" i="19" s="1"/>
  <c r="E70" i="19"/>
  <c r="M70" i="19" s="1"/>
  <c r="N70" i="19" s="1"/>
  <c r="E69" i="19"/>
  <c r="M69" i="19" s="1"/>
  <c r="N69" i="19" s="1"/>
  <c r="E68" i="19"/>
  <c r="M68" i="19" s="1"/>
  <c r="N68" i="19" s="1"/>
  <c r="E67" i="19"/>
  <c r="M67" i="19" s="1"/>
  <c r="N67" i="19" s="1"/>
  <c r="E66" i="19"/>
  <c r="M66" i="19" s="1"/>
  <c r="N66" i="19" s="1"/>
  <c r="E65" i="19"/>
  <c r="M65" i="19" s="1"/>
  <c r="N65" i="19" s="1"/>
  <c r="E64" i="19"/>
  <c r="M64" i="19" s="1"/>
  <c r="N64" i="19" s="1"/>
  <c r="E63" i="19"/>
  <c r="M63" i="19" s="1"/>
  <c r="N63" i="19" s="1"/>
  <c r="E62" i="19"/>
  <c r="M62" i="19" s="1"/>
  <c r="N62" i="19" s="1"/>
  <c r="E61" i="19"/>
  <c r="M61" i="19" s="1"/>
  <c r="N61" i="19" s="1"/>
  <c r="E60" i="19"/>
  <c r="M60" i="19" s="1"/>
  <c r="N60" i="19" s="1"/>
  <c r="E59" i="19"/>
  <c r="M59" i="19" s="1"/>
  <c r="N59" i="19" s="1"/>
  <c r="E58" i="19"/>
  <c r="M58" i="19" s="1"/>
  <c r="N58" i="19" s="1"/>
  <c r="E57" i="19"/>
  <c r="M57" i="19" s="1"/>
  <c r="N57" i="19" s="1"/>
  <c r="E56" i="19"/>
  <c r="M56" i="19" s="1"/>
  <c r="N56" i="19" s="1"/>
  <c r="E55" i="19"/>
  <c r="M55" i="19" s="1"/>
  <c r="N55" i="19" s="1"/>
  <c r="E54" i="19"/>
  <c r="M54" i="19" s="1"/>
  <c r="N54" i="19" s="1"/>
  <c r="E53" i="19"/>
  <c r="M53" i="19" s="1"/>
  <c r="N53" i="19" s="1"/>
  <c r="E52" i="19"/>
  <c r="M52" i="19" s="1"/>
  <c r="N52" i="19" s="1"/>
  <c r="E51" i="19"/>
  <c r="M51" i="19" s="1"/>
  <c r="N51" i="19" s="1"/>
  <c r="E50" i="19"/>
  <c r="M50" i="19" s="1"/>
  <c r="N50" i="19" s="1"/>
  <c r="E49" i="19"/>
  <c r="M49" i="19" s="1"/>
  <c r="N49" i="19" s="1"/>
  <c r="E48" i="19"/>
  <c r="M48" i="19" s="1"/>
  <c r="N48" i="19" s="1"/>
  <c r="E47" i="19"/>
  <c r="M47" i="19" s="1"/>
  <c r="N47" i="19" s="1"/>
  <c r="E46" i="19"/>
  <c r="M46" i="19" s="1"/>
  <c r="N46" i="19" s="1"/>
  <c r="E45" i="19"/>
  <c r="M45" i="19" s="1"/>
  <c r="N45" i="19" s="1"/>
  <c r="E44" i="19"/>
  <c r="M44" i="19" s="1"/>
  <c r="N44" i="19" s="1"/>
  <c r="E43" i="19"/>
  <c r="M43" i="19" s="1"/>
  <c r="N43" i="19" s="1"/>
  <c r="E42" i="19"/>
  <c r="M42" i="19" s="1"/>
  <c r="N42" i="19" s="1"/>
  <c r="E41" i="19"/>
  <c r="M41" i="19" s="1"/>
  <c r="N41" i="19" s="1"/>
  <c r="E40" i="19"/>
  <c r="E38" i="19"/>
  <c r="M38" i="19" s="1"/>
  <c r="N38" i="19" s="1"/>
  <c r="E37" i="19"/>
  <c r="M37" i="19" s="1"/>
  <c r="N37" i="19" s="1"/>
  <c r="E36" i="19"/>
  <c r="M36" i="19" s="1"/>
  <c r="N36" i="19" s="1"/>
  <c r="E35" i="19"/>
  <c r="M35" i="19" s="1"/>
  <c r="N35" i="19" s="1"/>
  <c r="E34" i="19"/>
  <c r="M34" i="19" s="1"/>
  <c r="N34" i="19" s="1"/>
  <c r="E33" i="19"/>
  <c r="M33" i="19" s="1"/>
  <c r="N33" i="19" s="1"/>
  <c r="E32" i="19"/>
  <c r="M32" i="19" s="1"/>
  <c r="N32" i="19" s="1"/>
  <c r="E31" i="19"/>
  <c r="M31" i="19" s="1"/>
  <c r="N31" i="19" s="1"/>
  <c r="E30" i="19"/>
  <c r="M30" i="19" s="1"/>
  <c r="N30" i="19" s="1"/>
  <c r="E29" i="19"/>
  <c r="M29" i="19" s="1"/>
  <c r="N29" i="19" s="1"/>
  <c r="E28" i="19"/>
  <c r="M28" i="19" s="1"/>
  <c r="N28" i="19" s="1"/>
  <c r="E27" i="19"/>
  <c r="M27" i="19" s="1"/>
  <c r="N27" i="19" s="1"/>
  <c r="E26" i="19"/>
  <c r="M26" i="19" s="1"/>
  <c r="N26" i="19" s="1"/>
  <c r="E25" i="19"/>
  <c r="E24" i="19"/>
  <c r="M24" i="19" s="1"/>
  <c r="N24" i="19" s="1"/>
  <c r="E23" i="19"/>
  <c r="M23" i="19" s="1"/>
  <c r="N23" i="19" s="1"/>
  <c r="E22" i="19"/>
  <c r="M22" i="19" s="1"/>
  <c r="N22" i="19" s="1"/>
  <c r="E21" i="19"/>
  <c r="E20" i="19"/>
  <c r="M20" i="19" s="1"/>
  <c r="N20" i="19" s="1"/>
  <c r="E19" i="19"/>
  <c r="M19" i="19" s="1"/>
  <c r="N19" i="19" s="1"/>
  <c r="E18" i="19"/>
  <c r="M18" i="19" s="1"/>
  <c r="N18" i="19" s="1"/>
  <c r="E17" i="19"/>
  <c r="M17" i="19" s="1"/>
  <c r="N17" i="19" s="1"/>
  <c r="E16" i="19"/>
  <c r="M16" i="19" s="1"/>
  <c r="N16" i="19" s="1"/>
  <c r="E15" i="19"/>
  <c r="M15" i="19" s="1"/>
  <c r="N15" i="19" s="1"/>
  <c r="E14" i="19"/>
  <c r="M14" i="19" s="1"/>
  <c r="N14" i="19" s="1"/>
  <c r="E13" i="19"/>
  <c r="M13" i="19" s="1"/>
  <c r="N13" i="19" s="1"/>
  <c r="E12" i="19"/>
  <c r="M12" i="19" s="1"/>
  <c r="N12" i="19" s="1"/>
  <c r="E11" i="19"/>
  <c r="M11" i="19" s="1"/>
  <c r="N11" i="19" s="1"/>
  <c r="E10" i="19"/>
  <c r="M10" i="19" s="1"/>
  <c r="N10" i="19" s="1"/>
  <c r="E9" i="19"/>
  <c r="M9" i="19" s="1"/>
  <c r="N9" i="19" s="1"/>
  <c r="E8" i="19"/>
  <c r="M8" i="19" s="1"/>
  <c r="N8" i="19" s="1"/>
  <c r="E7" i="19"/>
  <c r="M7" i="19" s="1"/>
  <c r="N7" i="19" s="1"/>
  <c r="E395" i="18"/>
  <c r="M395" i="18" s="1"/>
  <c r="N395" i="18" s="1"/>
  <c r="E394" i="18"/>
  <c r="E393" i="18"/>
  <c r="M393" i="18" s="1"/>
  <c r="N393" i="18" s="1"/>
  <c r="E392" i="18"/>
  <c r="E391" i="18"/>
  <c r="I391" i="18" s="1"/>
  <c r="E390" i="18"/>
  <c r="E389" i="18"/>
  <c r="M389" i="18" s="1"/>
  <c r="N389" i="18" s="1"/>
  <c r="E388" i="18"/>
  <c r="E387" i="18"/>
  <c r="I387" i="18" s="1"/>
  <c r="E386" i="18"/>
  <c r="E385" i="18"/>
  <c r="M385" i="18" s="1"/>
  <c r="N385" i="18" s="1"/>
  <c r="E384" i="18"/>
  <c r="M384" i="18" s="1"/>
  <c r="N384" i="18" s="1"/>
  <c r="E383" i="18"/>
  <c r="M383" i="18" s="1"/>
  <c r="N383" i="18" s="1"/>
  <c r="E382" i="18"/>
  <c r="E380" i="18"/>
  <c r="I380" i="18" s="1"/>
  <c r="E379" i="18"/>
  <c r="I379" i="18" s="1"/>
  <c r="E378" i="18"/>
  <c r="I378" i="18" s="1"/>
  <c r="E377" i="18"/>
  <c r="E376" i="18"/>
  <c r="I376" i="18" s="1"/>
  <c r="E375" i="18"/>
  <c r="I375" i="18" s="1"/>
  <c r="E374" i="18"/>
  <c r="I374" i="18" s="1"/>
  <c r="E373" i="18"/>
  <c r="E372" i="18"/>
  <c r="I372" i="18" s="1"/>
  <c r="E371" i="18"/>
  <c r="E370" i="18"/>
  <c r="I370" i="18" s="1"/>
  <c r="E369" i="18"/>
  <c r="E368" i="18"/>
  <c r="E367" i="18"/>
  <c r="E366" i="18"/>
  <c r="I366" i="18" s="1"/>
  <c r="E365" i="18"/>
  <c r="E364" i="18"/>
  <c r="I364" i="18" s="1"/>
  <c r="E362" i="18"/>
  <c r="E361" i="18"/>
  <c r="M361" i="18" s="1"/>
  <c r="N361" i="18" s="1"/>
  <c r="E360" i="18"/>
  <c r="E359" i="18"/>
  <c r="I359" i="18" s="1"/>
  <c r="E358" i="18"/>
  <c r="I358" i="18" s="1"/>
  <c r="E357" i="18"/>
  <c r="M357" i="18" s="1"/>
  <c r="N357" i="18" s="1"/>
  <c r="E356" i="18"/>
  <c r="E355" i="18"/>
  <c r="M355" i="18" s="1"/>
  <c r="N355" i="18" s="1"/>
  <c r="E354" i="18"/>
  <c r="E353" i="18"/>
  <c r="M353" i="18" s="1"/>
  <c r="N353" i="18" s="1"/>
  <c r="E352" i="18"/>
  <c r="M352" i="18" s="1"/>
  <c r="N352" i="18" s="1"/>
  <c r="E351" i="18"/>
  <c r="M351" i="18" s="1"/>
  <c r="N351" i="18" s="1"/>
  <c r="E350" i="18"/>
  <c r="I350" i="18" s="1"/>
  <c r="E349" i="18"/>
  <c r="M349" i="18" s="1"/>
  <c r="N349" i="18" s="1"/>
  <c r="E348" i="18"/>
  <c r="E346" i="18"/>
  <c r="E345" i="18"/>
  <c r="M345" i="18" s="1"/>
  <c r="N345" i="18" s="1"/>
  <c r="E344" i="18"/>
  <c r="E343" i="18"/>
  <c r="M343" i="18" s="1"/>
  <c r="N343" i="18" s="1"/>
  <c r="E342" i="18"/>
  <c r="I342" i="18" s="1"/>
  <c r="E341" i="18"/>
  <c r="M341" i="18" s="1"/>
  <c r="N341" i="18" s="1"/>
  <c r="E340" i="18"/>
  <c r="E339" i="18"/>
  <c r="M339" i="18" s="1"/>
  <c r="N339" i="18" s="1"/>
  <c r="E338" i="18"/>
  <c r="E337" i="18"/>
  <c r="M337" i="18" s="1"/>
  <c r="N337" i="18" s="1"/>
  <c r="E336" i="18"/>
  <c r="M336" i="18" s="1"/>
  <c r="N336" i="18" s="1"/>
  <c r="E335" i="18"/>
  <c r="M335" i="18" s="1"/>
  <c r="N335" i="18" s="1"/>
  <c r="E334" i="18"/>
  <c r="I334" i="18" s="1"/>
  <c r="E333" i="18"/>
  <c r="M333" i="18" s="1"/>
  <c r="N333" i="18" s="1"/>
  <c r="E332" i="18"/>
  <c r="E331" i="18"/>
  <c r="M331" i="18" s="1"/>
  <c r="N331" i="18" s="1"/>
  <c r="E330" i="18"/>
  <c r="E329" i="18"/>
  <c r="M329" i="18" s="1"/>
  <c r="N329" i="18" s="1"/>
  <c r="E328" i="18"/>
  <c r="E326" i="18"/>
  <c r="I326" i="18" s="1"/>
  <c r="E325" i="18"/>
  <c r="M325" i="18" s="1"/>
  <c r="N325" i="18" s="1"/>
  <c r="E324" i="18"/>
  <c r="E323" i="18"/>
  <c r="M323" i="18" s="1"/>
  <c r="N323" i="18" s="1"/>
  <c r="E322" i="18"/>
  <c r="E321" i="18"/>
  <c r="M321" i="18" s="1"/>
  <c r="N321" i="18" s="1"/>
  <c r="E320" i="18"/>
  <c r="M320" i="18" s="1"/>
  <c r="N320" i="18" s="1"/>
  <c r="E318" i="18"/>
  <c r="I318" i="18" s="1"/>
  <c r="E317" i="18"/>
  <c r="M317" i="18" s="1"/>
  <c r="N317" i="18" s="1"/>
  <c r="E316" i="18"/>
  <c r="E315" i="18"/>
  <c r="M315" i="18" s="1"/>
  <c r="N315" i="18" s="1"/>
  <c r="E314" i="18"/>
  <c r="E313" i="18"/>
  <c r="M313" i="18" s="1"/>
  <c r="N313" i="18" s="1"/>
  <c r="E312" i="18"/>
  <c r="E311" i="18"/>
  <c r="M311" i="18" s="1"/>
  <c r="N311" i="18" s="1"/>
  <c r="E310" i="18"/>
  <c r="I310" i="18" s="1"/>
  <c r="E309" i="18"/>
  <c r="M309" i="18" s="1"/>
  <c r="N309" i="18" s="1"/>
  <c r="E308" i="18"/>
  <c r="E307" i="18"/>
  <c r="M307" i="18" s="1"/>
  <c r="N307" i="18" s="1"/>
  <c r="E306" i="18"/>
  <c r="E305" i="18"/>
  <c r="M305" i="18" s="1"/>
  <c r="N305" i="18" s="1"/>
  <c r="E304" i="18"/>
  <c r="M304" i="18" s="1"/>
  <c r="N304" i="18" s="1"/>
  <c r="E303" i="18"/>
  <c r="M303" i="18" s="1"/>
  <c r="N303" i="18" s="1"/>
  <c r="E302" i="18"/>
  <c r="I302" i="18" s="1"/>
  <c r="E301" i="18"/>
  <c r="M301" i="18" s="1"/>
  <c r="N301" i="18" s="1"/>
  <c r="E300" i="18"/>
  <c r="E299" i="18"/>
  <c r="M299" i="18" s="1"/>
  <c r="N299" i="18" s="1"/>
  <c r="E298" i="18"/>
  <c r="E297" i="18"/>
  <c r="M297" i="18" s="1"/>
  <c r="N297" i="18" s="1"/>
  <c r="E296" i="18"/>
  <c r="E295" i="18"/>
  <c r="M295" i="18" s="1"/>
  <c r="N295" i="18" s="1"/>
  <c r="E294" i="18"/>
  <c r="I294" i="18" s="1"/>
  <c r="E293" i="18"/>
  <c r="M293" i="18" s="1"/>
  <c r="N293" i="18" s="1"/>
  <c r="E292" i="18"/>
  <c r="E290" i="18"/>
  <c r="E289" i="18"/>
  <c r="M289" i="18" s="1"/>
  <c r="N289" i="18" s="1"/>
  <c r="E288" i="18"/>
  <c r="M288" i="18" s="1"/>
  <c r="N288" i="18" s="1"/>
  <c r="E287" i="18"/>
  <c r="M287" i="18" s="1"/>
  <c r="N287" i="18" s="1"/>
  <c r="E286" i="18"/>
  <c r="I286" i="18" s="1"/>
  <c r="E285" i="18"/>
  <c r="M285" i="18" s="1"/>
  <c r="N285" i="18" s="1"/>
  <c r="E284" i="18"/>
  <c r="E283" i="18"/>
  <c r="M283" i="18" s="1"/>
  <c r="N283" i="18" s="1"/>
  <c r="E282" i="18"/>
  <c r="E281" i="18"/>
  <c r="M281" i="18" s="1"/>
  <c r="N281" i="18" s="1"/>
  <c r="E280" i="18"/>
  <c r="E279" i="18"/>
  <c r="M279" i="18" s="1"/>
  <c r="N279" i="18" s="1"/>
  <c r="E278" i="18"/>
  <c r="I278" i="18" s="1"/>
  <c r="E277" i="18"/>
  <c r="M277" i="18" s="1"/>
  <c r="N277" i="18" s="1"/>
  <c r="E276" i="18"/>
  <c r="E275" i="18"/>
  <c r="M275" i="18" s="1"/>
  <c r="N275" i="18" s="1"/>
  <c r="E274" i="18"/>
  <c r="E273" i="18"/>
  <c r="M273" i="18" s="1"/>
  <c r="N273" i="18" s="1"/>
  <c r="E272" i="18"/>
  <c r="M272" i="18" s="1"/>
  <c r="N272" i="18" s="1"/>
  <c r="E270" i="18"/>
  <c r="I270" i="18" s="1"/>
  <c r="E269" i="18"/>
  <c r="M269" i="18" s="1"/>
  <c r="N269" i="18" s="1"/>
  <c r="E268" i="18"/>
  <c r="E267" i="18"/>
  <c r="M267" i="18" s="1"/>
  <c r="N267" i="18" s="1"/>
  <c r="E266" i="18"/>
  <c r="E265" i="18"/>
  <c r="M265" i="18" s="1"/>
  <c r="N265" i="18" s="1"/>
  <c r="E264" i="18"/>
  <c r="E263" i="18"/>
  <c r="M263" i="18" s="1"/>
  <c r="N263" i="18" s="1"/>
  <c r="E262" i="18"/>
  <c r="I262" i="18" s="1"/>
  <c r="E261" i="18"/>
  <c r="M261" i="18" s="1"/>
  <c r="N261" i="18" s="1"/>
  <c r="E260" i="18"/>
  <c r="E259" i="18"/>
  <c r="M259" i="18" s="1"/>
  <c r="N259" i="18" s="1"/>
  <c r="E258" i="18"/>
  <c r="E257" i="18"/>
  <c r="M257" i="18" s="1"/>
  <c r="N257" i="18" s="1"/>
  <c r="E256" i="18"/>
  <c r="M256" i="18" s="1"/>
  <c r="N256" i="18" s="1"/>
  <c r="E254" i="18"/>
  <c r="I254" i="18" s="1"/>
  <c r="E253" i="18"/>
  <c r="M253" i="18" s="1"/>
  <c r="N253" i="18" s="1"/>
  <c r="E252" i="18"/>
  <c r="E251" i="18"/>
  <c r="M251" i="18" s="1"/>
  <c r="N251" i="18" s="1"/>
  <c r="E250" i="18"/>
  <c r="E249" i="18"/>
  <c r="E248" i="18"/>
  <c r="E247" i="18"/>
  <c r="M247" i="18" s="1"/>
  <c r="N247" i="18" s="1"/>
  <c r="E246" i="18"/>
  <c r="E245" i="18"/>
  <c r="E244" i="18"/>
  <c r="E243" i="18"/>
  <c r="M243" i="18" s="1"/>
  <c r="N243" i="18" s="1"/>
  <c r="E242" i="18"/>
  <c r="I242" i="18" s="1"/>
  <c r="E241" i="18"/>
  <c r="E240" i="18"/>
  <c r="E239" i="18"/>
  <c r="M239" i="18" s="1"/>
  <c r="N239" i="18" s="1"/>
  <c r="E238" i="18"/>
  <c r="I238" i="18" s="1"/>
  <c r="E237" i="18"/>
  <c r="E235" i="18"/>
  <c r="M235" i="18" s="1"/>
  <c r="N235" i="18" s="1"/>
  <c r="E234" i="18"/>
  <c r="E233" i="18"/>
  <c r="E232" i="18"/>
  <c r="E231" i="18"/>
  <c r="M231" i="18" s="1"/>
  <c r="N231" i="18" s="1"/>
  <c r="E230" i="18"/>
  <c r="E229" i="18"/>
  <c r="E228" i="18"/>
  <c r="E227" i="18"/>
  <c r="E226" i="18"/>
  <c r="I226" i="18" s="1"/>
  <c r="E225" i="18"/>
  <c r="E224" i="18"/>
  <c r="E223" i="18"/>
  <c r="M223" i="18" s="1"/>
  <c r="N223" i="18" s="1"/>
  <c r="E222" i="18"/>
  <c r="I222" i="18" s="1"/>
  <c r="E221" i="18"/>
  <c r="E220" i="18"/>
  <c r="E219" i="18"/>
  <c r="M219" i="18" s="1"/>
  <c r="N219" i="18" s="1"/>
  <c r="E218" i="18"/>
  <c r="E217" i="18"/>
  <c r="E216" i="18"/>
  <c r="E215" i="18"/>
  <c r="M215" i="18" s="1"/>
  <c r="N215" i="18" s="1"/>
  <c r="E214" i="18"/>
  <c r="E213" i="18"/>
  <c r="C211" i="18"/>
  <c r="E211" i="18" s="1"/>
  <c r="C210" i="18"/>
  <c r="E210" i="18" s="1"/>
  <c r="M210" i="18" s="1"/>
  <c r="N210" i="18" s="1"/>
  <c r="C209" i="18"/>
  <c r="E209" i="18" s="1"/>
  <c r="C208" i="18"/>
  <c r="E208" i="18" s="1"/>
  <c r="M208" i="18" s="1"/>
  <c r="N208" i="18" s="1"/>
  <c r="C207" i="18"/>
  <c r="E207" i="18" s="1"/>
  <c r="C206" i="18"/>
  <c r="E206" i="18" s="1"/>
  <c r="M206" i="18" s="1"/>
  <c r="N206" i="18" s="1"/>
  <c r="C205" i="18"/>
  <c r="E205" i="18" s="1"/>
  <c r="C204" i="18"/>
  <c r="E204" i="18" s="1"/>
  <c r="M204" i="18" s="1"/>
  <c r="N204" i="18" s="1"/>
  <c r="C203" i="18"/>
  <c r="E203" i="18" s="1"/>
  <c r="C202" i="18"/>
  <c r="E202" i="18" s="1"/>
  <c r="M202" i="18" s="1"/>
  <c r="N202" i="18" s="1"/>
  <c r="C201" i="18"/>
  <c r="E201" i="18" s="1"/>
  <c r="E200" i="18"/>
  <c r="C197" i="18"/>
  <c r="E197" i="18" s="1"/>
  <c r="I197" i="18" s="1"/>
  <c r="C196" i="18"/>
  <c r="E196" i="18" s="1"/>
  <c r="C195" i="18"/>
  <c r="E195" i="18" s="1"/>
  <c r="I195" i="18" s="1"/>
  <c r="C194" i="18"/>
  <c r="E194" i="18" s="1"/>
  <c r="C193" i="18"/>
  <c r="E193" i="18" s="1"/>
  <c r="C192" i="18"/>
  <c r="E192" i="18" s="1"/>
  <c r="C191" i="18"/>
  <c r="E191" i="18" s="1"/>
  <c r="C190" i="18"/>
  <c r="E190" i="18" s="1"/>
  <c r="C189" i="18"/>
  <c r="E189" i="18" s="1"/>
  <c r="I189" i="18" s="1"/>
  <c r="C188" i="18"/>
  <c r="E188" i="18" s="1"/>
  <c r="E187" i="18"/>
  <c r="I187" i="18" s="1"/>
  <c r="C184" i="18"/>
  <c r="E184" i="18" s="1"/>
  <c r="C183" i="18"/>
  <c r="E183" i="18" s="1"/>
  <c r="M183" i="18" s="1"/>
  <c r="N183" i="18" s="1"/>
  <c r="C182" i="18"/>
  <c r="E182" i="18" s="1"/>
  <c r="C181" i="18"/>
  <c r="E181" i="18" s="1"/>
  <c r="M181" i="18" s="1"/>
  <c r="N181" i="18" s="1"/>
  <c r="C180" i="18"/>
  <c r="E180" i="18" s="1"/>
  <c r="C179" i="18"/>
  <c r="E179" i="18" s="1"/>
  <c r="M179" i="18" s="1"/>
  <c r="N179" i="18" s="1"/>
  <c r="C178" i="18"/>
  <c r="E178" i="18" s="1"/>
  <c r="C177" i="18"/>
  <c r="E177" i="18" s="1"/>
  <c r="M177" i="18" s="1"/>
  <c r="N177" i="18" s="1"/>
  <c r="C176" i="18"/>
  <c r="E176" i="18" s="1"/>
  <c r="C175" i="18"/>
  <c r="E175" i="18" s="1"/>
  <c r="M175" i="18" s="1"/>
  <c r="N175" i="18" s="1"/>
  <c r="C174" i="18"/>
  <c r="E174" i="18" s="1"/>
  <c r="E173" i="18"/>
  <c r="M173" i="18" s="1"/>
  <c r="N173" i="18" s="1"/>
  <c r="C170" i="18"/>
  <c r="E170" i="18" s="1"/>
  <c r="I170" i="18" s="1"/>
  <c r="C169" i="18"/>
  <c r="E169" i="18" s="1"/>
  <c r="C168" i="18"/>
  <c r="E168" i="18" s="1"/>
  <c r="C167" i="18"/>
  <c r="E167" i="18" s="1"/>
  <c r="I167" i="18" s="1"/>
  <c r="C166" i="18"/>
  <c r="E166" i="18" s="1"/>
  <c r="I166" i="18" s="1"/>
  <c r="C165" i="18"/>
  <c r="E165" i="18" s="1"/>
  <c r="I165" i="18" s="1"/>
  <c r="C164" i="18"/>
  <c r="E164" i="18" s="1"/>
  <c r="I164" i="18" s="1"/>
  <c r="C163" i="18"/>
  <c r="E163" i="18" s="1"/>
  <c r="I163" i="18" s="1"/>
  <c r="C162" i="18"/>
  <c r="E162" i="18" s="1"/>
  <c r="I162" i="18" s="1"/>
  <c r="C161" i="18"/>
  <c r="E161" i="18" s="1"/>
  <c r="I161" i="18" s="1"/>
  <c r="C160" i="18"/>
  <c r="E160" i="18" s="1"/>
  <c r="I160" i="18" s="1"/>
  <c r="E159" i="18"/>
  <c r="I159" i="18" s="1"/>
  <c r="C156" i="18"/>
  <c r="E156" i="18" s="1"/>
  <c r="C155" i="18"/>
  <c r="E155" i="18" s="1"/>
  <c r="C154" i="18"/>
  <c r="E154" i="18" s="1"/>
  <c r="C153" i="18"/>
  <c r="E153" i="18" s="1"/>
  <c r="M153" i="18" s="1"/>
  <c r="N153" i="18" s="1"/>
  <c r="C152" i="18"/>
  <c r="E152" i="18" s="1"/>
  <c r="M152" i="18" s="1"/>
  <c r="N152" i="18" s="1"/>
  <c r="C151" i="18"/>
  <c r="E151" i="18" s="1"/>
  <c r="C150" i="18"/>
  <c r="E150" i="18" s="1"/>
  <c r="C149" i="18"/>
  <c r="E149" i="18" s="1"/>
  <c r="C148" i="18"/>
  <c r="E148" i="18" s="1"/>
  <c r="C147" i="18"/>
  <c r="E147" i="18" s="1"/>
  <c r="C146" i="18"/>
  <c r="E146" i="18" s="1"/>
  <c r="E145" i="18"/>
  <c r="I145" i="18" s="1"/>
  <c r="C142" i="18"/>
  <c r="E142" i="18" s="1"/>
  <c r="C141" i="18"/>
  <c r="E141" i="18" s="1"/>
  <c r="M141" i="18" s="1"/>
  <c r="N141" i="18" s="1"/>
  <c r="C140" i="18"/>
  <c r="E140" i="18" s="1"/>
  <c r="C139" i="18"/>
  <c r="E139" i="18" s="1"/>
  <c r="M139" i="18" s="1"/>
  <c r="N139" i="18" s="1"/>
  <c r="C138" i="18"/>
  <c r="E138" i="18" s="1"/>
  <c r="C137" i="18"/>
  <c r="E137" i="18" s="1"/>
  <c r="C136" i="18"/>
  <c r="E136" i="18" s="1"/>
  <c r="C135" i="18"/>
  <c r="E135" i="18" s="1"/>
  <c r="M135" i="18" s="1"/>
  <c r="N135" i="18" s="1"/>
  <c r="C134" i="18"/>
  <c r="E134" i="18" s="1"/>
  <c r="C133" i="18"/>
  <c r="C132" i="18"/>
  <c r="E132" i="18" s="1"/>
  <c r="E131" i="18"/>
  <c r="M131" i="18" s="1"/>
  <c r="N131" i="18" s="1"/>
  <c r="C128" i="18"/>
  <c r="E128" i="18" s="1"/>
  <c r="I128" i="18" s="1"/>
  <c r="C127" i="18"/>
  <c r="E127" i="18" s="1"/>
  <c r="C126" i="18"/>
  <c r="E126" i="18" s="1"/>
  <c r="C125" i="18"/>
  <c r="E125" i="18" s="1"/>
  <c r="C124" i="18"/>
  <c r="E124" i="18" s="1"/>
  <c r="C123" i="18"/>
  <c r="E123" i="18" s="1"/>
  <c r="C122" i="18"/>
  <c r="E122" i="18" s="1"/>
  <c r="C121" i="18"/>
  <c r="E121" i="18" s="1"/>
  <c r="C120" i="18"/>
  <c r="E120" i="18" s="1"/>
  <c r="I120" i="18" s="1"/>
  <c r="C119" i="18"/>
  <c r="E119" i="18" s="1"/>
  <c r="C118" i="18"/>
  <c r="E118" i="18" s="1"/>
  <c r="E117" i="18"/>
  <c r="C114" i="18"/>
  <c r="E114" i="18" s="1"/>
  <c r="M114" i="18" s="1"/>
  <c r="N114" i="18" s="1"/>
  <c r="C113" i="18"/>
  <c r="E113" i="18" s="1"/>
  <c r="C112" i="18"/>
  <c r="E112" i="18" s="1"/>
  <c r="M112" i="18" s="1"/>
  <c r="N112" i="18" s="1"/>
  <c r="C111" i="18"/>
  <c r="E111" i="18" s="1"/>
  <c r="C110" i="18"/>
  <c r="E110" i="18" s="1"/>
  <c r="M110" i="18" s="1"/>
  <c r="N110" i="18" s="1"/>
  <c r="C109" i="18"/>
  <c r="E109" i="18" s="1"/>
  <c r="E108" i="18"/>
  <c r="M108" i="18" s="1"/>
  <c r="N108" i="18" s="1"/>
  <c r="C105" i="18"/>
  <c r="E105" i="18" s="1"/>
  <c r="C104" i="18"/>
  <c r="E104" i="18" s="1"/>
  <c r="C103" i="18"/>
  <c r="E103" i="18" s="1"/>
  <c r="C102" i="18"/>
  <c r="E102" i="18" s="1"/>
  <c r="C101" i="18"/>
  <c r="E101" i="18" s="1"/>
  <c r="E100" i="18"/>
  <c r="C97" i="18"/>
  <c r="E97" i="18" s="1"/>
  <c r="M97" i="18" s="1"/>
  <c r="N97" i="18" s="1"/>
  <c r="C96" i="18"/>
  <c r="E96" i="18" s="1"/>
  <c r="C95" i="18"/>
  <c r="E95" i="18" s="1"/>
  <c r="M95" i="18" s="1"/>
  <c r="N95" i="18" s="1"/>
  <c r="C94" i="18"/>
  <c r="E94" i="18" s="1"/>
  <c r="C93" i="18"/>
  <c r="E93" i="18" s="1"/>
  <c r="M93" i="18" s="1"/>
  <c r="N93" i="18" s="1"/>
  <c r="C92" i="18"/>
  <c r="E92" i="18" s="1"/>
  <c r="C91" i="18"/>
  <c r="E91" i="18" s="1"/>
  <c r="M91" i="18" s="1"/>
  <c r="N91" i="18" s="1"/>
  <c r="E90" i="18"/>
  <c r="M90" i="18" s="1"/>
  <c r="N90" i="18" s="1"/>
  <c r="C87" i="18"/>
  <c r="E87" i="18" s="1"/>
  <c r="C86" i="18"/>
  <c r="E86" i="18" s="1"/>
  <c r="I86" i="18" s="1"/>
  <c r="C85" i="18"/>
  <c r="E85" i="18" s="1"/>
  <c r="C84" i="18"/>
  <c r="E84" i="18" s="1"/>
  <c r="C83" i="18"/>
  <c r="E83" i="18" s="1"/>
  <c r="C82" i="18"/>
  <c r="E82" i="18" s="1"/>
  <c r="E81" i="18"/>
  <c r="C78" i="18"/>
  <c r="E78" i="18" s="1"/>
  <c r="M78" i="18" s="1"/>
  <c r="N78" i="18" s="1"/>
  <c r="C77" i="18"/>
  <c r="E77" i="18" s="1"/>
  <c r="C76" i="18"/>
  <c r="E76" i="18" s="1"/>
  <c r="M76" i="18" s="1"/>
  <c r="N76" i="18" s="1"/>
  <c r="C75" i="18"/>
  <c r="E75" i="18" s="1"/>
  <c r="C74" i="18"/>
  <c r="E74" i="18" s="1"/>
  <c r="M74" i="18" s="1"/>
  <c r="N74" i="18" s="1"/>
  <c r="C73" i="18"/>
  <c r="E73" i="18" s="1"/>
  <c r="C72" i="18"/>
  <c r="E72" i="18" s="1"/>
  <c r="M72" i="18" s="1"/>
  <c r="N72" i="18" s="1"/>
  <c r="E71" i="18"/>
  <c r="M71" i="18" s="1"/>
  <c r="N71" i="18" s="1"/>
  <c r="C68" i="18"/>
  <c r="E68" i="18" s="1"/>
  <c r="C67" i="18"/>
  <c r="E67" i="18" s="1"/>
  <c r="I67" i="18" s="1"/>
  <c r="C66" i="18"/>
  <c r="E66" i="18" s="1"/>
  <c r="I66" i="18" s="1"/>
  <c r="C65" i="18"/>
  <c r="E65" i="18" s="1"/>
  <c r="I65" i="18" s="1"/>
  <c r="C64" i="18"/>
  <c r="E64" i="18" s="1"/>
  <c r="I64" i="18" s="1"/>
  <c r="C63" i="18"/>
  <c r="E63" i="18" s="1"/>
  <c r="I63" i="18" s="1"/>
  <c r="C62" i="18"/>
  <c r="E62" i="18" s="1"/>
  <c r="I62" i="18" s="1"/>
  <c r="C61" i="18"/>
  <c r="E61" i="18" s="1"/>
  <c r="I61" i="18" s="1"/>
  <c r="E60" i="18"/>
  <c r="I60" i="18" s="1"/>
  <c r="C57" i="18"/>
  <c r="E57" i="18" s="1"/>
  <c r="M57" i="18" s="1"/>
  <c r="N57" i="18" s="1"/>
  <c r="C56" i="18"/>
  <c r="E56" i="18" s="1"/>
  <c r="C55" i="18"/>
  <c r="E55" i="18" s="1"/>
  <c r="M55" i="18" s="1"/>
  <c r="N55" i="18" s="1"/>
  <c r="C54" i="18"/>
  <c r="E54" i="18" s="1"/>
  <c r="M54" i="18" s="1"/>
  <c r="N54" i="18" s="1"/>
  <c r="C53" i="18"/>
  <c r="E53" i="18" s="1"/>
  <c r="M53" i="18" s="1"/>
  <c r="N53" i="18" s="1"/>
  <c r="C52" i="18"/>
  <c r="E52" i="18" s="1"/>
  <c r="M52" i="18" s="1"/>
  <c r="N52" i="18" s="1"/>
  <c r="C51" i="18"/>
  <c r="E51" i="18" s="1"/>
  <c r="M51" i="18" s="1"/>
  <c r="N51" i="18" s="1"/>
  <c r="C50" i="18"/>
  <c r="E50" i="18" s="1"/>
  <c r="M50" i="18" s="1"/>
  <c r="N50" i="18" s="1"/>
  <c r="C49" i="18"/>
  <c r="E49" i="18" s="1"/>
  <c r="M49" i="18" s="1"/>
  <c r="N49" i="18" s="1"/>
  <c r="E48" i="18"/>
  <c r="I48" i="18" s="1"/>
  <c r="C45" i="18"/>
  <c r="E45" i="18" s="1"/>
  <c r="C44" i="18"/>
  <c r="E44" i="18" s="1"/>
  <c r="C43" i="18"/>
  <c r="E43" i="18" s="1"/>
  <c r="I43" i="18" s="1"/>
  <c r="C42" i="18"/>
  <c r="E42" i="18" s="1"/>
  <c r="C41" i="18"/>
  <c r="E41" i="18" s="1"/>
  <c r="C40" i="18"/>
  <c r="E40" i="18" s="1"/>
  <c r="C39" i="18"/>
  <c r="E39" i="18" s="1"/>
  <c r="I39" i="18" s="1"/>
  <c r="C38" i="18"/>
  <c r="E38" i="18" s="1"/>
  <c r="E37" i="18"/>
  <c r="I37" i="18" s="1"/>
  <c r="C34" i="18"/>
  <c r="E34" i="18" s="1"/>
  <c r="M34" i="18" s="1"/>
  <c r="N34" i="18" s="1"/>
  <c r="C33" i="18"/>
  <c r="E33" i="18" s="1"/>
  <c r="M33" i="18" s="1"/>
  <c r="N33" i="18" s="1"/>
  <c r="C32" i="18"/>
  <c r="E32" i="18" s="1"/>
  <c r="M32" i="18" s="1"/>
  <c r="N32" i="18" s="1"/>
  <c r="C31" i="18"/>
  <c r="E31" i="18" s="1"/>
  <c r="C30" i="18"/>
  <c r="E30" i="18" s="1"/>
  <c r="M30" i="18" s="1"/>
  <c r="N30" i="18" s="1"/>
  <c r="C29" i="18"/>
  <c r="E29" i="18" s="1"/>
  <c r="M29" i="18" s="1"/>
  <c r="N29" i="18" s="1"/>
  <c r="C28" i="18"/>
  <c r="E28" i="18" s="1"/>
  <c r="M28" i="18" s="1"/>
  <c r="N28" i="18" s="1"/>
  <c r="C27" i="18"/>
  <c r="E27" i="18" s="1"/>
  <c r="M27" i="18" s="1"/>
  <c r="N27" i="18" s="1"/>
  <c r="C26" i="18"/>
  <c r="E26" i="18" s="1"/>
  <c r="M26" i="18" s="1"/>
  <c r="N26" i="18" s="1"/>
  <c r="E25" i="18"/>
  <c r="M25" i="18" s="1"/>
  <c r="N25" i="18" s="1"/>
  <c r="C22" i="18"/>
  <c r="E22" i="18" s="1"/>
  <c r="I22" i="18" s="1"/>
  <c r="C21" i="18"/>
  <c r="E21" i="18" s="1"/>
  <c r="I21" i="18" s="1"/>
  <c r="C20" i="18"/>
  <c r="E20" i="18" s="1"/>
  <c r="I20" i="18" s="1"/>
  <c r="C19" i="18"/>
  <c r="E19" i="18" s="1"/>
  <c r="C18" i="18"/>
  <c r="E18" i="18" s="1"/>
  <c r="M18" i="18" s="1"/>
  <c r="N18" i="18" s="1"/>
  <c r="E17" i="18"/>
  <c r="C14" i="18"/>
  <c r="E14" i="18" s="1"/>
  <c r="C13" i="18"/>
  <c r="E13" i="18" s="1"/>
  <c r="C12" i="18"/>
  <c r="E12" i="18" s="1"/>
  <c r="C11" i="18"/>
  <c r="E11" i="18" s="1"/>
  <c r="C10" i="18"/>
  <c r="E10" i="18" s="1"/>
  <c r="C9" i="18"/>
  <c r="E9" i="18" s="1"/>
  <c r="E8" i="18"/>
  <c r="M8" i="18" s="1"/>
  <c r="N8" i="18" s="1"/>
  <c r="E403" i="17"/>
  <c r="M403" i="17" s="1"/>
  <c r="N403" i="17" s="1"/>
  <c r="E402" i="17"/>
  <c r="M402" i="17" s="1"/>
  <c r="N402" i="17" s="1"/>
  <c r="E401" i="17"/>
  <c r="E400" i="17"/>
  <c r="I400" i="17" s="1"/>
  <c r="E399" i="17"/>
  <c r="M399" i="17" s="1"/>
  <c r="N399" i="17" s="1"/>
  <c r="E398" i="17"/>
  <c r="M398" i="17" s="1"/>
  <c r="N398" i="17" s="1"/>
  <c r="E397" i="17"/>
  <c r="E396" i="17"/>
  <c r="E395" i="17"/>
  <c r="M395" i="17" s="1"/>
  <c r="N395" i="17" s="1"/>
  <c r="E394" i="17"/>
  <c r="M394" i="17" s="1"/>
  <c r="N394" i="17" s="1"/>
  <c r="E393" i="17"/>
  <c r="E392" i="17"/>
  <c r="E391" i="17"/>
  <c r="M391" i="17" s="1"/>
  <c r="N391" i="17" s="1"/>
  <c r="E390" i="17"/>
  <c r="M390" i="17" s="1"/>
  <c r="N390" i="17" s="1"/>
  <c r="E389" i="17"/>
  <c r="E388" i="17"/>
  <c r="E387" i="17"/>
  <c r="M387" i="17" s="1"/>
  <c r="N387" i="17" s="1"/>
  <c r="E385" i="17"/>
  <c r="M385" i="17" s="1"/>
  <c r="N385" i="17" s="1"/>
  <c r="E384" i="17"/>
  <c r="E383" i="17"/>
  <c r="I383" i="17" s="1"/>
  <c r="E382" i="17"/>
  <c r="M382" i="17" s="1"/>
  <c r="N382" i="17" s="1"/>
  <c r="E381" i="17"/>
  <c r="M381" i="17" s="1"/>
  <c r="N381" i="17" s="1"/>
  <c r="E380" i="17"/>
  <c r="E379" i="17"/>
  <c r="E378" i="17"/>
  <c r="M378" i="17" s="1"/>
  <c r="N378" i="17" s="1"/>
  <c r="E377" i="17"/>
  <c r="M377" i="17" s="1"/>
  <c r="N377" i="17" s="1"/>
  <c r="E376" i="17"/>
  <c r="E375" i="17"/>
  <c r="E374" i="17"/>
  <c r="M374" i="17" s="1"/>
  <c r="N374" i="17" s="1"/>
  <c r="E373" i="17"/>
  <c r="M373" i="17" s="1"/>
  <c r="N373" i="17" s="1"/>
  <c r="E372" i="17"/>
  <c r="E371" i="17"/>
  <c r="E370" i="17"/>
  <c r="I370" i="17" s="1"/>
  <c r="E369" i="17"/>
  <c r="M369" i="17" s="1"/>
  <c r="N369" i="17" s="1"/>
  <c r="E367" i="17"/>
  <c r="E366" i="17"/>
  <c r="E365" i="17"/>
  <c r="M365" i="17" s="1"/>
  <c r="N365" i="17" s="1"/>
  <c r="E364" i="17"/>
  <c r="M364" i="17" s="1"/>
  <c r="N364" i="17" s="1"/>
  <c r="E363" i="17"/>
  <c r="E362" i="17"/>
  <c r="E361" i="17"/>
  <c r="M361" i="17" s="1"/>
  <c r="N361" i="17" s="1"/>
  <c r="E360" i="17"/>
  <c r="M360" i="17" s="1"/>
  <c r="N360" i="17" s="1"/>
  <c r="E359" i="17"/>
  <c r="E358" i="17"/>
  <c r="I358" i="17" s="1"/>
  <c r="E357" i="17"/>
  <c r="M357" i="17" s="1"/>
  <c r="N357" i="17" s="1"/>
  <c r="E356" i="17"/>
  <c r="M356" i="17" s="1"/>
  <c r="N356" i="17" s="1"/>
  <c r="E355" i="17"/>
  <c r="I355" i="17" s="1"/>
  <c r="E353" i="17"/>
  <c r="E352" i="17"/>
  <c r="M352" i="17" s="1"/>
  <c r="N352" i="17" s="1"/>
  <c r="E351" i="17"/>
  <c r="M351" i="17" s="1"/>
  <c r="N351" i="17" s="1"/>
  <c r="E350" i="17"/>
  <c r="E349" i="17"/>
  <c r="E348" i="17"/>
  <c r="M348" i="17" s="1"/>
  <c r="N348" i="17" s="1"/>
  <c r="E347" i="17"/>
  <c r="M347" i="17" s="1"/>
  <c r="N347" i="17" s="1"/>
  <c r="E346" i="17"/>
  <c r="E345" i="17"/>
  <c r="E343" i="17"/>
  <c r="M343" i="17" s="1"/>
  <c r="N343" i="17" s="1"/>
  <c r="E342" i="17"/>
  <c r="M342" i="17" s="1"/>
  <c r="N342" i="17" s="1"/>
  <c r="E341" i="17"/>
  <c r="E340" i="17"/>
  <c r="E339" i="17"/>
  <c r="M339" i="17" s="1"/>
  <c r="N339" i="17" s="1"/>
  <c r="E338" i="17"/>
  <c r="M338" i="17" s="1"/>
  <c r="N338" i="17" s="1"/>
  <c r="E337" i="17"/>
  <c r="E336" i="17"/>
  <c r="E335" i="17"/>
  <c r="M335" i="17" s="1"/>
  <c r="N335" i="17" s="1"/>
  <c r="E333" i="17"/>
  <c r="M333" i="17" s="1"/>
  <c r="N333" i="17" s="1"/>
  <c r="E332" i="17"/>
  <c r="E331" i="17"/>
  <c r="E330" i="17"/>
  <c r="M330" i="17" s="1"/>
  <c r="N330" i="17" s="1"/>
  <c r="E329" i="17"/>
  <c r="M329" i="17" s="1"/>
  <c r="N329" i="17" s="1"/>
  <c r="E328" i="17"/>
  <c r="E327" i="17"/>
  <c r="E326" i="17"/>
  <c r="I326" i="17" s="1"/>
  <c r="E325" i="17"/>
  <c r="M325" i="17" s="1"/>
  <c r="N325" i="17" s="1"/>
  <c r="E323" i="17"/>
  <c r="E322" i="17"/>
  <c r="E321" i="17"/>
  <c r="I321" i="17" s="1"/>
  <c r="E320" i="17"/>
  <c r="M320" i="17" s="1"/>
  <c r="N320" i="17" s="1"/>
  <c r="E319" i="17"/>
  <c r="E318" i="17"/>
  <c r="E317" i="17"/>
  <c r="M317" i="17" s="1"/>
  <c r="N317" i="17" s="1"/>
  <c r="E316" i="17"/>
  <c r="M316" i="17" s="1"/>
  <c r="N316" i="17" s="1"/>
  <c r="E315" i="17"/>
  <c r="E313" i="17"/>
  <c r="E312" i="17"/>
  <c r="M312" i="17" s="1"/>
  <c r="N312" i="17" s="1"/>
  <c r="E311" i="17"/>
  <c r="M311" i="17" s="1"/>
  <c r="N311" i="17" s="1"/>
  <c r="E310" i="17"/>
  <c r="E309" i="17"/>
  <c r="E308" i="17"/>
  <c r="M308" i="17" s="1"/>
  <c r="N308" i="17" s="1"/>
  <c r="E307" i="17"/>
  <c r="I307" i="17" s="1"/>
  <c r="E306" i="17"/>
  <c r="E305" i="17"/>
  <c r="E303" i="17"/>
  <c r="M303" i="17" s="1"/>
  <c r="N303" i="17" s="1"/>
  <c r="E302" i="17"/>
  <c r="I302" i="17" s="1"/>
  <c r="E301" i="17"/>
  <c r="E300" i="17"/>
  <c r="E299" i="17"/>
  <c r="M299" i="17" s="1"/>
  <c r="N299" i="17" s="1"/>
  <c r="E298" i="17"/>
  <c r="I298" i="17" s="1"/>
  <c r="E297" i="17"/>
  <c r="E296" i="17"/>
  <c r="E295" i="17"/>
  <c r="M295" i="17" s="1"/>
  <c r="N295" i="17" s="1"/>
  <c r="E293" i="17"/>
  <c r="M293" i="17" s="1"/>
  <c r="N293" i="17" s="1"/>
  <c r="E292" i="17"/>
  <c r="E291" i="17"/>
  <c r="E290" i="17"/>
  <c r="M290" i="17" s="1"/>
  <c r="N290" i="17" s="1"/>
  <c r="E289" i="17"/>
  <c r="I289" i="17" s="1"/>
  <c r="E288" i="17"/>
  <c r="E287" i="17"/>
  <c r="E286" i="17"/>
  <c r="M286" i="17" s="1"/>
  <c r="N286" i="17" s="1"/>
  <c r="E285" i="17"/>
  <c r="I285" i="17" s="1"/>
  <c r="E283" i="17"/>
  <c r="E282" i="17"/>
  <c r="E281" i="17"/>
  <c r="M281" i="17" s="1"/>
  <c r="N281" i="17" s="1"/>
  <c r="E280" i="17"/>
  <c r="I280" i="17" s="1"/>
  <c r="E279" i="17"/>
  <c r="E278" i="17"/>
  <c r="E277" i="17"/>
  <c r="M277" i="17" s="1"/>
  <c r="N277" i="17" s="1"/>
  <c r="E276" i="17"/>
  <c r="M276" i="17" s="1"/>
  <c r="N276" i="17" s="1"/>
  <c r="E275" i="17"/>
  <c r="E273" i="17"/>
  <c r="E272" i="17"/>
  <c r="M272" i="17" s="1"/>
  <c r="N272" i="17" s="1"/>
  <c r="E271" i="17"/>
  <c r="I271" i="17" s="1"/>
  <c r="E270" i="17"/>
  <c r="E269" i="17"/>
  <c r="E268" i="17"/>
  <c r="M268" i="17" s="1"/>
  <c r="N268" i="17" s="1"/>
  <c r="E267" i="17"/>
  <c r="I267" i="17" s="1"/>
  <c r="E266" i="17"/>
  <c r="E265" i="17"/>
  <c r="E264" i="17"/>
  <c r="M264" i="17" s="1"/>
  <c r="N264" i="17" s="1"/>
  <c r="E263" i="17"/>
  <c r="I263" i="17" s="1"/>
  <c r="E262" i="17"/>
  <c r="E261" i="17"/>
  <c r="E260" i="17"/>
  <c r="M260" i="17" s="1"/>
  <c r="N260" i="17" s="1"/>
  <c r="E259" i="17"/>
  <c r="M259" i="17" s="1"/>
  <c r="N259" i="17" s="1"/>
  <c r="E258" i="17"/>
  <c r="E257" i="17"/>
  <c r="E256" i="17"/>
  <c r="M256" i="17" s="1"/>
  <c r="N256" i="17" s="1"/>
  <c r="E254" i="17"/>
  <c r="I254" i="17" s="1"/>
  <c r="E253" i="17"/>
  <c r="E252" i="17"/>
  <c r="E251" i="17"/>
  <c r="M251" i="17" s="1"/>
  <c r="N251" i="17" s="1"/>
  <c r="E250" i="17"/>
  <c r="I250" i="17" s="1"/>
  <c r="E249" i="17"/>
  <c r="E248" i="17"/>
  <c r="E247" i="17"/>
  <c r="M247" i="17" s="1"/>
  <c r="N247" i="17" s="1"/>
  <c r="E246" i="17"/>
  <c r="I246" i="17" s="1"/>
  <c r="E245" i="17"/>
  <c r="E244" i="17"/>
  <c r="E243" i="17"/>
  <c r="M243" i="17" s="1"/>
  <c r="N243" i="17" s="1"/>
  <c r="E242" i="17"/>
  <c r="M242" i="17" s="1"/>
  <c r="N242" i="17" s="1"/>
  <c r="E241" i="17"/>
  <c r="E240" i="17"/>
  <c r="E239" i="17"/>
  <c r="M239" i="17" s="1"/>
  <c r="N239" i="17" s="1"/>
  <c r="E228" i="17"/>
  <c r="I228" i="17" s="1"/>
  <c r="E204" i="17"/>
  <c r="M204" i="17" s="1"/>
  <c r="N204" i="17" s="1"/>
  <c r="O204" i="17" s="1"/>
  <c r="E171" i="17"/>
  <c r="M171" i="17" s="1"/>
  <c r="N171" i="17" s="1"/>
  <c r="E166" i="17"/>
  <c r="I166" i="17" s="1"/>
  <c r="E152" i="17"/>
  <c r="M152" i="17" s="1"/>
  <c r="N152" i="17" s="1"/>
  <c r="E238" i="17"/>
  <c r="E237" i="17"/>
  <c r="M237" i="17" s="1"/>
  <c r="N237" i="17" s="1"/>
  <c r="E235" i="17"/>
  <c r="M235" i="17" s="1"/>
  <c r="N235" i="17" s="1"/>
  <c r="E234" i="17"/>
  <c r="E233" i="17"/>
  <c r="M233" i="17" s="1"/>
  <c r="N233" i="17" s="1"/>
  <c r="E232" i="17"/>
  <c r="I232" i="17" s="1"/>
  <c r="E231" i="17"/>
  <c r="M231" i="17" s="1"/>
  <c r="N231" i="17" s="1"/>
  <c r="E230" i="17"/>
  <c r="E229" i="17"/>
  <c r="M229" i="17" s="1"/>
  <c r="N229" i="17" s="1"/>
  <c r="E227" i="17"/>
  <c r="I227" i="17" s="1"/>
  <c r="E226" i="17"/>
  <c r="M226" i="17" s="1"/>
  <c r="N226" i="17" s="1"/>
  <c r="E225" i="17"/>
  <c r="E224" i="17"/>
  <c r="M224" i="17" s="1"/>
  <c r="N224" i="17" s="1"/>
  <c r="E223" i="17"/>
  <c r="I223" i="17" s="1"/>
  <c r="E222" i="17"/>
  <c r="M222" i="17" s="1"/>
  <c r="N222" i="17" s="1"/>
  <c r="E221" i="17"/>
  <c r="E220" i="17"/>
  <c r="M220" i="17" s="1"/>
  <c r="N220" i="17" s="1"/>
  <c r="E219" i="17"/>
  <c r="I219" i="17" s="1"/>
  <c r="E218" i="17"/>
  <c r="M218" i="17" s="1"/>
  <c r="N218" i="17" s="1"/>
  <c r="E216" i="17"/>
  <c r="M216" i="17" s="1"/>
  <c r="N216" i="17" s="1"/>
  <c r="E215" i="17"/>
  <c r="I215" i="17" s="1"/>
  <c r="E214" i="17"/>
  <c r="M214" i="17" s="1"/>
  <c r="N214" i="17" s="1"/>
  <c r="E213" i="17"/>
  <c r="E212" i="17"/>
  <c r="M212" i="17" s="1"/>
  <c r="N212" i="17" s="1"/>
  <c r="E211" i="17"/>
  <c r="I211" i="17" s="1"/>
  <c r="E210" i="17"/>
  <c r="M210" i="17" s="1"/>
  <c r="N210" i="17" s="1"/>
  <c r="E209" i="17"/>
  <c r="E208" i="17"/>
  <c r="M208" i="17" s="1"/>
  <c r="N208" i="17" s="1"/>
  <c r="E207" i="17"/>
  <c r="I207" i="17" s="1"/>
  <c r="E206" i="17"/>
  <c r="M206" i="17" s="1"/>
  <c r="N206" i="17" s="1"/>
  <c r="E205" i="17"/>
  <c r="E203" i="17"/>
  <c r="M203" i="17" s="1"/>
  <c r="N203" i="17" s="1"/>
  <c r="E202" i="17"/>
  <c r="I202" i="17" s="1"/>
  <c r="E201" i="17"/>
  <c r="M201" i="17" s="1"/>
  <c r="N201" i="17" s="1"/>
  <c r="E200" i="17"/>
  <c r="E199" i="17"/>
  <c r="M199" i="17" s="1"/>
  <c r="N199" i="17" s="1"/>
  <c r="E197" i="17"/>
  <c r="M197" i="17" s="1"/>
  <c r="N197" i="17" s="1"/>
  <c r="E196" i="17"/>
  <c r="E195" i="17"/>
  <c r="M195" i="17" s="1"/>
  <c r="N195" i="17" s="1"/>
  <c r="E194" i="17"/>
  <c r="I194" i="17" s="1"/>
  <c r="E193" i="17"/>
  <c r="M193" i="17" s="1"/>
  <c r="N193" i="17" s="1"/>
  <c r="E192" i="17"/>
  <c r="E191" i="17"/>
  <c r="I191" i="17" s="1"/>
  <c r="E190" i="17"/>
  <c r="I190" i="17" s="1"/>
  <c r="E189" i="17"/>
  <c r="M189" i="17" s="1"/>
  <c r="N189" i="17" s="1"/>
  <c r="E188" i="17"/>
  <c r="E187" i="17"/>
  <c r="M187" i="17" s="1"/>
  <c r="N187" i="17" s="1"/>
  <c r="E186" i="17"/>
  <c r="I186" i="17" s="1"/>
  <c r="E185" i="17"/>
  <c r="M185" i="17" s="1"/>
  <c r="N185" i="17" s="1"/>
  <c r="E184" i="17"/>
  <c r="E183" i="17"/>
  <c r="M183" i="17" s="1"/>
  <c r="N183" i="17" s="1"/>
  <c r="E182" i="17"/>
  <c r="I182" i="17" s="1"/>
  <c r="E181" i="17"/>
  <c r="M181" i="17" s="1"/>
  <c r="N181" i="17" s="1"/>
  <c r="E180" i="17"/>
  <c r="E178" i="17"/>
  <c r="I178" i="17" s="1"/>
  <c r="E177" i="17"/>
  <c r="M177" i="17" s="1"/>
  <c r="N177" i="17" s="1"/>
  <c r="E176" i="17"/>
  <c r="E175" i="17"/>
  <c r="I175" i="17" s="1"/>
  <c r="E174" i="17"/>
  <c r="I174" i="17" s="1"/>
  <c r="E173" i="17"/>
  <c r="M173" i="17" s="1"/>
  <c r="N173" i="17" s="1"/>
  <c r="E172" i="17"/>
  <c r="E170" i="17"/>
  <c r="I170" i="17" s="1"/>
  <c r="E169" i="17"/>
  <c r="I169" i="17" s="1"/>
  <c r="E168" i="17"/>
  <c r="M168" i="17" s="1"/>
  <c r="N168" i="17" s="1"/>
  <c r="E167" i="17"/>
  <c r="M167" i="17" s="1"/>
  <c r="E165" i="17"/>
  <c r="E164" i="17"/>
  <c r="I164" i="17" s="1"/>
  <c r="E163" i="17"/>
  <c r="M163" i="17" s="1"/>
  <c r="E162" i="17"/>
  <c r="M162" i="17" s="1"/>
  <c r="E161" i="17"/>
  <c r="M161" i="17" s="1"/>
  <c r="N161" i="17" s="1"/>
  <c r="E159" i="17"/>
  <c r="M159" i="17" s="1"/>
  <c r="E158" i="17"/>
  <c r="M158" i="17" s="1"/>
  <c r="E157" i="17"/>
  <c r="I157" i="17" s="1"/>
  <c r="E156" i="17"/>
  <c r="I156" i="17" s="1"/>
  <c r="E155" i="17"/>
  <c r="M155" i="17" s="1"/>
  <c r="E154" i="17"/>
  <c r="M154" i="17" s="1"/>
  <c r="E153" i="17"/>
  <c r="E151" i="17"/>
  <c r="I151" i="17" s="1"/>
  <c r="E150" i="17"/>
  <c r="E149" i="17"/>
  <c r="I149" i="17" s="1"/>
  <c r="E148" i="17"/>
  <c r="E147" i="17"/>
  <c r="M147" i="17" s="1"/>
  <c r="E146" i="17"/>
  <c r="I146" i="17" s="1"/>
  <c r="E145" i="17"/>
  <c r="I145" i="17" s="1"/>
  <c r="E144" i="17"/>
  <c r="I144" i="17" s="1"/>
  <c r="E143" i="17"/>
  <c r="M143" i="17" s="1"/>
  <c r="E142" i="17"/>
  <c r="M142" i="17" s="1"/>
  <c r="I140" i="17"/>
  <c r="M139" i="17"/>
  <c r="M138" i="17"/>
  <c r="I136" i="17"/>
  <c r="M135" i="17"/>
  <c r="M134" i="17"/>
  <c r="M133" i="17"/>
  <c r="I132" i="17"/>
  <c r="M131" i="17"/>
  <c r="I130" i="17"/>
  <c r="M129" i="17"/>
  <c r="I128" i="17"/>
  <c r="M127" i="17"/>
  <c r="I126" i="17"/>
  <c r="I125" i="17"/>
  <c r="I124" i="17"/>
  <c r="M123" i="17"/>
  <c r="N123" i="17" s="1"/>
  <c r="I21" i="19" l="1"/>
  <c r="M21" i="19"/>
  <c r="N21" i="19" s="1"/>
  <c r="I25" i="19"/>
  <c r="M25" i="19"/>
  <c r="N25" i="19" s="1"/>
  <c r="I76" i="19"/>
  <c r="M76" i="19"/>
  <c r="N76" i="19" s="1"/>
  <c r="I92" i="19"/>
  <c r="M92" i="19"/>
  <c r="N92" i="19" s="1"/>
  <c r="I109" i="19"/>
  <c r="M109" i="19"/>
  <c r="N109" i="19" s="1"/>
  <c r="I113" i="19"/>
  <c r="M113" i="19"/>
  <c r="N113" i="19" s="1"/>
  <c r="I117" i="19"/>
  <c r="M117" i="19"/>
  <c r="N117" i="19" s="1"/>
  <c r="I121" i="19"/>
  <c r="M121" i="19"/>
  <c r="N121" i="19" s="1"/>
  <c r="I125" i="19"/>
  <c r="M125" i="19"/>
  <c r="N125" i="19" s="1"/>
  <c r="I129" i="19"/>
  <c r="M129" i="19"/>
  <c r="N129" i="19" s="1"/>
  <c r="I133" i="19"/>
  <c r="M133" i="19"/>
  <c r="N133" i="19" s="1"/>
  <c r="I40" i="19"/>
  <c r="M40" i="19"/>
  <c r="N40" i="19" s="1"/>
  <c r="I85" i="19"/>
  <c r="M85" i="19"/>
  <c r="N85" i="19" s="1"/>
  <c r="I101" i="19"/>
  <c r="M101" i="19"/>
  <c r="N101" i="19" s="1"/>
  <c r="I110" i="19"/>
  <c r="M110" i="19"/>
  <c r="N110" i="19" s="1"/>
  <c r="I126" i="19"/>
  <c r="M126" i="19"/>
  <c r="N126" i="19" s="1"/>
  <c r="E133" i="18"/>
  <c r="M133" i="18" s="1"/>
  <c r="N133" i="18" s="1"/>
  <c r="I107" i="19"/>
  <c r="M107" i="19"/>
  <c r="N107" i="19" s="1"/>
  <c r="I111" i="19"/>
  <c r="M111" i="19"/>
  <c r="N111" i="19" s="1"/>
  <c r="I115" i="19"/>
  <c r="M115" i="19"/>
  <c r="N115" i="19" s="1"/>
  <c r="I131" i="19"/>
  <c r="M131" i="19"/>
  <c r="N131" i="19" s="1"/>
  <c r="I54" i="19"/>
  <c r="O54" i="19" s="1"/>
  <c r="I61" i="20"/>
  <c r="O61" i="20" s="1"/>
  <c r="I69" i="20"/>
  <c r="M84" i="20"/>
  <c r="N84" i="20" s="1"/>
  <c r="O84" i="20" s="1"/>
  <c r="I13" i="19"/>
  <c r="O13" i="19" s="1"/>
  <c r="M371" i="18"/>
  <c r="N371" i="18" s="1"/>
  <c r="I371" i="18"/>
  <c r="M63" i="20"/>
  <c r="N63" i="20" s="1"/>
  <c r="O63" i="20" s="1"/>
  <c r="M76" i="20"/>
  <c r="N76" i="20" s="1"/>
  <c r="O76" i="20" s="1"/>
  <c r="M369" i="18"/>
  <c r="N369" i="18" s="1"/>
  <c r="I369" i="18"/>
  <c r="M67" i="20"/>
  <c r="N67" i="20" s="1"/>
  <c r="O67" i="20" s="1"/>
  <c r="M227" i="18"/>
  <c r="N227" i="18" s="1"/>
  <c r="I227" i="18"/>
  <c r="M365" i="18"/>
  <c r="N365" i="18" s="1"/>
  <c r="I365" i="18"/>
  <c r="M373" i="18"/>
  <c r="N373" i="18" s="1"/>
  <c r="I373" i="18"/>
  <c r="I77" i="19"/>
  <c r="O77" i="19" s="1"/>
  <c r="M368" i="18"/>
  <c r="N368" i="18" s="1"/>
  <c r="I368" i="18"/>
  <c r="M377" i="18"/>
  <c r="N377" i="18" s="1"/>
  <c r="I377" i="18"/>
  <c r="M89" i="20"/>
  <c r="N89" i="20" s="1"/>
  <c r="O89" i="20" s="1"/>
  <c r="I52" i="19"/>
  <c r="O52" i="19" s="1"/>
  <c r="I9" i="20"/>
  <c r="O9" i="20" s="1"/>
  <c r="I65" i="20"/>
  <c r="O65" i="20" s="1"/>
  <c r="M93" i="20"/>
  <c r="N93" i="20" s="1"/>
  <c r="O93" i="20" s="1"/>
  <c r="M367" i="18"/>
  <c r="N367" i="18" s="1"/>
  <c r="I367" i="18"/>
  <c r="I331" i="18"/>
  <c r="O331" i="18" s="1"/>
  <c r="I9" i="19"/>
  <c r="O9" i="19" s="1"/>
  <c r="I60" i="19"/>
  <c r="O60" i="19" s="1"/>
  <c r="I13" i="20"/>
  <c r="O13" i="20" s="1"/>
  <c r="I71" i="20"/>
  <c r="O71" i="20" s="1"/>
  <c r="M85" i="20"/>
  <c r="N85" i="20" s="1"/>
  <c r="O85" i="20" s="1"/>
  <c r="I277" i="18"/>
  <c r="O277" i="18" s="1"/>
  <c r="I251" i="18"/>
  <c r="O251" i="18" s="1"/>
  <c r="I219" i="18"/>
  <c r="O219" i="18" s="1"/>
  <c r="I59" i="20"/>
  <c r="O59" i="20" s="1"/>
  <c r="M80" i="20"/>
  <c r="N80" i="20" s="1"/>
  <c r="O80" i="20" s="1"/>
  <c r="I395" i="18"/>
  <c r="M387" i="18"/>
  <c r="N387" i="18" s="1"/>
  <c r="O387" i="18" s="1"/>
  <c r="I11" i="20"/>
  <c r="O11" i="20" s="1"/>
  <c r="I8" i="20"/>
  <c r="O8" i="20" s="1"/>
  <c r="I75" i="20"/>
  <c r="O75" i="20" s="1"/>
  <c r="I79" i="20"/>
  <c r="O79" i="20" s="1"/>
  <c r="I83" i="20"/>
  <c r="O83" i="20" s="1"/>
  <c r="I88" i="20"/>
  <c r="O88" i="20" s="1"/>
  <c r="I92" i="20"/>
  <c r="O92" i="20" s="1"/>
  <c r="M12" i="20"/>
  <c r="N12" i="20" s="1"/>
  <c r="O12" i="20" s="1"/>
  <c r="M60" i="20"/>
  <c r="N60" i="20" s="1"/>
  <c r="O60" i="20" s="1"/>
  <c r="M64" i="20"/>
  <c r="N64" i="20" s="1"/>
  <c r="O64" i="20" s="1"/>
  <c r="M68" i="20"/>
  <c r="N68" i="20" s="1"/>
  <c r="O68" i="20" s="1"/>
  <c r="M72" i="20"/>
  <c r="N72" i="20" s="1"/>
  <c r="O72" i="20" s="1"/>
  <c r="I77" i="20"/>
  <c r="O77" i="20" s="1"/>
  <c r="I81" i="20"/>
  <c r="O81" i="20" s="1"/>
  <c r="I86" i="20"/>
  <c r="O86" i="20" s="1"/>
  <c r="I90" i="20"/>
  <c r="O90" i="20" s="1"/>
  <c r="I94" i="20"/>
  <c r="O94" i="20" s="1"/>
  <c r="O69" i="20"/>
  <c r="I10" i="20"/>
  <c r="O10" i="20" s="1"/>
  <c r="I58" i="20"/>
  <c r="O58" i="20" s="1"/>
  <c r="I62" i="20"/>
  <c r="O62" i="20" s="1"/>
  <c r="I66" i="20"/>
  <c r="O66" i="20" s="1"/>
  <c r="I70" i="20"/>
  <c r="O70" i="20" s="1"/>
  <c r="I74" i="20"/>
  <c r="O74" i="20" s="1"/>
  <c r="I78" i="20"/>
  <c r="O78" i="20" s="1"/>
  <c r="I82" i="20"/>
  <c r="O82" i="20" s="1"/>
  <c r="I87" i="20"/>
  <c r="O87" i="20" s="1"/>
  <c r="I91" i="20"/>
  <c r="O91" i="20" s="1"/>
  <c r="I135" i="19"/>
  <c r="O135" i="19" s="1"/>
  <c r="I38" i="19"/>
  <c r="O38" i="19" s="1"/>
  <c r="I104" i="19"/>
  <c r="O104" i="19" s="1"/>
  <c r="I24" i="19"/>
  <c r="O24" i="19" s="1"/>
  <c r="I30" i="19"/>
  <c r="O30" i="19" s="1"/>
  <c r="I33" i="19"/>
  <c r="O33" i="19" s="1"/>
  <c r="I56" i="19"/>
  <c r="O56" i="19" s="1"/>
  <c r="I57" i="19"/>
  <c r="O57" i="19" s="1"/>
  <c r="I61" i="19"/>
  <c r="O61" i="19" s="1"/>
  <c r="I70" i="19"/>
  <c r="O70" i="19" s="1"/>
  <c r="I97" i="19"/>
  <c r="O97" i="19" s="1"/>
  <c r="I100" i="19"/>
  <c r="O100" i="19" s="1"/>
  <c r="I130" i="19"/>
  <c r="O130" i="19" s="1"/>
  <c r="I73" i="19"/>
  <c r="O73" i="19" s="1"/>
  <c r="I68" i="19"/>
  <c r="O68" i="19" s="1"/>
  <c r="I389" i="18"/>
  <c r="O389" i="18" s="1"/>
  <c r="I261" i="18"/>
  <c r="O261" i="18" s="1"/>
  <c r="I139" i="18"/>
  <c r="O139" i="18" s="1"/>
  <c r="I385" i="18"/>
  <c r="O385" i="18" s="1"/>
  <c r="M37" i="18"/>
  <c r="N37" i="18" s="1"/>
  <c r="O37" i="18" s="1"/>
  <c r="I309" i="18"/>
  <c r="O309" i="18" s="1"/>
  <c r="M350" i="18"/>
  <c r="N350" i="18" s="1"/>
  <c r="O350" i="18" s="1"/>
  <c r="I361" i="18"/>
  <c r="O361" i="18" s="1"/>
  <c r="I293" i="18"/>
  <c r="O293" i="18" s="1"/>
  <c r="I235" i="18"/>
  <c r="O235" i="18" s="1"/>
  <c r="M286" i="18"/>
  <c r="N286" i="18" s="1"/>
  <c r="O286" i="18" s="1"/>
  <c r="M228" i="17"/>
  <c r="N228" i="17" s="1"/>
  <c r="O228" i="17" s="1"/>
  <c r="I60" i="17"/>
  <c r="O60" i="17" s="1"/>
  <c r="I171" i="17"/>
  <c r="O171" i="17" s="1"/>
  <c r="I94" i="17"/>
  <c r="O94" i="17" s="1"/>
  <c r="I100" i="17"/>
  <c r="O100" i="17" s="1"/>
  <c r="I80" i="17"/>
  <c r="O80" i="17" s="1"/>
  <c r="M111" i="17"/>
  <c r="N111" i="17" s="1"/>
  <c r="O111" i="17" s="1"/>
  <c r="I64" i="17"/>
  <c r="O64" i="17" s="1"/>
  <c r="M73" i="17"/>
  <c r="N73" i="17" s="1"/>
  <c r="O73" i="17" s="1"/>
  <c r="I76" i="17"/>
  <c r="O76" i="17" s="1"/>
  <c r="M86" i="17"/>
  <c r="N86" i="17" s="1"/>
  <c r="O86" i="17" s="1"/>
  <c r="M95" i="17"/>
  <c r="N95" i="17" s="1"/>
  <c r="O95" i="17" s="1"/>
  <c r="I104" i="17"/>
  <c r="O104" i="17" s="1"/>
  <c r="M151" i="17"/>
  <c r="N151" i="17" s="1"/>
  <c r="O151" i="17" s="1"/>
  <c r="M24" i="17"/>
  <c r="N24" i="17" s="1"/>
  <c r="O24" i="17" s="1"/>
  <c r="I34" i="17"/>
  <c r="O34" i="17" s="1"/>
  <c r="M65" i="17"/>
  <c r="N65" i="17" s="1"/>
  <c r="O65" i="17" s="1"/>
  <c r="M81" i="17"/>
  <c r="N81" i="17" s="1"/>
  <c r="O81" i="17" s="1"/>
  <c r="M119" i="17"/>
  <c r="N119" i="17" s="1"/>
  <c r="O119" i="17" s="1"/>
  <c r="I15" i="17"/>
  <c r="O15" i="17" s="1"/>
  <c r="I25" i="17"/>
  <c r="O25" i="17" s="1"/>
  <c r="I90" i="17"/>
  <c r="O90" i="17" s="1"/>
  <c r="M106" i="17"/>
  <c r="N106" i="17" s="1"/>
  <c r="O106" i="17" s="1"/>
  <c r="M130" i="17"/>
  <c r="N130" i="17" s="1"/>
  <c r="O130" i="17" s="1"/>
  <c r="I398" i="17"/>
  <c r="O398" i="17" s="1"/>
  <c r="M9" i="17"/>
  <c r="N9" i="17" s="1"/>
  <c r="O9" i="17" s="1"/>
  <c r="M20" i="17"/>
  <c r="N20" i="17" s="1"/>
  <c r="O20" i="17" s="1"/>
  <c r="I28" i="17"/>
  <c r="O28" i="17" s="1"/>
  <c r="M40" i="17"/>
  <c r="N40" i="17" s="1"/>
  <c r="O40" i="17" s="1"/>
  <c r="M126" i="17"/>
  <c r="N126" i="17" s="1"/>
  <c r="O126" i="17" s="1"/>
  <c r="I360" i="17"/>
  <c r="O360" i="17" s="1"/>
  <c r="I101" i="17"/>
  <c r="O101" i="17" s="1"/>
  <c r="I110" i="17"/>
  <c r="O110" i="17" s="1"/>
  <c r="M115" i="17"/>
  <c r="N115" i="17" s="1"/>
  <c r="O115" i="17" s="1"/>
  <c r="I121" i="17"/>
  <c r="O121" i="17" s="1"/>
  <c r="M156" i="17"/>
  <c r="N156" i="17" s="1"/>
  <c r="O156" i="17" s="1"/>
  <c r="I8" i="17"/>
  <c r="O8" i="17" s="1"/>
  <c r="I18" i="17"/>
  <c r="O18" i="17" s="1"/>
  <c r="M29" i="17"/>
  <c r="N29" i="17" s="1"/>
  <c r="O29" i="17" s="1"/>
  <c r="M33" i="17"/>
  <c r="N33" i="17" s="1"/>
  <c r="O33" i="17" s="1"/>
  <c r="I38" i="17"/>
  <c r="O38" i="17" s="1"/>
  <c r="I44" i="17"/>
  <c r="O44" i="17" s="1"/>
  <c r="M49" i="17"/>
  <c r="N49" i="17" s="1"/>
  <c r="O49" i="17" s="1"/>
  <c r="I52" i="17"/>
  <c r="O52" i="17" s="1"/>
  <c r="I56" i="17"/>
  <c r="O56" i="17" s="1"/>
  <c r="I84" i="17"/>
  <c r="O84" i="17" s="1"/>
  <c r="N134" i="17"/>
  <c r="N138" i="17"/>
  <c r="N143" i="17"/>
  <c r="N147" i="17"/>
  <c r="M150" i="17"/>
  <c r="N150" i="17" s="1"/>
  <c r="M146" i="17"/>
  <c r="N146" i="17" s="1"/>
  <c r="O146" i="17" s="1"/>
  <c r="M137" i="17"/>
  <c r="N137" i="17" s="1"/>
  <c r="M125" i="17"/>
  <c r="N125" i="17" s="1"/>
  <c r="O125" i="17" s="1"/>
  <c r="I390" i="17"/>
  <c r="O390" i="17" s="1"/>
  <c r="M383" i="17"/>
  <c r="N383" i="17" s="1"/>
  <c r="O383" i="17" s="1"/>
  <c r="I14" i="17"/>
  <c r="O14" i="17" s="1"/>
  <c r="M13" i="17"/>
  <c r="N13" i="17" s="1"/>
  <c r="O13" i="17" s="1"/>
  <c r="I35" i="17"/>
  <c r="O35" i="17" s="1"/>
  <c r="I45" i="17"/>
  <c r="O45" i="17" s="1"/>
  <c r="I48" i="17"/>
  <c r="O48" i="17" s="1"/>
  <c r="M57" i="17"/>
  <c r="N57" i="17" s="1"/>
  <c r="O57" i="17" s="1"/>
  <c r="I68" i="17"/>
  <c r="O68" i="17" s="1"/>
  <c r="I72" i="17"/>
  <c r="O72" i="17" s="1"/>
  <c r="I91" i="17"/>
  <c r="O91" i="17" s="1"/>
  <c r="M99" i="17"/>
  <c r="N99" i="17" s="1"/>
  <c r="O99" i="17" s="1"/>
  <c r="I114" i="17"/>
  <c r="O114" i="17" s="1"/>
  <c r="N129" i="17"/>
  <c r="M164" i="17"/>
  <c r="N164" i="17" s="1"/>
  <c r="O164" i="17" s="1"/>
  <c r="M157" i="17"/>
  <c r="N157" i="17" s="1"/>
  <c r="O157" i="17" s="1"/>
  <c r="M153" i="17"/>
  <c r="N153" i="17" s="1"/>
  <c r="M149" i="17"/>
  <c r="N149" i="17" s="1"/>
  <c r="O149" i="17" s="1"/>
  <c r="M145" i="17"/>
  <c r="N145" i="17" s="1"/>
  <c r="O145" i="17" s="1"/>
  <c r="M140" i="17"/>
  <c r="N140" i="17" s="1"/>
  <c r="O140" i="17" s="1"/>
  <c r="M136" i="17"/>
  <c r="N136" i="17" s="1"/>
  <c r="O136" i="17" s="1"/>
  <c r="M132" i="17"/>
  <c r="N132" i="17" s="1"/>
  <c r="O132" i="17" s="1"/>
  <c r="M128" i="17"/>
  <c r="N128" i="17" s="1"/>
  <c r="O128" i="17" s="1"/>
  <c r="M124" i="17"/>
  <c r="N124" i="17" s="1"/>
  <c r="O124" i="17" s="1"/>
  <c r="I381" i="17"/>
  <c r="O381" i="17" s="1"/>
  <c r="N133" i="17"/>
  <c r="N142" i="17"/>
  <c r="M166" i="17"/>
  <c r="N166" i="17" s="1"/>
  <c r="O166" i="17" s="1"/>
  <c r="N163" i="17"/>
  <c r="I152" i="17"/>
  <c r="O152" i="17" s="1"/>
  <c r="M148" i="17"/>
  <c r="N148" i="17" s="1"/>
  <c r="M144" i="17"/>
  <c r="N144" i="17" s="1"/>
  <c r="O144" i="17" s="1"/>
  <c r="M165" i="17"/>
  <c r="N165" i="17" s="1"/>
  <c r="I373" i="17"/>
  <c r="O373" i="17" s="1"/>
  <c r="I339" i="17"/>
  <c r="O339" i="17" s="1"/>
  <c r="I403" i="17"/>
  <c r="O403" i="17" s="1"/>
  <c r="I395" i="17"/>
  <c r="O395" i="17" s="1"/>
  <c r="I387" i="17"/>
  <c r="O387" i="17" s="1"/>
  <c r="I378" i="17"/>
  <c r="O378" i="17" s="1"/>
  <c r="I369" i="17"/>
  <c r="O369" i="17" s="1"/>
  <c r="I357" i="17"/>
  <c r="O357" i="17" s="1"/>
  <c r="I330" i="17"/>
  <c r="O330" i="17" s="1"/>
  <c r="I295" i="17"/>
  <c r="O295" i="17" s="1"/>
  <c r="I260" i="17"/>
  <c r="O260" i="17" s="1"/>
  <c r="M355" i="17"/>
  <c r="N355" i="17" s="1"/>
  <c r="O355" i="17" s="1"/>
  <c r="I303" i="17"/>
  <c r="O303" i="17" s="1"/>
  <c r="I268" i="17"/>
  <c r="O268" i="17" s="1"/>
  <c r="M321" i="17"/>
  <c r="N321" i="17" s="1"/>
  <c r="O321" i="17" s="1"/>
  <c r="I402" i="17"/>
  <c r="O402" i="17" s="1"/>
  <c r="I394" i="17"/>
  <c r="O394" i="17" s="1"/>
  <c r="I385" i="17"/>
  <c r="O385" i="17" s="1"/>
  <c r="I377" i="17"/>
  <c r="O377" i="17" s="1"/>
  <c r="I365" i="17"/>
  <c r="O365" i="17" s="1"/>
  <c r="I356" i="17"/>
  <c r="O356" i="17" s="1"/>
  <c r="I286" i="17"/>
  <c r="O286" i="17" s="1"/>
  <c r="I251" i="17"/>
  <c r="O251" i="17" s="1"/>
  <c r="M358" i="17"/>
  <c r="N358" i="17" s="1"/>
  <c r="O358" i="17" s="1"/>
  <c r="I399" i="17"/>
  <c r="O399" i="17" s="1"/>
  <c r="I391" i="17"/>
  <c r="O391" i="17" s="1"/>
  <c r="I382" i="17"/>
  <c r="O382" i="17" s="1"/>
  <c r="I374" i="17"/>
  <c r="O374" i="17" s="1"/>
  <c r="I364" i="17"/>
  <c r="O364" i="17" s="1"/>
  <c r="I348" i="17"/>
  <c r="O348" i="17" s="1"/>
  <c r="I312" i="17"/>
  <c r="O312" i="17" s="1"/>
  <c r="I277" i="17"/>
  <c r="O277" i="17" s="1"/>
  <c r="I243" i="17"/>
  <c r="O243" i="17" s="1"/>
  <c r="M250" i="17"/>
  <c r="N250" i="17" s="1"/>
  <c r="O250" i="17" s="1"/>
  <c r="M267" i="17"/>
  <c r="N267" i="17" s="1"/>
  <c r="O267" i="17" s="1"/>
  <c r="M285" i="17"/>
  <c r="N285" i="17" s="1"/>
  <c r="O285" i="17" s="1"/>
  <c r="M23" i="17"/>
  <c r="N23" i="17" s="1"/>
  <c r="I23" i="17"/>
  <c r="I347" i="17"/>
  <c r="O347" i="17" s="1"/>
  <c r="I329" i="17"/>
  <c r="O329" i="17" s="1"/>
  <c r="I311" i="17"/>
  <c r="O311" i="17" s="1"/>
  <c r="I293" i="17"/>
  <c r="O293" i="17" s="1"/>
  <c r="I276" i="17"/>
  <c r="O276" i="17" s="1"/>
  <c r="I259" i="17"/>
  <c r="O259" i="17" s="1"/>
  <c r="I242" i="17"/>
  <c r="O242" i="17" s="1"/>
  <c r="M326" i="17"/>
  <c r="N326" i="17" s="1"/>
  <c r="O326" i="17" s="1"/>
  <c r="M10" i="17"/>
  <c r="N10" i="17" s="1"/>
  <c r="I10" i="17"/>
  <c r="M39" i="17"/>
  <c r="N39" i="17" s="1"/>
  <c r="I39" i="17"/>
  <c r="I244" i="17"/>
  <c r="M244" i="17"/>
  <c r="N244" i="17" s="1"/>
  <c r="I248" i="17"/>
  <c r="M248" i="17"/>
  <c r="N248" i="17" s="1"/>
  <c r="I257" i="17"/>
  <c r="M257" i="17"/>
  <c r="N257" i="17" s="1"/>
  <c r="I269" i="17"/>
  <c r="M269" i="17"/>
  <c r="N269" i="17" s="1"/>
  <c r="I278" i="17"/>
  <c r="M278" i="17"/>
  <c r="N278" i="17" s="1"/>
  <c r="I282" i="17"/>
  <c r="M282" i="17"/>
  <c r="N282" i="17" s="1"/>
  <c r="I296" i="17"/>
  <c r="M296" i="17"/>
  <c r="N296" i="17" s="1"/>
  <c r="I300" i="17"/>
  <c r="M300" i="17"/>
  <c r="N300" i="17" s="1"/>
  <c r="M309" i="17"/>
  <c r="N309" i="17" s="1"/>
  <c r="I309" i="17"/>
  <c r="M318" i="17"/>
  <c r="N318" i="17" s="1"/>
  <c r="I318" i="17"/>
  <c r="M327" i="17"/>
  <c r="N327" i="17" s="1"/>
  <c r="I327" i="17"/>
  <c r="M336" i="17"/>
  <c r="N336" i="17" s="1"/>
  <c r="I336" i="17"/>
  <c r="M345" i="17"/>
  <c r="N345" i="17" s="1"/>
  <c r="I345" i="17"/>
  <c r="M349" i="17"/>
  <c r="N349" i="17" s="1"/>
  <c r="I349" i="17"/>
  <c r="M353" i="17"/>
  <c r="N353" i="17" s="1"/>
  <c r="I353" i="17"/>
  <c r="I362" i="17"/>
  <c r="M362" i="17"/>
  <c r="N362" i="17" s="1"/>
  <c r="I361" i="17"/>
  <c r="O361" i="17" s="1"/>
  <c r="I343" i="17"/>
  <c r="O343" i="17" s="1"/>
  <c r="I308" i="17"/>
  <c r="O308" i="17" s="1"/>
  <c r="I290" i="17"/>
  <c r="O290" i="17" s="1"/>
  <c r="I281" i="17"/>
  <c r="O281" i="17" s="1"/>
  <c r="I272" i="17"/>
  <c r="O272" i="17" s="1"/>
  <c r="I256" i="17"/>
  <c r="O256" i="17" s="1"/>
  <c r="I247" i="17"/>
  <c r="O247" i="17" s="1"/>
  <c r="I239" i="17"/>
  <c r="O239" i="17" s="1"/>
  <c r="M246" i="17"/>
  <c r="N246" i="17" s="1"/>
  <c r="O246" i="17" s="1"/>
  <c r="M254" i="17"/>
  <c r="N254" i="17" s="1"/>
  <c r="O254" i="17" s="1"/>
  <c r="M263" i="17"/>
  <c r="N263" i="17" s="1"/>
  <c r="O263" i="17" s="1"/>
  <c r="M271" i="17"/>
  <c r="N271" i="17" s="1"/>
  <c r="O271" i="17" s="1"/>
  <c r="M280" i="17"/>
  <c r="N280" i="17" s="1"/>
  <c r="O280" i="17" s="1"/>
  <c r="M289" i="17"/>
  <c r="N289" i="17" s="1"/>
  <c r="O289" i="17" s="1"/>
  <c r="M298" i="17"/>
  <c r="N298" i="17" s="1"/>
  <c r="O298" i="17" s="1"/>
  <c r="M307" i="17"/>
  <c r="N307" i="17" s="1"/>
  <c r="O307" i="17" s="1"/>
  <c r="M370" i="17"/>
  <c r="N370" i="17" s="1"/>
  <c r="O370" i="17" s="1"/>
  <c r="M85" i="17"/>
  <c r="N85" i="17" s="1"/>
  <c r="I85" i="17"/>
  <c r="M302" i="17"/>
  <c r="N302" i="17" s="1"/>
  <c r="O302" i="17" s="1"/>
  <c r="M53" i="17"/>
  <c r="N53" i="17" s="1"/>
  <c r="I53" i="17"/>
  <c r="M89" i="17"/>
  <c r="N89" i="17" s="1"/>
  <c r="I89" i="17"/>
  <c r="I338" i="17"/>
  <c r="O338" i="17" s="1"/>
  <c r="I320" i="17"/>
  <c r="O320" i="17" s="1"/>
  <c r="I240" i="17"/>
  <c r="M240" i="17"/>
  <c r="N240" i="17" s="1"/>
  <c r="I252" i="17"/>
  <c r="M252" i="17"/>
  <c r="N252" i="17" s="1"/>
  <c r="I261" i="17"/>
  <c r="M261" i="17"/>
  <c r="N261" i="17" s="1"/>
  <c r="I265" i="17"/>
  <c r="M265" i="17"/>
  <c r="N265" i="17" s="1"/>
  <c r="I273" i="17"/>
  <c r="M273" i="17"/>
  <c r="N273" i="17" s="1"/>
  <c r="I287" i="17"/>
  <c r="M287" i="17"/>
  <c r="N287" i="17" s="1"/>
  <c r="I291" i="17"/>
  <c r="M291" i="17"/>
  <c r="N291" i="17" s="1"/>
  <c r="I305" i="17"/>
  <c r="M305" i="17"/>
  <c r="N305" i="17" s="1"/>
  <c r="M313" i="17"/>
  <c r="N313" i="17" s="1"/>
  <c r="I313" i="17"/>
  <c r="M322" i="17"/>
  <c r="N322" i="17" s="1"/>
  <c r="I322" i="17"/>
  <c r="M331" i="17"/>
  <c r="N331" i="17" s="1"/>
  <c r="I331" i="17"/>
  <c r="M340" i="17"/>
  <c r="N340" i="17" s="1"/>
  <c r="I340" i="17"/>
  <c r="M366" i="17"/>
  <c r="N366" i="17" s="1"/>
  <c r="I366" i="17"/>
  <c r="M371" i="17"/>
  <c r="N371" i="17" s="1"/>
  <c r="I371" i="17"/>
  <c r="M375" i="17"/>
  <c r="N375" i="17" s="1"/>
  <c r="I375" i="17"/>
  <c r="M379" i="17"/>
  <c r="N379" i="17" s="1"/>
  <c r="I379" i="17"/>
  <c r="M388" i="17"/>
  <c r="N388" i="17" s="1"/>
  <c r="I388" i="17"/>
  <c r="M392" i="17"/>
  <c r="N392" i="17" s="1"/>
  <c r="I392" i="17"/>
  <c r="M396" i="17"/>
  <c r="N396" i="17" s="1"/>
  <c r="I396" i="17"/>
  <c r="I352" i="17"/>
  <c r="O352" i="17" s="1"/>
  <c r="I335" i="17"/>
  <c r="O335" i="17" s="1"/>
  <c r="I317" i="17"/>
  <c r="O317" i="17" s="1"/>
  <c r="I299" i="17"/>
  <c r="O299" i="17" s="1"/>
  <c r="I264" i="17"/>
  <c r="O264" i="17" s="1"/>
  <c r="M241" i="17"/>
  <c r="N241" i="17" s="1"/>
  <c r="I241" i="17"/>
  <c r="M245" i="17"/>
  <c r="N245" i="17" s="1"/>
  <c r="I245" i="17"/>
  <c r="M249" i="17"/>
  <c r="N249" i="17" s="1"/>
  <c r="I249" i="17"/>
  <c r="M253" i="17"/>
  <c r="N253" i="17" s="1"/>
  <c r="I253" i="17"/>
  <c r="M258" i="17"/>
  <c r="N258" i="17" s="1"/>
  <c r="I258" i="17"/>
  <c r="M262" i="17"/>
  <c r="N262" i="17" s="1"/>
  <c r="I262" i="17"/>
  <c r="M266" i="17"/>
  <c r="N266" i="17" s="1"/>
  <c r="I266" i="17"/>
  <c r="M270" i="17"/>
  <c r="N270" i="17" s="1"/>
  <c r="I270" i="17"/>
  <c r="M275" i="17"/>
  <c r="N275" i="17" s="1"/>
  <c r="I275" i="17"/>
  <c r="M279" i="17"/>
  <c r="N279" i="17" s="1"/>
  <c r="I279" i="17"/>
  <c r="M283" i="17"/>
  <c r="N283" i="17" s="1"/>
  <c r="I283" i="17"/>
  <c r="M288" i="17"/>
  <c r="N288" i="17" s="1"/>
  <c r="I288" i="17"/>
  <c r="M292" i="17"/>
  <c r="N292" i="17" s="1"/>
  <c r="I292" i="17"/>
  <c r="M297" i="17"/>
  <c r="N297" i="17" s="1"/>
  <c r="I297" i="17"/>
  <c r="M301" i="17"/>
  <c r="N301" i="17" s="1"/>
  <c r="I301" i="17"/>
  <c r="M306" i="17"/>
  <c r="N306" i="17" s="1"/>
  <c r="I306" i="17"/>
  <c r="M310" i="17"/>
  <c r="N310" i="17" s="1"/>
  <c r="I310" i="17"/>
  <c r="M315" i="17"/>
  <c r="N315" i="17" s="1"/>
  <c r="I315" i="17"/>
  <c r="M319" i="17"/>
  <c r="N319" i="17" s="1"/>
  <c r="I319" i="17"/>
  <c r="M323" i="17"/>
  <c r="N323" i="17" s="1"/>
  <c r="I323" i="17"/>
  <c r="M328" i="17"/>
  <c r="N328" i="17" s="1"/>
  <c r="I328" i="17"/>
  <c r="M332" i="17"/>
  <c r="N332" i="17" s="1"/>
  <c r="I332" i="17"/>
  <c r="M337" i="17"/>
  <c r="N337" i="17" s="1"/>
  <c r="I337" i="17"/>
  <c r="M341" i="17"/>
  <c r="N341" i="17" s="1"/>
  <c r="I341" i="17"/>
  <c r="M346" i="17"/>
  <c r="N346" i="17" s="1"/>
  <c r="I346" i="17"/>
  <c r="M350" i="17"/>
  <c r="N350" i="17" s="1"/>
  <c r="I350" i="17"/>
  <c r="M359" i="17"/>
  <c r="N359" i="17" s="1"/>
  <c r="I359" i="17"/>
  <c r="M363" i="17"/>
  <c r="N363" i="17" s="1"/>
  <c r="I363" i="17"/>
  <c r="M367" i="17"/>
  <c r="N367" i="17" s="1"/>
  <c r="I367" i="17"/>
  <c r="M372" i="17"/>
  <c r="N372" i="17" s="1"/>
  <c r="I372" i="17"/>
  <c r="M376" i="17"/>
  <c r="N376" i="17" s="1"/>
  <c r="I376" i="17"/>
  <c r="M380" i="17"/>
  <c r="N380" i="17" s="1"/>
  <c r="I380" i="17"/>
  <c r="M384" i="17"/>
  <c r="N384" i="17" s="1"/>
  <c r="I384" i="17"/>
  <c r="M389" i="17"/>
  <c r="N389" i="17" s="1"/>
  <c r="I389" i="17"/>
  <c r="M393" i="17"/>
  <c r="N393" i="17" s="1"/>
  <c r="I393" i="17"/>
  <c r="M397" i="17"/>
  <c r="N397" i="17" s="1"/>
  <c r="I397" i="17"/>
  <c r="M401" i="17"/>
  <c r="N401" i="17" s="1"/>
  <c r="I401" i="17"/>
  <c r="I351" i="17"/>
  <c r="O351" i="17" s="1"/>
  <c r="I342" i="17"/>
  <c r="O342" i="17" s="1"/>
  <c r="I333" i="17"/>
  <c r="O333" i="17" s="1"/>
  <c r="I325" i="17"/>
  <c r="O325" i="17" s="1"/>
  <c r="I316" i="17"/>
  <c r="O316" i="17" s="1"/>
  <c r="M400" i="17"/>
  <c r="N400" i="17" s="1"/>
  <c r="O400" i="17" s="1"/>
  <c r="M19" i="17"/>
  <c r="N19" i="17" s="1"/>
  <c r="I19" i="17"/>
  <c r="M30" i="17"/>
  <c r="N30" i="17" s="1"/>
  <c r="I30" i="17"/>
  <c r="M43" i="17"/>
  <c r="N43" i="17" s="1"/>
  <c r="I43" i="17"/>
  <c r="M61" i="17"/>
  <c r="N61" i="17" s="1"/>
  <c r="I61" i="17"/>
  <c r="M77" i="17"/>
  <c r="N77" i="17" s="1"/>
  <c r="I77" i="17"/>
  <c r="M105" i="17"/>
  <c r="N105" i="17" s="1"/>
  <c r="I105" i="17"/>
  <c r="M109" i="17"/>
  <c r="N109" i="17" s="1"/>
  <c r="I109" i="17"/>
  <c r="M116" i="17"/>
  <c r="N116" i="17" s="1"/>
  <c r="I116" i="17"/>
  <c r="M69" i="17"/>
  <c r="N69" i="17" s="1"/>
  <c r="I69" i="17"/>
  <c r="M96" i="17"/>
  <c r="N96" i="17" s="1"/>
  <c r="I96" i="17"/>
  <c r="I120" i="17"/>
  <c r="O120" i="17" s="1"/>
  <c r="I8" i="19"/>
  <c r="O8" i="19" s="1"/>
  <c r="I12" i="19"/>
  <c r="O12" i="19" s="1"/>
  <c r="I20" i="19"/>
  <c r="O20" i="19" s="1"/>
  <c r="I32" i="19"/>
  <c r="O32" i="19" s="1"/>
  <c r="I36" i="19"/>
  <c r="O36" i="19" s="1"/>
  <c r="I44" i="19"/>
  <c r="O44" i="19" s="1"/>
  <c r="I50" i="19"/>
  <c r="O50" i="19" s="1"/>
  <c r="I69" i="19"/>
  <c r="O69" i="19" s="1"/>
  <c r="I93" i="19"/>
  <c r="O93" i="19" s="1"/>
  <c r="I106" i="19"/>
  <c r="O106" i="19" s="1"/>
  <c r="I114" i="19"/>
  <c r="O114" i="19" s="1"/>
  <c r="I119" i="19"/>
  <c r="O119" i="19" s="1"/>
  <c r="I28" i="19"/>
  <c r="O28" i="19" s="1"/>
  <c r="I18" i="19"/>
  <c r="O18" i="19" s="1"/>
  <c r="I29" i="19"/>
  <c r="O29" i="19" s="1"/>
  <c r="I37" i="19"/>
  <c r="O37" i="19" s="1"/>
  <c r="I41" i="19"/>
  <c r="O41" i="19" s="1"/>
  <c r="I45" i="19"/>
  <c r="O45" i="19" s="1"/>
  <c r="I53" i="19"/>
  <c r="O53" i="19" s="1"/>
  <c r="I66" i="19"/>
  <c r="O66" i="19" s="1"/>
  <c r="I81" i="19"/>
  <c r="O81" i="19" s="1"/>
  <c r="I88" i="19"/>
  <c r="O88" i="19" s="1"/>
  <c r="I90" i="19"/>
  <c r="O90" i="19" s="1"/>
  <c r="I96" i="19"/>
  <c r="O96" i="19" s="1"/>
  <c r="I98" i="19"/>
  <c r="O98" i="19" s="1"/>
  <c r="I118" i="19"/>
  <c r="O118" i="19" s="1"/>
  <c r="I123" i="19"/>
  <c r="O123" i="19" s="1"/>
  <c r="I134" i="19"/>
  <c r="O134" i="19" s="1"/>
  <c r="I84" i="19"/>
  <c r="O84" i="19" s="1"/>
  <c r="I122" i="19"/>
  <c r="O122" i="19" s="1"/>
  <c r="I127" i="19"/>
  <c r="O127" i="19" s="1"/>
  <c r="I80" i="19"/>
  <c r="O80" i="19" s="1"/>
  <c r="I82" i="19"/>
  <c r="O82" i="19" s="1"/>
  <c r="I89" i="19"/>
  <c r="O89" i="19" s="1"/>
  <c r="I118" i="18"/>
  <c r="M118" i="18"/>
  <c r="N118" i="18" s="1"/>
  <c r="I320" i="18"/>
  <c r="O320" i="18" s="1"/>
  <c r="I76" i="18"/>
  <c r="O76" i="18" s="1"/>
  <c r="I93" i="18"/>
  <c r="O93" i="18" s="1"/>
  <c r="M187" i="18"/>
  <c r="N187" i="18" s="1"/>
  <c r="M195" i="18"/>
  <c r="N195" i="18" s="1"/>
  <c r="O195" i="18" s="1"/>
  <c r="I393" i="18"/>
  <c r="O393" i="18" s="1"/>
  <c r="I384" i="18"/>
  <c r="O384" i="18" s="1"/>
  <c r="I341" i="18"/>
  <c r="O341" i="18" s="1"/>
  <c r="I315" i="18"/>
  <c r="O315" i="18" s="1"/>
  <c r="I283" i="18"/>
  <c r="O283" i="18" s="1"/>
  <c r="I256" i="18"/>
  <c r="O256" i="18" s="1"/>
  <c r="M379" i="18"/>
  <c r="N379" i="18" s="1"/>
  <c r="O379" i="18" s="1"/>
  <c r="M334" i="18"/>
  <c r="N334" i="18" s="1"/>
  <c r="O334" i="18" s="1"/>
  <c r="M270" i="18"/>
  <c r="N270" i="18" s="1"/>
  <c r="O270" i="18" s="1"/>
  <c r="M318" i="18"/>
  <c r="N318" i="18" s="1"/>
  <c r="O318" i="18" s="1"/>
  <c r="M254" i="18"/>
  <c r="N254" i="18" s="1"/>
  <c r="O254" i="18" s="1"/>
  <c r="I357" i="18"/>
  <c r="O357" i="18" s="1"/>
  <c r="I325" i="18"/>
  <c r="O325" i="18" s="1"/>
  <c r="I299" i="18"/>
  <c r="O299" i="18" s="1"/>
  <c r="I267" i="18"/>
  <c r="O267" i="18" s="1"/>
  <c r="I243" i="18"/>
  <c r="O243" i="18" s="1"/>
  <c r="M302" i="18"/>
  <c r="N302" i="18" s="1"/>
  <c r="O302" i="18" s="1"/>
  <c r="M222" i="18"/>
  <c r="N222" i="18" s="1"/>
  <c r="O222" i="18" s="1"/>
  <c r="I17" i="18"/>
  <c r="M17" i="18"/>
  <c r="N17" i="18" s="1"/>
  <c r="M156" i="18"/>
  <c r="N156" i="18" s="1"/>
  <c r="I156" i="18"/>
  <c r="M31" i="18"/>
  <c r="N31" i="18" s="1"/>
  <c r="I31" i="18"/>
  <c r="M56" i="18"/>
  <c r="N56" i="18" s="1"/>
  <c r="I56" i="18"/>
  <c r="I84" i="18"/>
  <c r="M84" i="18"/>
  <c r="N84" i="18" s="1"/>
  <c r="I168" i="18"/>
  <c r="M168" i="18"/>
  <c r="N168" i="18" s="1"/>
  <c r="M216" i="18"/>
  <c r="N216" i="18" s="1"/>
  <c r="I216" i="18"/>
  <c r="M220" i="18"/>
  <c r="N220" i="18" s="1"/>
  <c r="I220" i="18"/>
  <c r="M224" i="18"/>
  <c r="N224" i="18" s="1"/>
  <c r="I224" i="18"/>
  <c r="M228" i="18"/>
  <c r="N228" i="18" s="1"/>
  <c r="I228" i="18"/>
  <c r="M232" i="18"/>
  <c r="N232" i="18" s="1"/>
  <c r="I232" i="18"/>
  <c r="M240" i="18"/>
  <c r="N240" i="18" s="1"/>
  <c r="I240" i="18"/>
  <c r="M244" i="18"/>
  <c r="N244" i="18" s="1"/>
  <c r="I244" i="18"/>
  <c r="M248" i="18"/>
  <c r="N248" i="18" s="1"/>
  <c r="I248" i="18"/>
  <c r="M252" i="18"/>
  <c r="N252" i="18" s="1"/>
  <c r="I252" i="18"/>
  <c r="M260" i="18"/>
  <c r="N260" i="18" s="1"/>
  <c r="I260" i="18"/>
  <c r="I264" i="18"/>
  <c r="M264" i="18"/>
  <c r="N264" i="18" s="1"/>
  <c r="M268" i="18"/>
  <c r="N268" i="18" s="1"/>
  <c r="I268" i="18"/>
  <c r="M276" i="18"/>
  <c r="N276" i="18" s="1"/>
  <c r="I276" i="18"/>
  <c r="I280" i="18"/>
  <c r="M280" i="18"/>
  <c r="N280" i="18" s="1"/>
  <c r="M284" i="18"/>
  <c r="N284" i="18" s="1"/>
  <c r="I284" i="18"/>
  <c r="M292" i="18"/>
  <c r="N292" i="18" s="1"/>
  <c r="I292" i="18"/>
  <c r="I296" i="18"/>
  <c r="M296" i="18"/>
  <c r="N296" i="18" s="1"/>
  <c r="M300" i="18"/>
  <c r="N300" i="18" s="1"/>
  <c r="I300" i="18"/>
  <c r="M308" i="18"/>
  <c r="N308" i="18" s="1"/>
  <c r="I308" i="18"/>
  <c r="I312" i="18"/>
  <c r="M312" i="18"/>
  <c r="N312" i="18" s="1"/>
  <c r="M316" i="18"/>
  <c r="N316" i="18" s="1"/>
  <c r="I316" i="18"/>
  <c r="M324" i="18"/>
  <c r="N324" i="18" s="1"/>
  <c r="I324" i="18"/>
  <c r="I328" i="18"/>
  <c r="M328" i="18"/>
  <c r="N328" i="18" s="1"/>
  <c r="M332" i="18"/>
  <c r="N332" i="18" s="1"/>
  <c r="I332" i="18"/>
  <c r="M340" i="18"/>
  <c r="N340" i="18" s="1"/>
  <c r="I340" i="18"/>
  <c r="I344" i="18"/>
  <c r="M344" i="18"/>
  <c r="N344" i="18" s="1"/>
  <c r="M348" i="18"/>
  <c r="N348" i="18" s="1"/>
  <c r="I348" i="18"/>
  <c r="M356" i="18"/>
  <c r="N356" i="18" s="1"/>
  <c r="I356" i="18"/>
  <c r="M360" i="18"/>
  <c r="N360" i="18" s="1"/>
  <c r="I360" i="18"/>
  <c r="M364" i="18"/>
  <c r="N364" i="18" s="1"/>
  <c r="M372" i="18"/>
  <c r="N372" i="18" s="1"/>
  <c r="M376" i="18"/>
  <c r="N376" i="18" s="1"/>
  <c r="M380" i="18"/>
  <c r="N380" i="18" s="1"/>
  <c r="M388" i="18"/>
  <c r="N388" i="18" s="1"/>
  <c r="I388" i="18"/>
  <c r="I392" i="18"/>
  <c r="M392" i="18"/>
  <c r="N392" i="18" s="1"/>
  <c r="I336" i="18"/>
  <c r="O336" i="18" s="1"/>
  <c r="I272" i="18"/>
  <c r="O272" i="18" s="1"/>
  <c r="I40" i="18"/>
  <c r="M40" i="18"/>
  <c r="N40" i="18" s="1"/>
  <c r="I105" i="18"/>
  <c r="M105" i="18"/>
  <c r="N105" i="18" s="1"/>
  <c r="M137" i="18"/>
  <c r="N137" i="18" s="1"/>
  <c r="I137" i="18"/>
  <c r="M154" i="18"/>
  <c r="N154" i="18" s="1"/>
  <c r="I154" i="18"/>
  <c r="M200" i="18"/>
  <c r="N200" i="18" s="1"/>
  <c r="I200" i="18"/>
  <c r="I352" i="18"/>
  <c r="O352" i="18" s="1"/>
  <c r="I288" i="18"/>
  <c r="O288" i="18" s="1"/>
  <c r="I126" i="18"/>
  <c r="M126" i="18"/>
  <c r="N126" i="18" s="1"/>
  <c r="I44" i="18"/>
  <c r="M44" i="18"/>
  <c r="N44" i="18" s="1"/>
  <c r="I304" i="18"/>
  <c r="O304" i="18" s="1"/>
  <c r="O395" i="18"/>
  <c r="M213" i="18"/>
  <c r="N213" i="18" s="1"/>
  <c r="I213" i="18"/>
  <c r="M217" i="18"/>
  <c r="N217" i="18" s="1"/>
  <c r="I217" i="18"/>
  <c r="M221" i="18"/>
  <c r="N221" i="18" s="1"/>
  <c r="I221" i="18"/>
  <c r="M225" i="18"/>
  <c r="N225" i="18" s="1"/>
  <c r="I225" i="18"/>
  <c r="M229" i="18"/>
  <c r="N229" i="18" s="1"/>
  <c r="I229" i="18"/>
  <c r="M233" i="18"/>
  <c r="N233" i="18" s="1"/>
  <c r="I233" i="18"/>
  <c r="M237" i="18"/>
  <c r="N237" i="18" s="1"/>
  <c r="I237" i="18"/>
  <c r="M241" i="18"/>
  <c r="N241" i="18" s="1"/>
  <c r="I241" i="18"/>
  <c r="M245" i="18"/>
  <c r="N245" i="18" s="1"/>
  <c r="I245" i="18"/>
  <c r="M249" i="18"/>
  <c r="N249" i="18" s="1"/>
  <c r="I249" i="18"/>
  <c r="I383" i="18"/>
  <c r="O383" i="18" s="1"/>
  <c r="I351" i="18"/>
  <c r="O351" i="18" s="1"/>
  <c r="I345" i="18"/>
  <c r="O345" i="18" s="1"/>
  <c r="I335" i="18"/>
  <c r="O335" i="18" s="1"/>
  <c r="I329" i="18"/>
  <c r="O329" i="18" s="1"/>
  <c r="I313" i="18"/>
  <c r="O313" i="18" s="1"/>
  <c r="I303" i="18"/>
  <c r="O303" i="18" s="1"/>
  <c r="I297" i="18"/>
  <c r="O297" i="18" s="1"/>
  <c r="I287" i="18"/>
  <c r="O287" i="18" s="1"/>
  <c r="I281" i="18"/>
  <c r="O281" i="18" s="1"/>
  <c r="I265" i="18"/>
  <c r="O265" i="18" s="1"/>
  <c r="M359" i="18"/>
  <c r="N359" i="18" s="1"/>
  <c r="O359" i="18" s="1"/>
  <c r="M242" i="18"/>
  <c r="N242" i="18" s="1"/>
  <c r="O242" i="18" s="1"/>
  <c r="I95" i="18"/>
  <c r="O95" i="18" s="1"/>
  <c r="I131" i="18"/>
  <c r="O131" i="18" s="1"/>
  <c r="I152" i="18"/>
  <c r="O152" i="18" s="1"/>
  <c r="I173" i="18"/>
  <c r="O173" i="18" s="1"/>
  <c r="M214" i="18"/>
  <c r="N214" i="18" s="1"/>
  <c r="I214" i="18"/>
  <c r="M218" i="18"/>
  <c r="N218" i="18" s="1"/>
  <c r="I218" i="18"/>
  <c r="M230" i="18"/>
  <c r="N230" i="18" s="1"/>
  <c r="I230" i="18"/>
  <c r="M234" i="18"/>
  <c r="N234" i="18" s="1"/>
  <c r="I234" i="18"/>
  <c r="M246" i="18"/>
  <c r="N246" i="18" s="1"/>
  <c r="I246" i="18"/>
  <c r="M250" i="18"/>
  <c r="N250" i="18" s="1"/>
  <c r="I250" i="18"/>
  <c r="M258" i="18"/>
  <c r="N258" i="18" s="1"/>
  <c r="I258" i="18"/>
  <c r="M266" i="18"/>
  <c r="N266" i="18" s="1"/>
  <c r="I266" i="18"/>
  <c r="M274" i="18"/>
  <c r="N274" i="18" s="1"/>
  <c r="I274" i="18"/>
  <c r="M282" i="18"/>
  <c r="N282" i="18" s="1"/>
  <c r="I282" i="18"/>
  <c r="M290" i="18"/>
  <c r="N290" i="18" s="1"/>
  <c r="I290" i="18"/>
  <c r="M298" i="18"/>
  <c r="N298" i="18" s="1"/>
  <c r="I298" i="18"/>
  <c r="M306" i="18"/>
  <c r="N306" i="18" s="1"/>
  <c r="I306" i="18"/>
  <c r="M314" i="18"/>
  <c r="N314" i="18" s="1"/>
  <c r="I314" i="18"/>
  <c r="M322" i="18"/>
  <c r="N322" i="18" s="1"/>
  <c r="I322" i="18"/>
  <c r="M330" i="18"/>
  <c r="N330" i="18" s="1"/>
  <c r="I330" i="18"/>
  <c r="M338" i="18"/>
  <c r="N338" i="18" s="1"/>
  <c r="I338" i="18"/>
  <c r="M346" i="18"/>
  <c r="N346" i="18" s="1"/>
  <c r="I346" i="18"/>
  <c r="M354" i="18"/>
  <c r="N354" i="18" s="1"/>
  <c r="I354" i="18"/>
  <c r="M362" i="18"/>
  <c r="N362" i="18" s="1"/>
  <c r="I362" i="18"/>
  <c r="M366" i="18"/>
  <c r="N366" i="18" s="1"/>
  <c r="M370" i="18"/>
  <c r="N370" i="18" s="1"/>
  <c r="M374" i="18"/>
  <c r="N374" i="18" s="1"/>
  <c r="M378" i="18"/>
  <c r="N378" i="18" s="1"/>
  <c r="M382" i="18"/>
  <c r="N382" i="18" s="1"/>
  <c r="I382" i="18"/>
  <c r="M386" i="18"/>
  <c r="N386" i="18" s="1"/>
  <c r="I386" i="18"/>
  <c r="M390" i="18"/>
  <c r="N390" i="18" s="1"/>
  <c r="I390" i="18"/>
  <c r="M394" i="18"/>
  <c r="N394" i="18" s="1"/>
  <c r="I394" i="18"/>
  <c r="I355" i="18"/>
  <c r="O355" i="18" s="1"/>
  <c r="I349" i="18"/>
  <c r="O349" i="18" s="1"/>
  <c r="I339" i="18"/>
  <c r="O339" i="18" s="1"/>
  <c r="I333" i="18"/>
  <c r="O333" i="18" s="1"/>
  <c r="I323" i="18"/>
  <c r="O323" i="18" s="1"/>
  <c r="I317" i="18"/>
  <c r="O317" i="18" s="1"/>
  <c r="I307" i="18"/>
  <c r="O307" i="18" s="1"/>
  <c r="I301" i="18"/>
  <c r="O301" i="18" s="1"/>
  <c r="I285" i="18"/>
  <c r="O285" i="18" s="1"/>
  <c r="I275" i="18"/>
  <c r="O275" i="18" s="1"/>
  <c r="I269" i="18"/>
  <c r="O269" i="18" s="1"/>
  <c r="I259" i="18"/>
  <c r="O259" i="18" s="1"/>
  <c r="I253" i="18"/>
  <c r="O253" i="18" s="1"/>
  <c r="I247" i="18"/>
  <c r="O247" i="18" s="1"/>
  <c r="I239" i="18"/>
  <c r="O239" i="18" s="1"/>
  <c r="I231" i="18"/>
  <c r="O231" i="18" s="1"/>
  <c r="I223" i="18"/>
  <c r="O223" i="18" s="1"/>
  <c r="I215" i="18"/>
  <c r="O215" i="18" s="1"/>
  <c r="M391" i="18"/>
  <c r="N391" i="18" s="1"/>
  <c r="O391" i="18" s="1"/>
  <c r="M375" i="18"/>
  <c r="N375" i="18" s="1"/>
  <c r="O375" i="18" s="1"/>
  <c r="M358" i="18"/>
  <c r="N358" i="18" s="1"/>
  <c r="O358" i="18" s="1"/>
  <c r="M342" i="18"/>
  <c r="N342" i="18" s="1"/>
  <c r="O342" i="18" s="1"/>
  <c r="M326" i="18"/>
  <c r="N326" i="18" s="1"/>
  <c r="O326" i="18" s="1"/>
  <c r="M310" i="18"/>
  <c r="N310" i="18" s="1"/>
  <c r="O310" i="18" s="1"/>
  <c r="M294" i="18"/>
  <c r="N294" i="18" s="1"/>
  <c r="O294" i="18" s="1"/>
  <c r="M278" i="18"/>
  <c r="N278" i="18" s="1"/>
  <c r="O278" i="18" s="1"/>
  <c r="M262" i="18"/>
  <c r="N262" i="18" s="1"/>
  <c r="O262" i="18" s="1"/>
  <c r="M238" i="18"/>
  <c r="N238" i="18" s="1"/>
  <c r="O238" i="18" s="1"/>
  <c r="I78" i="18"/>
  <c r="O78" i="18" s="1"/>
  <c r="I353" i="18"/>
  <c r="O353" i="18" s="1"/>
  <c r="I343" i="18"/>
  <c r="O343" i="18" s="1"/>
  <c r="I337" i="18"/>
  <c r="O337" i="18" s="1"/>
  <c r="I321" i="18"/>
  <c r="O321" i="18" s="1"/>
  <c r="I311" i="18"/>
  <c r="O311" i="18" s="1"/>
  <c r="I305" i="18"/>
  <c r="O305" i="18" s="1"/>
  <c r="I295" i="18"/>
  <c r="O295" i="18" s="1"/>
  <c r="I289" i="18"/>
  <c r="O289" i="18" s="1"/>
  <c r="I279" i="18"/>
  <c r="O279" i="18" s="1"/>
  <c r="I273" i="18"/>
  <c r="O273" i="18" s="1"/>
  <c r="I263" i="18"/>
  <c r="O263" i="18" s="1"/>
  <c r="I257" i="18"/>
  <c r="O257" i="18" s="1"/>
  <c r="M226" i="18"/>
  <c r="N226" i="18" s="1"/>
  <c r="O226" i="18" s="1"/>
  <c r="I14" i="19"/>
  <c r="O14" i="19" s="1"/>
  <c r="I16" i="19"/>
  <c r="O16" i="19" s="1"/>
  <c r="I17" i="19"/>
  <c r="O17" i="19" s="1"/>
  <c r="I34" i="19"/>
  <c r="O34" i="19" s="1"/>
  <c r="I46" i="19"/>
  <c r="O46" i="19" s="1"/>
  <c r="I48" i="19"/>
  <c r="O48" i="19" s="1"/>
  <c r="I49" i="19"/>
  <c r="O49" i="19" s="1"/>
  <c r="I62" i="19"/>
  <c r="O62" i="19" s="1"/>
  <c r="I64" i="19"/>
  <c r="O64" i="19" s="1"/>
  <c r="I65" i="19"/>
  <c r="O65" i="19" s="1"/>
  <c r="I78" i="19"/>
  <c r="O78" i="19" s="1"/>
  <c r="I86" i="19"/>
  <c r="O86" i="19" s="1"/>
  <c r="I94" i="19"/>
  <c r="O94" i="19" s="1"/>
  <c r="I102" i="19"/>
  <c r="O102" i="19" s="1"/>
  <c r="I108" i="19"/>
  <c r="O108" i="19" s="1"/>
  <c r="I112" i="19"/>
  <c r="O112" i="19" s="1"/>
  <c r="I116" i="19"/>
  <c r="O116" i="19" s="1"/>
  <c r="I120" i="19"/>
  <c r="O120" i="19" s="1"/>
  <c r="I124" i="19"/>
  <c r="O124" i="19" s="1"/>
  <c r="I128" i="19"/>
  <c r="O128" i="19" s="1"/>
  <c r="I132" i="19"/>
  <c r="O132" i="19" s="1"/>
  <c r="I11" i="19"/>
  <c r="O11" i="19" s="1"/>
  <c r="I27" i="19"/>
  <c r="O27" i="19" s="1"/>
  <c r="I43" i="19"/>
  <c r="O43" i="19" s="1"/>
  <c r="I59" i="19"/>
  <c r="O59" i="19" s="1"/>
  <c r="I75" i="19"/>
  <c r="O75" i="19" s="1"/>
  <c r="I79" i="19"/>
  <c r="O79" i="19" s="1"/>
  <c r="I95" i="19"/>
  <c r="O95" i="19" s="1"/>
  <c r="I15" i="19"/>
  <c r="O15" i="19" s="1"/>
  <c r="I22" i="19"/>
  <c r="O22" i="19" s="1"/>
  <c r="I31" i="19"/>
  <c r="O31" i="19" s="1"/>
  <c r="I47" i="19"/>
  <c r="O47" i="19" s="1"/>
  <c r="I63" i="19"/>
  <c r="O63" i="19" s="1"/>
  <c r="I91" i="19"/>
  <c r="O91" i="19" s="1"/>
  <c r="I10" i="19"/>
  <c r="O10" i="19" s="1"/>
  <c r="I19" i="19"/>
  <c r="O19" i="19" s="1"/>
  <c r="I26" i="19"/>
  <c r="O26" i="19" s="1"/>
  <c r="I35" i="19"/>
  <c r="O35" i="19" s="1"/>
  <c r="I42" i="19"/>
  <c r="O42" i="19" s="1"/>
  <c r="I51" i="19"/>
  <c r="O51" i="19" s="1"/>
  <c r="I58" i="19"/>
  <c r="O58" i="19" s="1"/>
  <c r="I67" i="19"/>
  <c r="O67" i="19" s="1"/>
  <c r="I74" i="19"/>
  <c r="O74" i="19" s="1"/>
  <c r="I87" i="19"/>
  <c r="O87" i="19" s="1"/>
  <c r="I103" i="19"/>
  <c r="O103" i="19" s="1"/>
  <c r="I137" i="19"/>
  <c r="O137" i="19" s="1"/>
  <c r="I7" i="19"/>
  <c r="O7" i="19" s="1"/>
  <c r="I23" i="19"/>
  <c r="O23" i="19" s="1"/>
  <c r="I55" i="19"/>
  <c r="O55" i="19" s="1"/>
  <c r="I71" i="19"/>
  <c r="O71" i="19" s="1"/>
  <c r="I83" i="19"/>
  <c r="O83" i="19" s="1"/>
  <c r="I99" i="19"/>
  <c r="O99" i="19" s="1"/>
  <c r="I136" i="19"/>
  <c r="O136" i="19" s="1"/>
  <c r="I41" i="18"/>
  <c r="M41" i="18"/>
  <c r="N41" i="18" s="1"/>
  <c r="I147" i="18"/>
  <c r="M147" i="18"/>
  <c r="N147" i="18" s="1"/>
  <c r="I45" i="18"/>
  <c r="M45" i="18"/>
  <c r="N45" i="18" s="1"/>
  <c r="I42" i="18"/>
  <c r="M42" i="18"/>
  <c r="N42" i="18" s="1"/>
  <c r="I193" i="18"/>
  <c r="M193" i="18"/>
  <c r="N193" i="18" s="1"/>
  <c r="I101" i="18"/>
  <c r="M101" i="18"/>
  <c r="N101" i="18" s="1"/>
  <c r="I122" i="18"/>
  <c r="M122" i="18"/>
  <c r="N122" i="18" s="1"/>
  <c r="I149" i="18"/>
  <c r="M149" i="18"/>
  <c r="N149" i="18" s="1"/>
  <c r="I38" i="18"/>
  <c r="M38" i="18"/>
  <c r="N38" i="18" s="1"/>
  <c r="I82" i="18"/>
  <c r="M82" i="18"/>
  <c r="N82" i="18" s="1"/>
  <c r="I103" i="18"/>
  <c r="M103" i="18"/>
  <c r="N103" i="18" s="1"/>
  <c r="I124" i="18"/>
  <c r="M124" i="18"/>
  <c r="N124" i="18" s="1"/>
  <c r="I191" i="18"/>
  <c r="M191" i="18"/>
  <c r="N191" i="18" s="1"/>
  <c r="M43" i="18"/>
  <c r="N43" i="18" s="1"/>
  <c r="O43" i="18" s="1"/>
  <c r="I52" i="18"/>
  <c r="O52" i="18" s="1"/>
  <c r="I74" i="18"/>
  <c r="O74" i="18" s="1"/>
  <c r="I90" i="18"/>
  <c r="O90" i="18" s="1"/>
  <c r="M128" i="18"/>
  <c r="N128" i="18" s="1"/>
  <c r="O128" i="18" s="1"/>
  <c r="M170" i="18"/>
  <c r="N170" i="18" s="1"/>
  <c r="O170" i="18" s="1"/>
  <c r="M189" i="18"/>
  <c r="N189" i="18" s="1"/>
  <c r="O189" i="18" s="1"/>
  <c r="M197" i="18"/>
  <c r="N197" i="18" s="1"/>
  <c r="O197" i="18" s="1"/>
  <c r="I25" i="18"/>
  <c r="O25" i="18" s="1"/>
  <c r="M48" i="18"/>
  <c r="N48" i="18" s="1"/>
  <c r="O48" i="18" s="1"/>
  <c r="I71" i="18"/>
  <c r="O71" i="18" s="1"/>
  <c r="I72" i="18"/>
  <c r="O72" i="18" s="1"/>
  <c r="I97" i="18"/>
  <c r="O97" i="18" s="1"/>
  <c r="I108" i="18"/>
  <c r="O108" i="18" s="1"/>
  <c r="I133" i="18"/>
  <c r="I141" i="18"/>
  <c r="O141" i="18" s="1"/>
  <c r="I27" i="18"/>
  <c r="O27" i="18" s="1"/>
  <c r="M39" i="18"/>
  <c r="N39" i="18" s="1"/>
  <c r="O39" i="18" s="1"/>
  <c r="M86" i="18"/>
  <c r="N86" i="18" s="1"/>
  <c r="O86" i="18" s="1"/>
  <c r="I91" i="18"/>
  <c r="O91" i="18" s="1"/>
  <c r="M120" i="18"/>
  <c r="N120" i="18" s="1"/>
  <c r="O120" i="18" s="1"/>
  <c r="I135" i="18"/>
  <c r="O135" i="18" s="1"/>
  <c r="M145" i="18"/>
  <c r="N145" i="18" s="1"/>
  <c r="O145" i="18" s="1"/>
  <c r="M10" i="18"/>
  <c r="N10" i="18" s="1"/>
  <c r="I10" i="18"/>
  <c r="M14" i="18"/>
  <c r="N14" i="18" s="1"/>
  <c r="I14" i="18"/>
  <c r="I9" i="18"/>
  <c r="M9" i="18"/>
  <c r="N9" i="18" s="1"/>
  <c r="M11" i="18"/>
  <c r="N11" i="18" s="1"/>
  <c r="I11" i="18"/>
  <c r="I19" i="18"/>
  <c r="M19" i="18"/>
  <c r="N19" i="18" s="1"/>
  <c r="I13" i="18"/>
  <c r="M13" i="18"/>
  <c r="N13" i="18" s="1"/>
  <c r="M12" i="18"/>
  <c r="N12" i="18" s="1"/>
  <c r="I12" i="18"/>
  <c r="M182" i="18"/>
  <c r="N182" i="18" s="1"/>
  <c r="I182" i="18"/>
  <c r="M207" i="18"/>
  <c r="N207" i="18" s="1"/>
  <c r="I207" i="18"/>
  <c r="I18" i="18"/>
  <c r="O18" i="18" s="1"/>
  <c r="I26" i="18"/>
  <c r="O26" i="18" s="1"/>
  <c r="I30" i="18"/>
  <c r="O30" i="18" s="1"/>
  <c r="I34" i="18"/>
  <c r="O34" i="18" s="1"/>
  <c r="I51" i="18"/>
  <c r="O51" i="18" s="1"/>
  <c r="I55" i="18"/>
  <c r="O55" i="18" s="1"/>
  <c r="M68" i="18"/>
  <c r="N68" i="18" s="1"/>
  <c r="I68" i="18"/>
  <c r="M73" i="18"/>
  <c r="N73" i="18" s="1"/>
  <c r="I73" i="18"/>
  <c r="M75" i="18"/>
  <c r="N75" i="18" s="1"/>
  <c r="I75" i="18"/>
  <c r="M77" i="18"/>
  <c r="N77" i="18" s="1"/>
  <c r="I77" i="18"/>
  <c r="M81" i="18"/>
  <c r="N81" i="18" s="1"/>
  <c r="I81" i="18"/>
  <c r="M85" i="18"/>
  <c r="N85" i="18" s="1"/>
  <c r="I85" i="18"/>
  <c r="M102" i="18"/>
  <c r="N102" i="18" s="1"/>
  <c r="I102" i="18"/>
  <c r="I110" i="18"/>
  <c r="O110" i="18" s="1"/>
  <c r="I112" i="18"/>
  <c r="O112" i="18" s="1"/>
  <c r="I114" i="18"/>
  <c r="O114" i="18" s="1"/>
  <c r="M151" i="18"/>
  <c r="N151" i="18" s="1"/>
  <c r="I151" i="18"/>
  <c r="M155" i="18"/>
  <c r="N155" i="18" s="1"/>
  <c r="I155" i="18"/>
  <c r="M146" i="18"/>
  <c r="N146" i="18" s="1"/>
  <c r="I146" i="18"/>
  <c r="M178" i="18"/>
  <c r="N178" i="18" s="1"/>
  <c r="I178" i="18"/>
  <c r="M211" i="18"/>
  <c r="N211" i="18" s="1"/>
  <c r="I211" i="18"/>
  <c r="I8" i="18"/>
  <c r="O8" i="18" s="1"/>
  <c r="I29" i="18"/>
  <c r="O29" i="18" s="1"/>
  <c r="I33" i="18"/>
  <c r="O33" i="18" s="1"/>
  <c r="I50" i="18"/>
  <c r="O50" i="18" s="1"/>
  <c r="I54" i="18"/>
  <c r="O54" i="18" s="1"/>
  <c r="M60" i="18"/>
  <c r="N60" i="18" s="1"/>
  <c r="O60" i="18" s="1"/>
  <c r="M61" i="18"/>
  <c r="N61" i="18" s="1"/>
  <c r="O61" i="18" s="1"/>
  <c r="M62" i="18"/>
  <c r="N62" i="18" s="1"/>
  <c r="O62" i="18" s="1"/>
  <c r="M63" i="18"/>
  <c r="N63" i="18" s="1"/>
  <c r="O63" i="18" s="1"/>
  <c r="M64" i="18"/>
  <c r="N64" i="18" s="1"/>
  <c r="O64" i="18" s="1"/>
  <c r="M65" i="18"/>
  <c r="N65" i="18" s="1"/>
  <c r="O65" i="18" s="1"/>
  <c r="M66" i="18"/>
  <c r="N66" i="18" s="1"/>
  <c r="O66" i="18" s="1"/>
  <c r="M67" i="18"/>
  <c r="N67" i="18" s="1"/>
  <c r="O67" i="18" s="1"/>
  <c r="M109" i="18"/>
  <c r="N109" i="18" s="1"/>
  <c r="I109" i="18"/>
  <c r="M111" i="18"/>
  <c r="N111" i="18" s="1"/>
  <c r="I111" i="18"/>
  <c r="M113" i="18"/>
  <c r="N113" i="18" s="1"/>
  <c r="I113" i="18"/>
  <c r="M117" i="18"/>
  <c r="N117" i="18" s="1"/>
  <c r="I117" i="18"/>
  <c r="M121" i="18"/>
  <c r="N121" i="18" s="1"/>
  <c r="I121" i="18"/>
  <c r="M125" i="18"/>
  <c r="N125" i="18" s="1"/>
  <c r="I125" i="18"/>
  <c r="M148" i="18"/>
  <c r="N148" i="18" s="1"/>
  <c r="I148" i="18"/>
  <c r="M176" i="18"/>
  <c r="N176" i="18" s="1"/>
  <c r="I176" i="18"/>
  <c r="M180" i="18"/>
  <c r="N180" i="18" s="1"/>
  <c r="I180" i="18"/>
  <c r="M184" i="18"/>
  <c r="N184" i="18" s="1"/>
  <c r="I184" i="18"/>
  <c r="M201" i="18"/>
  <c r="N201" i="18" s="1"/>
  <c r="I201" i="18"/>
  <c r="M205" i="18"/>
  <c r="N205" i="18" s="1"/>
  <c r="I205" i="18"/>
  <c r="M209" i="18"/>
  <c r="N209" i="18" s="1"/>
  <c r="I209" i="18"/>
  <c r="M119" i="18"/>
  <c r="N119" i="18" s="1"/>
  <c r="I119" i="18"/>
  <c r="M123" i="18"/>
  <c r="N123" i="18" s="1"/>
  <c r="I123" i="18"/>
  <c r="M127" i="18"/>
  <c r="N127" i="18" s="1"/>
  <c r="I127" i="18"/>
  <c r="M150" i="18"/>
  <c r="N150" i="18" s="1"/>
  <c r="I150" i="18"/>
  <c r="M174" i="18"/>
  <c r="N174" i="18" s="1"/>
  <c r="I174" i="18"/>
  <c r="M203" i="18"/>
  <c r="N203" i="18" s="1"/>
  <c r="I203" i="18"/>
  <c r="M20" i="18"/>
  <c r="N20" i="18" s="1"/>
  <c r="O20" i="18" s="1"/>
  <c r="M21" i="18"/>
  <c r="N21" i="18" s="1"/>
  <c r="O21" i="18" s="1"/>
  <c r="M22" i="18"/>
  <c r="N22" i="18" s="1"/>
  <c r="O22" i="18" s="1"/>
  <c r="I28" i="18"/>
  <c r="O28" i="18" s="1"/>
  <c r="I32" i="18"/>
  <c r="O32" i="18" s="1"/>
  <c r="I49" i="18"/>
  <c r="O49" i="18" s="1"/>
  <c r="I53" i="18"/>
  <c r="O53" i="18" s="1"/>
  <c r="I57" i="18"/>
  <c r="O57" i="18" s="1"/>
  <c r="M83" i="18"/>
  <c r="N83" i="18" s="1"/>
  <c r="I83" i="18"/>
  <c r="M87" i="18"/>
  <c r="N87" i="18" s="1"/>
  <c r="I87" i="18"/>
  <c r="M92" i="18"/>
  <c r="N92" i="18" s="1"/>
  <c r="I92" i="18"/>
  <c r="M94" i="18"/>
  <c r="N94" i="18" s="1"/>
  <c r="I94" i="18"/>
  <c r="M96" i="18"/>
  <c r="N96" i="18" s="1"/>
  <c r="I96" i="18"/>
  <c r="M100" i="18"/>
  <c r="N100" i="18" s="1"/>
  <c r="I100" i="18"/>
  <c r="M104" i="18"/>
  <c r="N104" i="18" s="1"/>
  <c r="I104" i="18"/>
  <c r="M132" i="18"/>
  <c r="N132" i="18" s="1"/>
  <c r="I132" i="18"/>
  <c r="M134" i="18"/>
  <c r="N134" i="18" s="1"/>
  <c r="I134" i="18"/>
  <c r="M136" i="18"/>
  <c r="N136" i="18" s="1"/>
  <c r="I136" i="18"/>
  <c r="M138" i="18"/>
  <c r="N138" i="18" s="1"/>
  <c r="I138" i="18"/>
  <c r="M140" i="18"/>
  <c r="N140" i="18" s="1"/>
  <c r="I140" i="18"/>
  <c r="M142" i="18"/>
  <c r="N142" i="18" s="1"/>
  <c r="I142" i="18"/>
  <c r="M169" i="18"/>
  <c r="N169" i="18" s="1"/>
  <c r="I169" i="18"/>
  <c r="M188" i="18"/>
  <c r="N188" i="18" s="1"/>
  <c r="I188" i="18"/>
  <c r="M192" i="18"/>
  <c r="N192" i="18" s="1"/>
  <c r="I192" i="18"/>
  <c r="M196" i="18"/>
  <c r="N196" i="18" s="1"/>
  <c r="I196" i="18"/>
  <c r="I153" i="18"/>
  <c r="O153" i="18" s="1"/>
  <c r="M159" i="18"/>
  <c r="N159" i="18" s="1"/>
  <c r="O159" i="18" s="1"/>
  <c r="M160" i="18"/>
  <c r="N160" i="18" s="1"/>
  <c r="O160" i="18" s="1"/>
  <c r="M161" i="18"/>
  <c r="N161" i="18" s="1"/>
  <c r="O161" i="18" s="1"/>
  <c r="M162" i="18"/>
  <c r="N162" i="18" s="1"/>
  <c r="O162" i="18" s="1"/>
  <c r="M163" i="18"/>
  <c r="N163" i="18" s="1"/>
  <c r="O163" i="18" s="1"/>
  <c r="M164" i="18"/>
  <c r="N164" i="18" s="1"/>
  <c r="O164" i="18" s="1"/>
  <c r="M165" i="18"/>
  <c r="N165" i="18" s="1"/>
  <c r="O165" i="18" s="1"/>
  <c r="M166" i="18"/>
  <c r="N166" i="18" s="1"/>
  <c r="O166" i="18" s="1"/>
  <c r="M167" i="18"/>
  <c r="N167" i="18" s="1"/>
  <c r="O167" i="18" s="1"/>
  <c r="I175" i="18"/>
  <c r="O175" i="18" s="1"/>
  <c r="I177" i="18"/>
  <c r="O177" i="18" s="1"/>
  <c r="I179" i="18"/>
  <c r="O179" i="18" s="1"/>
  <c r="I181" i="18"/>
  <c r="O181" i="18" s="1"/>
  <c r="I183" i="18"/>
  <c r="O183" i="18" s="1"/>
  <c r="O187" i="18"/>
  <c r="M190" i="18"/>
  <c r="N190" i="18" s="1"/>
  <c r="I190" i="18"/>
  <c r="M194" i="18"/>
  <c r="N194" i="18" s="1"/>
  <c r="I194" i="18"/>
  <c r="I202" i="18"/>
  <c r="O202" i="18" s="1"/>
  <c r="I204" i="18"/>
  <c r="O204" i="18" s="1"/>
  <c r="I206" i="18"/>
  <c r="O206" i="18" s="1"/>
  <c r="I208" i="18"/>
  <c r="O208" i="18" s="1"/>
  <c r="I210" i="18"/>
  <c r="O210" i="18" s="1"/>
  <c r="N131" i="17"/>
  <c r="N139" i="17"/>
  <c r="N127" i="17"/>
  <c r="N135" i="17"/>
  <c r="N155" i="17"/>
  <c r="N159" i="17"/>
  <c r="M191" i="17"/>
  <c r="N191" i="17" s="1"/>
  <c r="O191" i="17" s="1"/>
  <c r="M211" i="17"/>
  <c r="N211" i="17" s="1"/>
  <c r="O211" i="17" s="1"/>
  <c r="I185" i="17"/>
  <c r="O185" i="17" s="1"/>
  <c r="M170" i="17"/>
  <c r="N170" i="17" s="1"/>
  <c r="O170" i="17" s="1"/>
  <c r="M175" i="17"/>
  <c r="N175" i="17" s="1"/>
  <c r="O175" i="17" s="1"/>
  <c r="M207" i="17"/>
  <c r="N207" i="17" s="1"/>
  <c r="O207" i="17" s="1"/>
  <c r="I183" i="17"/>
  <c r="O183" i="17" s="1"/>
  <c r="I187" i="17"/>
  <c r="O187" i="17" s="1"/>
  <c r="I189" i="17"/>
  <c r="O189" i="17" s="1"/>
  <c r="I137" i="17"/>
  <c r="I148" i="17"/>
  <c r="I173" i="17"/>
  <c r="O173" i="17" s="1"/>
  <c r="I181" i="17"/>
  <c r="O181" i="17" s="1"/>
  <c r="I195" i="17"/>
  <c r="O195" i="17" s="1"/>
  <c r="I197" i="17"/>
  <c r="O197" i="17" s="1"/>
  <c r="M215" i="17"/>
  <c r="N215" i="17" s="1"/>
  <c r="O215" i="17" s="1"/>
  <c r="I177" i="17"/>
  <c r="O177" i="17" s="1"/>
  <c r="I193" i="17"/>
  <c r="O193" i="17" s="1"/>
  <c r="M202" i="17"/>
  <c r="N202" i="17" s="1"/>
  <c r="O202" i="17" s="1"/>
  <c r="I155" i="17"/>
  <c r="I161" i="17"/>
  <c r="O161" i="17" s="1"/>
  <c r="I218" i="17"/>
  <c r="O218" i="17" s="1"/>
  <c r="I220" i="17"/>
  <c r="O220" i="17" s="1"/>
  <c r="I222" i="17"/>
  <c r="O222" i="17" s="1"/>
  <c r="I224" i="17"/>
  <c r="O224" i="17" s="1"/>
  <c r="I226" i="17"/>
  <c r="O226" i="17" s="1"/>
  <c r="I229" i="17"/>
  <c r="O229" i="17" s="1"/>
  <c r="I231" i="17"/>
  <c r="O231" i="17" s="1"/>
  <c r="I233" i="17"/>
  <c r="O233" i="17" s="1"/>
  <c r="I235" i="17"/>
  <c r="O235" i="17" s="1"/>
  <c r="I237" i="17"/>
  <c r="O237" i="17" s="1"/>
  <c r="I133" i="17"/>
  <c r="I153" i="17"/>
  <c r="I159" i="17"/>
  <c r="I165" i="17"/>
  <c r="M169" i="17"/>
  <c r="N169" i="17" s="1"/>
  <c r="O169" i="17" s="1"/>
  <c r="M174" i="17"/>
  <c r="N174" i="17" s="1"/>
  <c r="O174" i="17" s="1"/>
  <c r="M178" i="17"/>
  <c r="N178" i="17" s="1"/>
  <c r="O178" i="17" s="1"/>
  <c r="M182" i="17"/>
  <c r="N182" i="17" s="1"/>
  <c r="O182" i="17" s="1"/>
  <c r="M186" i="17"/>
  <c r="N186" i="17" s="1"/>
  <c r="O186" i="17" s="1"/>
  <c r="M190" i="17"/>
  <c r="N190" i="17" s="1"/>
  <c r="O190" i="17" s="1"/>
  <c r="M194" i="17"/>
  <c r="N194" i="17" s="1"/>
  <c r="O194" i="17" s="1"/>
  <c r="I199" i="17"/>
  <c r="O199" i="17" s="1"/>
  <c r="I201" i="17"/>
  <c r="O201" i="17" s="1"/>
  <c r="I203" i="17"/>
  <c r="O203" i="17" s="1"/>
  <c r="I206" i="17"/>
  <c r="O206" i="17" s="1"/>
  <c r="I208" i="17"/>
  <c r="O208" i="17" s="1"/>
  <c r="I210" i="17"/>
  <c r="O210" i="17" s="1"/>
  <c r="I212" i="17"/>
  <c r="O212" i="17" s="1"/>
  <c r="I214" i="17"/>
  <c r="O214" i="17" s="1"/>
  <c r="I216" i="17"/>
  <c r="O216" i="17" s="1"/>
  <c r="I163" i="17"/>
  <c r="I129" i="17"/>
  <c r="M219" i="17"/>
  <c r="N219" i="17" s="1"/>
  <c r="O219" i="17" s="1"/>
  <c r="M223" i="17"/>
  <c r="N223" i="17" s="1"/>
  <c r="O223" i="17" s="1"/>
  <c r="M227" i="17"/>
  <c r="N227" i="17" s="1"/>
  <c r="O227" i="17" s="1"/>
  <c r="M232" i="17"/>
  <c r="N232" i="17" s="1"/>
  <c r="O232" i="17" s="1"/>
  <c r="M234" i="17"/>
  <c r="N234" i="17" s="1"/>
  <c r="I234" i="17"/>
  <c r="I134" i="17"/>
  <c r="I138" i="17"/>
  <c r="I142" i="17"/>
  <c r="I127" i="17"/>
  <c r="I131" i="17"/>
  <c r="I135" i="17"/>
  <c r="I139" i="17"/>
  <c r="I143" i="17"/>
  <c r="I147" i="17"/>
  <c r="N154" i="17"/>
  <c r="I154" i="17"/>
  <c r="N162" i="17"/>
  <c r="I162" i="17"/>
  <c r="M196" i="17"/>
  <c r="N196" i="17" s="1"/>
  <c r="I196" i="17"/>
  <c r="M213" i="17"/>
  <c r="N213" i="17" s="1"/>
  <c r="I213" i="17"/>
  <c r="M230" i="17"/>
  <c r="N230" i="17" s="1"/>
  <c r="I230" i="17"/>
  <c r="M238" i="17"/>
  <c r="N238" i="17" s="1"/>
  <c r="I238" i="17"/>
  <c r="N158" i="17"/>
  <c r="I158" i="17"/>
  <c r="N167" i="17"/>
  <c r="I167" i="17"/>
  <c r="M205" i="17"/>
  <c r="N205" i="17" s="1"/>
  <c r="I205" i="17"/>
  <c r="M221" i="17"/>
  <c r="N221" i="17" s="1"/>
  <c r="I221" i="17"/>
  <c r="M172" i="17"/>
  <c r="N172" i="17" s="1"/>
  <c r="I172" i="17"/>
  <c r="M180" i="17"/>
  <c r="N180" i="17" s="1"/>
  <c r="I180" i="17"/>
  <c r="M188" i="17"/>
  <c r="N188" i="17" s="1"/>
  <c r="I188" i="17"/>
  <c r="M200" i="17"/>
  <c r="N200" i="17" s="1"/>
  <c r="I200" i="17"/>
  <c r="I123" i="17"/>
  <c r="O123" i="17" s="1"/>
  <c r="M176" i="17"/>
  <c r="N176" i="17" s="1"/>
  <c r="I176" i="17"/>
  <c r="M184" i="17"/>
  <c r="N184" i="17" s="1"/>
  <c r="I184" i="17"/>
  <c r="M192" i="17"/>
  <c r="N192" i="17" s="1"/>
  <c r="I192" i="17"/>
  <c r="M209" i="17"/>
  <c r="N209" i="17" s="1"/>
  <c r="I209" i="17"/>
  <c r="M225" i="17"/>
  <c r="N225" i="17" s="1"/>
  <c r="I225" i="17"/>
  <c r="I150" i="17"/>
  <c r="I168" i="17"/>
  <c r="O168" i="17" s="1"/>
  <c r="O368" i="18" l="1"/>
  <c r="O115" i="19"/>
  <c r="O107" i="19"/>
  <c r="O126" i="19"/>
  <c r="O101" i="19"/>
  <c r="O40" i="19"/>
  <c r="O129" i="19"/>
  <c r="O121" i="19"/>
  <c r="O113" i="19"/>
  <c r="O92" i="19"/>
  <c r="O25" i="19"/>
  <c r="O133" i="18"/>
  <c r="O131" i="19"/>
  <c r="O111" i="19"/>
  <c r="O110" i="19"/>
  <c r="O85" i="19"/>
  <c r="O133" i="19"/>
  <c r="O125" i="19"/>
  <c r="O117" i="19"/>
  <c r="O109" i="19"/>
  <c r="O76" i="19"/>
  <c r="O21" i="19"/>
  <c r="O371" i="18"/>
  <c r="O137" i="18"/>
  <c r="O377" i="18"/>
  <c r="O365" i="18"/>
  <c r="O227" i="18"/>
  <c r="O367" i="18"/>
  <c r="O290" i="18"/>
  <c r="O369" i="18"/>
  <c r="O373" i="18"/>
  <c r="O268" i="18"/>
  <c r="O390" i="18"/>
  <c r="O374" i="18"/>
  <c r="O354" i="18"/>
  <c r="O260" i="18"/>
  <c r="O258" i="18"/>
  <c r="O322" i="18"/>
  <c r="O230" i="18"/>
  <c r="O237" i="18"/>
  <c r="O221" i="18"/>
  <c r="O56" i="18"/>
  <c r="O245" i="18"/>
  <c r="O229" i="18"/>
  <c r="O213" i="18"/>
  <c r="O84" i="18"/>
  <c r="O17" i="18"/>
  <c r="O105" i="18"/>
  <c r="O328" i="18"/>
  <c r="O382" i="18"/>
  <c r="O366" i="18"/>
  <c r="O338" i="18"/>
  <c r="O306" i="18"/>
  <c r="O274" i="18"/>
  <c r="O246" i="18"/>
  <c r="O214" i="18"/>
  <c r="O156" i="18"/>
  <c r="O200" i="18"/>
  <c r="O388" i="18"/>
  <c r="O154" i="18"/>
  <c r="O31" i="18"/>
  <c r="O40" i="18"/>
  <c r="O316" i="18"/>
  <c r="O308" i="18"/>
  <c r="O168" i="18"/>
  <c r="O118" i="18"/>
  <c r="O138" i="17"/>
  <c r="O397" i="17"/>
  <c r="O389" i="17"/>
  <c r="O380" i="17"/>
  <c r="O372" i="17"/>
  <c r="O363" i="17"/>
  <c r="O350" i="17"/>
  <c r="O341" i="17"/>
  <c r="O332" i="17"/>
  <c r="O323" i="17"/>
  <c r="O315" i="17"/>
  <c r="O306" i="17"/>
  <c r="O297" i="17"/>
  <c r="O288" i="17"/>
  <c r="O279" i="17"/>
  <c r="O270" i="17"/>
  <c r="O262" i="17"/>
  <c r="O253" i="17"/>
  <c r="O353" i="17"/>
  <c r="O155" i="17"/>
  <c r="O85" i="17"/>
  <c r="O135" i="17"/>
  <c r="O19" i="17"/>
  <c r="O142" i="17"/>
  <c r="O129" i="17"/>
  <c r="O143" i="17"/>
  <c r="O127" i="17"/>
  <c r="O362" i="17"/>
  <c r="O300" i="17"/>
  <c r="O282" i="17"/>
  <c r="O269" i="17"/>
  <c r="O248" i="17"/>
  <c r="O153" i="17"/>
  <c r="O137" i="17"/>
  <c r="O388" i="17"/>
  <c r="O366" i="17"/>
  <c r="O313" i="17"/>
  <c r="O165" i="17"/>
  <c r="O133" i="17"/>
  <c r="O69" i="17"/>
  <c r="O305" i="17"/>
  <c r="O287" i="17"/>
  <c r="O265" i="17"/>
  <c r="O252" i="17"/>
  <c r="O89" i="17"/>
  <c r="O139" i="17"/>
  <c r="O134" i="17"/>
  <c r="O396" i="17"/>
  <c r="O375" i="17"/>
  <c r="O331" i="17"/>
  <c r="O150" i="17"/>
  <c r="O147" i="17"/>
  <c r="O163" i="17"/>
  <c r="O148" i="17"/>
  <c r="O116" i="17"/>
  <c r="O105" i="17"/>
  <c r="O77" i="17"/>
  <c r="O43" i="17"/>
  <c r="O296" i="17"/>
  <c r="O278" i="17"/>
  <c r="O257" i="17"/>
  <c r="O244" i="17"/>
  <c r="O96" i="17"/>
  <c r="O61" i="17"/>
  <c r="O393" i="17"/>
  <c r="O376" i="17"/>
  <c r="O359" i="17"/>
  <c r="O328" i="17"/>
  <c r="O310" i="17"/>
  <c r="O292" i="17"/>
  <c r="O275" i="17"/>
  <c r="O258" i="17"/>
  <c r="O241" i="17"/>
  <c r="O336" i="17"/>
  <c r="O30" i="17"/>
  <c r="O392" i="17"/>
  <c r="O379" i="17"/>
  <c r="O371" i="17"/>
  <c r="O340" i="17"/>
  <c r="O322" i="17"/>
  <c r="O53" i="17"/>
  <c r="O109" i="17"/>
  <c r="O401" i="17"/>
  <c r="O384" i="17"/>
  <c r="O367" i="17"/>
  <c r="O346" i="17"/>
  <c r="O337" i="17"/>
  <c r="O319" i="17"/>
  <c r="O301" i="17"/>
  <c r="O283" i="17"/>
  <c r="O266" i="17"/>
  <c r="O249" i="17"/>
  <c r="O349" i="17"/>
  <c r="O318" i="17"/>
  <c r="O39" i="17"/>
  <c r="O245" i="17"/>
  <c r="O291" i="17"/>
  <c r="O273" i="17"/>
  <c r="O261" i="17"/>
  <c r="O240" i="17"/>
  <c r="O345" i="17"/>
  <c r="O327" i="17"/>
  <c r="O309" i="17"/>
  <c r="O10" i="17"/>
  <c r="O23" i="17"/>
  <c r="O124" i="18"/>
  <c r="O82" i="18"/>
  <c r="O149" i="18"/>
  <c r="O101" i="18"/>
  <c r="O42" i="18"/>
  <c r="O394" i="18"/>
  <c r="O386" i="18"/>
  <c r="O378" i="18"/>
  <c r="O370" i="18"/>
  <c r="O362" i="18"/>
  <c r="O346" i="18"/>
  <c r="O330" i="18"/>
  <c r="O314" i="18"/>
  <c r="O298" i="18"/>
  <c r="O282" i="18"/>
  <c r="O266" i="18"/>
  <c r="O250" i="18"/>
  <c r="O234" i="18"/>
  <c r="O218" i="18"/>
  <c r="O249" i="18"/>
  <c r="O241" i="18"/>
  <c r="O233" i="18"/>
  <c r="O225" i="18"/>
  <c r="O217" i="18"/>
  <c r="O380" i="18"/>
  <c r="O372" i="18"/>
  <c r="O348" i="18"/>
  <c r="O340" i="18"/>
  <c r="O296" i="18"/>
  <c r="O191" i="18"/>
  <c r="O103" i="18"/>
  <c r="O38" i="18"/>
  <c r="O122" i="18"/>
  <c r="O41" i="18"/>
  <c r="O44" i="18"/>
  <c r="O280" i="18"/>
  <c r="O178" i="18"/>
  <c r="O13" i="18"/>
  <c r="O10" i="18"/>
  <c r="O376" i="18"/>
  <c r="O360" i="18"/>
  <c r="O332" i="18"/>
  <c r="O324" i="18"/>
  <c r="O312" i="18"/>
  <c r="O284" i="18"/>
  <c r="O276" i="18"/>
  <c r="O264" i="18"/>
  <c r="O248" i="18"/>
  <c r="O240" i="18"/>
  <c r="O232" i="18"/>
  <c r="O224" i="18"/>
  <c r="O216" i="18"/>
  <c r="O11" i="18"/>
  <c r="O14" i="18"/>
  <c r="O193" i="18"/>
  <c r="O126" i="18"/>
  <c r="O392" i="18"/>
  <c r="O364" i="18"/>
  <c r="O356" i="18"/>
  <c r="O344" i="18"/>
  <c r="O300" i="18"/>
  <c r="O292" i="18"/>
  <c r="O252" i="18"/>
  <c r="O244" i="18"/>
  <c r="O228" i="18"/>
  <c r="O220" i="18"/>
  <c r="O194" i="18"/>
  <c r="O19" i="18"/>
  <c r="O9" i="18"/>
  <c r="O192" i="18"/>
  <c r="O142" i="18"/>
  <c r="O138" i="18"/>
  <c r="O134" i="18"/>
  <c r="O100" i="18"/>
  <c r="O94" i="18"/>
  <c r="O87" i="18"/>
  <c r="O85" i="18"/>
  <c r="O45" i="18"/>
  <c r="O147" i="18"/>
  <c r="O196" i="18"/>
  <c r="O104" i="18"/>
  <c r="O203" i="18"/>
  <c r="O150" i="18"/>
  <c r="O123" i="18"/>
  <c r="O205" i="18"/>
  <c r="O184" i="18"/>
  <c r="O176" i="18"/>
  <c r="O125" i="18"/>
  <c r="O117" i="18"/>
  <c r="O111" i="18"/>
  <c r="O151" i="18"/>
  <c r="O102" i="18"/>
  <c r="O77" i="18"/>
  <c r="O73" i="18"/>
  <c r="O182" i="18"/>
  <c r="O169" i="18"/>
  <c r="O140" i="18"/>
  <c r="O136" i="18"/>
  <c r="O132" i="18"/>
  <c r="O96" i="18"/>
  <c r="O92" i="18"/>
  <c r="O211" i="18"/>
  <c r="O146" i="18"/>
  <c r="O155" i="18"/>
  <c r="O12" i="18"/>
  <c r="O190" i="18"/>
  <c r="O188" i="18"/>
  <c r="O83" i="18"/>
  <c r="O174" i="18"/>
  <c r="O127" i="18"/>
  <c r="O119" i="18"/>
  <c r="O209" i="18"/>
  <c r="O201" i="18"/>
  <c r="O180" i="18"/>
  <c r="O148" i="18"/>
  <c r="O121" i="18"/>
  <c r="O113" i="18"/>
  <c r="O109" i="18"/>
  <c r="O81" i="18"/>
  <c r="O75" i="18"/>
  <c r="O68" i="18"/>
  <c r="O207" i="18"/>
  <c r="O131" i="17"/>
  <c r="O159" i="17"/>
  <c r="O158" i="17"/>
  <c r="O188" i="17"/>
  <c r="O230" i="17"/>
  <c r="O213" i="17"/>
  <c r="O196" i="17"/>
  <c r="O154" i="17"/>
  <c r="O184" i="17"/>
  <c r="O205" i="17"/>
  <c r="O225" i="17"/>
  <c r="O209" i="17"/>
  <c r="O221" i="17"/>
  <c r="O238" i="17"/>
  <c r="O162" i="17"/>
  <c r="O176" i="17"/>
  <c r="O200" i="17"/>
  <c r="O180" i="17"/>
  <c r="O192" i="17"/>
  <c r="O172" i="17"/>
  <c r="O167" i="17"/>
  <c r="O234" i="17"/>
  <c r="C82" i="8" l="1"/>
  <c r="E82" i="8" s="1"/>
  <c r="M82" i="8" s="1"/>
  <c r="N82" i="8" s="1"/>
  <c r="C81" i="8"/>
  <c r="E81" i="8" s="1"/>
  <c r="I81" i="8" s="1"/>
  <c r="C78" i="8"/>
  <c r="C77" i="8"/>
  <c r="E80" i="8"/>
  <c r="M80" i="8" s="1"/>
  <c r="N80" i="8" s="1"/>
  <c r="C167" i="2"/>
  <c r="E167" i="2" s="1"/>
  <c r="M167" i="2" s="1"/>
  <c r="N167" i="2" s="1"/>
  <c r="C47" i="2"/>
  <c r="C46" i="2"/>
  <c r="C45" i="2"/>
  <c r="C44" i="2"/>
  <c r="C43" i="2"/>
  <c r="C42" i="2"/>
  <c r="C39" i="2"/>
  <c r="E39" i="2" s="1"/>
  <c r="M39" i="2" s="1"/>
  <c r="N39" i="2" s="1"/>
  <c r="C38" i="2"/>
  <c r="E38" i="2" s="1"/>
  <c r="M38" i="2" s="1"/>
  <c r="N38" i="2" s="1"/>
  <c r="C37" i="2"/>
  <c r="E37" i="2" s="1"/>
  <c r="M37" i="2" s="1"/>
  <c r="N37" i="2" s="1"/>
  <c r="C36" i="2"/>
  <c r="E36" i="2" s="1"/>
  <c r="M36" i="2" s="1"/>
  <c r="N36" i="2" s="1"/>
  <c r="C35" i="2"/>
  <c r="E35" i="2" s="1"/>
  <c r="M35" i="2" s="1"/>
  <c r="N35" i="2" s="1"/>
  <c r="E165" i="2"/>
  <c r="M165" i="2" s="1"/>
  <c r="N165" i="2" s="1"/>
  <c r="E65" i="2"/>
  <c r="E57" i="2"/>
  <c r="E49" i="2"/>
  <c r="E41" i="2"/>
  <c r="E34" i="2"/>
  <c r="M34" i="2" s="1"/>
  <c r="N34" i="2" s="1"/>
  <c r="E26" i="2"/>
  <c r="M26" i="2" s="1"/>
  <c r="N26" i="2" s="1"/>
  <c r="M81" i="8" l="1"/>
  <c r="N81" i="8" s="1"/>
  <c r="O81" i="8" s="1"/>
  <c r="I82" i="8"/>
  <c r="O82" i="8" s="1"/>
  <c r="I80" i="8"/>
  <c r="O80" i="8" s="1"/>
  <c r="I35" i="2"/>
  <c r="O35" i="2" s="1"/>
  <c r="I39" i="2"/>
  <c r="O39" i="2" s="1"/>
  <c r="I167" i="2"/>
  <c r="O167" i="2" s="1"/>
  <c r="I36" i="2"/>
  <c r="O36" i="2" s="1"/>
  <c r="I26" i="2"/>
  <c r="O26" i="2" s="1"/>
  <c r="I37" i="2"/>
  <c r="O37" i="2" s="1"/>
  <c r="I165" i="2"/>
  <c r="O165" i="2" s="1"/>
  <c r="I34" i="2"/>
  <c r="O34" i="2" s="1"/>
  <c r="I38" i="2"/>
  <c r="O38" i="2" s="1"/>
  <c r="C228" i="1"/>
  <c r="E228" i="1" s="1"/>
  <c r="C227" i="1"/>
  <c r="E227" i="1" s="1"/>
  <c r="M227" i="1" s="1"/>
  <c r="N227" i="1" s="1"/>
  <c r="C226" i="1"/>
  <c r="E226" i="1" s="1"/>
  <c r="M226" i="1" s="1"/>
  <c r="N226" i="1" s="1"/>
  <c r="C225" i="1"/>
  <c r="E225" i="1" s="1"/>
  <c r="C224" i="1"/>
  <c r="E224" i="1" s="1"/>
  <c r="M224" i="1" s="1"/>
  <c r="N224" i="1" s="1"/>
  <c r="E223" i="1"/>
  <c r="M223" i="1" s="1"/>
  <c r="N223" i="1" s="1"/>
  <c r="E124" i="1"/>
  <c r="E116" i="1"/>
  <c r="E72" i="1"/>
  <c r="M72" i="1" s="1"/>
  <c r="N72" i="1" s="1"/>
  <c r="E58" i="1"/>
  <c r="E44" i="1"/>
  <c r="M44" i="1" s="1"/>
  <c r="N44" i="1" s="1"/>
  <c r="E37" i="1"/>
  <c r="E30" i="1"/>
  <c r="E23" i="1"/>
  <c r="E16" i="1"/>
  <c r="E9" i="1"/>
  <c r="I223" i="1" l="1"/>
  <c r="O223" i="1" s="1"/>
  <c r="I44" i="1"/>
  <c r="O44" i="1" s="1"/>
  <c r="I227" i="1"/>
  <c r="O227" i="1" s="1"/>
  <c r="I224" i="1"/>
  <c r="O224" i="1" s="1"/>
  <c r="M23" i="1"/>
  <c r="N23" i="1" s="1"/>
  <c r="I23" i="1"/>
  <c r="I30" i="1"/>
  <c r="M30" i="1"/>
  <c r="N30" i="1" s="1"/>
  <c r="M37" i="1"/>
  <c r="N37" i="1" s="1"/>
  <c r="I37" i="1"/>
  <c r="M16" i="1"/>
  <c r="N16" i="1" s="1"/>
  <c r="I16" i="1"/>
  <c r="I9" i="1"/>
  <c r="M9" i="1"/>
  <c r="N9" i="1" s="1"/>
  <c r="M228" i="1"/>
  <c r="N228" i="1" s="1"/>
  <c r="I228" i="1"/>
  <c r="I72" i="1"/>
  <c r="O72" i="1" s="1"/>
  <c r="M58" i="1"/>
  <c r="N58" i="1" s="1"/>
  <c r="I58" i="1"/>
  <c r="M116" i="1"/>
  <c r="N116" i="1" s="1"/>
  <c r="M225" i="1"/>
  <c r="N225" i="1" s="1"/>
  <c r="I225" i="1"/>
  <c r="I226" i="1"/>
  <c r="O226" i="1" s="1"/>
  <c r="O23" i="1" l="1"/>
  <c r="O16" i="1"/>
  <c r="O37" i="1"/>
  <c r="O116" i="1"/>
  <c r="O228" i="1"/>
  <c r="O30" i="1"/>
  <c r="O225" i="1"/>
  <c r="O58" i="1"/>
  <c r="O9" i="1"/>
  <c r="C117" i="1" l="1"/>
  <c r="E117" i="1" s="1"/>
  <c r="C118" i="1"/>
  <c r="E118" i="1" s="1"/>
  <c r="C119" i="1"/>
  <c r="E119" i="1" s="1"/>
  <c r="C120" i="1"/>
  <c r="E120" i="1" s="1"/>
  <c r="C121" i="1"/>
  <c r="E121" i="1" s="1"/>
  <c r="C122" i="1"/>
  <c r="E122" i="1" s="1"/>
  <c r="M118" i="1" l="1"/>
  <c r="N118" i="1" s="1"/>
  <c r="I118" i="1"/>
  <c r="M121" i="1"/>
  <c r="N121" i="1" s="1"/>
  <c r="I121" i="1"/>
  <c r="M117" i="1"/>
  <c r="N117" i="1" s="1"/>
  <c r="I117" i="1"/>
  <c r="M120" i="1"/>
  <c r="N120" i="1" s="1"/>
  <c r="I120" i="1"/>
  <c r="I119" i="1"/>
  <c r="M119" i="1"/>
  <c r="N119" i="1" s="1"/>
  <c r="M122" i="1"/>
  <c r="N122" i="1" s="1"/>
  <c r="I122" i="1"/>
  <c r="E78" i="8"/>
  <c r="M78" i="8" s="1"/>
  <c r="N78" i="8" s="1"/>
  <c r="E77" i="8"/>
  <c r="I77" i="8" s="1"/>
  <c r="E76" i="8"/>
  <c r="M76" i="8" s="1"/>
  <c r="N76" i="8" s="1"/>
  <c r="I76" i="8" l="1"/>
  <c r="O76" i="8" s="1"/>
  <c r="I78" i="8"/>
  <c r="O78" i="8" s="1"/>
  <c r="O119" i="1"/>
  <c r="O121" i="1"/>
  <c r="O120" i="1"/>
  <c r="O122" i="1"/>
  <c r="O117" i="1"/>
  <c r="O118" i="1"/>
  <c r="M77" i="8"/>
  <c r="N77" i="8" s="1"/>
  <c r="O77" i="8" s="1"/>
  <c r="E64" i="8"/>
  <c r="E55" i="8"/>
  <c r="E46" i="8"/>
  <c r="E37" i="8"/>
  <c r="E28" i="8"/>
  <c r="E13" i="8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0" i="13"/>
  <c r="M110" i="13" s="1"/>
  <c r="N110" i="13" s="1"/>
  <c r="E109" i="13"/>
  <c r="M109" i="13" s="1"/>
  <c r="N109" i="13" s="1"/>
  <c r="E108" i="13"/>
  <c r="M108" i="13" s="1"/>
  <c r="N108" i="13" s="1"/>
  <c r="E107" i="13"/>
  <c r="I107" i="13" s="1"/>
  <c r="E106" i="13"/>
  <c r="M106" i="13" s="1"/>
  <c r="N106" i="13" s="1"/>
  <c r="E105" i="13"/>
  <c r="M105" i="13" s="1"/>
  <c r="N105" i="13" s="1"/>
  <c r="E104" i="13"/>
  <c r="M104" i="13" s="1"/>
  <c r="N104" i="13" s="1"/>
  <c r="E103" i="13"/>
  <c r="I103" i="13" s="1"/>
  <c r="E102" i="13"/>
  <c r="M102" i="13" s="1"/>
  <c r="N102" i="13" s="1"/>
  <c r="E101" i="13"/>
  <c r="M101" i="13" s="1"/>
  <c r="N101" i="13" s="1"/>
  <c r="E100" i="13"/>
  <c r="M100" i="13" s="1"/>
  <c r="N100" i="13" s="1"/>
  <c r="E99" i="13"/>
  <c r="I99" i="13" s="1"/>
  <c r="E98" i="13"/>
  <c r="M98" i="13" s="1"/>
  <c r="N98" i="13" s="1"/>
  <c r="E97" i="13"/>
  <c r="M97" i="13" s="1"/>
  <c r="N97" i="13" s="1"/>
  <c r="E96" i="13"/>
  <c r="M96" i="13" s="1"/>
  <c r="N96" i="13" s="1"/>
  <c r="E95" i="13"/>
  <c r="I95" i="13" s="1"/>
  <c r="E94" i="13"/>
  <c r="M94" i="13" s="1"/>
  <c r="N94" i="13" s="1"/>
  <c r="E93" i="13"/>
  <c r="M93" i="13" s="1"/>
  <c r="N93" i="13" s="1"/>
  <c r="E92" i="13"/>
  <c r="M92" i="13" s="1"/>
  <c r="N92" i="13" s="1"/>
  <c r="E91" i="13"/>
  <c r="I91" i="13" s="1"/>
  <c r="E90" i="13"/>
  <c r="M90" i="13" s="1"/>
  <c r="N90" i="13" s="1"/>
  <c r="E86" i="13"/>
  <c r="M86" i="13" s="1"/>
  <c r="N86" i="13" s="1"/>
  <c r="E85" i="13"/>
  <c r="M85" i="13" s="1"/>
  <c r="N85" i="13" s="1"/>
  <c r="E84" i="13"/>
  <c r="I84" i="13" s="1"/>
  <c r="E83" i="13"/>
  <c r="I83" i="13" s="1"/>
  <c r="E82" i="13"/>
  <c r="M82" i="13" s="1"/>
  <c r="N82" i="13" s="1"/>
  <c r="E81" i="13"/>
  <c r="I81" i="13" s="1"/>
  <c r="E80" i="13"/>
  <c r="I80" i="13" s="1"/>
  <c r="E79" i="13"/>
  <c r="I79" i="13" s="1"/>
  <c r="E78" i="13"/>
  <c r="M78" i="13" s="1"/>
  <c r="N78" i="13" s="1"/>
  <c r="E77" i="13"/>
  <c r="M77" i="13" s="1"/>
  <c r="N77" i="13" s="1"/>
  <c r="E76" i="13"/>
  <c r="I76" i="13" s="1"/>
  <c r="E75" i="13"/>
  <c r="I75" i="13" s="1"/>
  <c r="E74" i="13"/>
  <c r="M74" i="13" s="1"/>
  <c r="N74" i="13" s="1"/>
  <c r="E62" i="13"/>
  <c r="M62" i="13" s="1"/>
  <c r="N62" i="13" s="1"/>
  <c r="E61" i="13"/>
  <c r="M61" i="13" s="1"/>
  <c r="N61" i="13" s="1"/>
  <c r="E60" i="13"/>
  <c r="M60" i="13" s="1"/>
  <c r="N60" i="13" s="1"/>
  <c r="E59" i="13"/>
  <c r="I59" i="13" s="1"/>
  <c r="E58" i="13"/>
  <c r="M58" i="13" s="1"/>
  <c r="N58" i="13" s="1"/>
  <c r="E57" i="13"/>
  <c r="M57" i="13" s="1"/>
  <c r="N57" i="13" s="1"/>
  <c r="E56" i="13"/>
  <c r="M56" i="13" s="1"/>
  <c r="N56" i="13" s="1"/>
  <c r="E55" i="13"/>
  <c r="I55" i="13" s="1"/>
  <c r="E54" i="13"/>
  <c r="M54" i="13" s="1"/>
  <c r="N54" i="13" s="1"/>
  <c r="E45" i="13"/>
  <c r="I45" i="13" s="1"/>
  <c r="E46" i="13"/>
  <c r="M46" i="13" s="1"/>
  <c r="N46" i="13" s="1"/>
  <c r="E47" i="13"/>
  <c r="M47" i="13" s="1"/>
  <c r="N47" i="13" s="1"/>
  <c r="E48" i="13"/>
  <c r="M48" i="13" s="1"/>
  <c r="N48" i="13" s="1"/>
  <c r="E49" i="13"/>
  <c r="I49" i="13" s="1"/>
  <c r="E50" i="13"/>
  <c r="M50" i="13" s="1"/>
  <c r="N50" i="13" s="1"/>
  <c r="E44" i="13"/>
  <c r="I44" i="13" s="1"/>
  <c r="E43" i="13"/>
  <c r="I43" i="13" s="1"/>
  <c r="E42" i="13"/>
  <c r="I42" i="13" s="1"/>
  <c r="E41" i="13"/>
  <c r="E40" i="13"/>
  <c r="I40" i="13" s="1"/>
  <c r="E39" i="13"/>
  <c r="I39" i="13" s="1"/>
  <c r="E38" i="13"/>
  <c r="I38" i="13" s="1"/>
  <c r="E37" i="13"/>
  <c r="I37" i="13" s="1"/>
  <c r="E36" i="13"/>
  <c r="I36" i="13" s="1"/>
  <c r="E35" i="13"/>
  <c r="I35" i="13" s="1"/>
  <c r="E34" i="13"/>
  <c r="I34" i="13" s="1"/>
  <c r="E33" i="13"/>
  <c r="I33" i="13" s="1"/>
  <c r="E32" i="13"/>
  <c r="I32" i="13" s="1"/>
  <c r="E31" i="13"/>
  <c r="I31" i="13" s="1"/>
  <c r="E30" i="13"/>
  <c r="I30" i="13" s="1"/>
  <c r="E29" i="13"/>
  <c r="I29" i="13" s="1"/>
  <c r="E10" i="13"/>
  <c r="M10" i="13" s="1"/>
  <c r="N10" i="13" s="1"/>
  <c r="E11" i="13"/>
  <c r="M11" i="13" s="1"/>
  <c r="N11" i="13" s="1"/>
  <c r="E12" i="13"/>
  <c r="M12" i="13" s="1"/>
  <c r="N12" i="13" s="1"/>
  <c r="E13" i="13"/>
  <c r="I13" i="13" s="1"/>
  <c r="E14" i="13"/>
  <c r="M14" i="13" s="1"/>
  <c r="N14" i="13" s="1"/>
  <c r="E15" i="13"/>
  <c r="I15" i="13" s="1"/>
  <c r="E16" i="13"/>
  <c r="I16" i="13" s="1"/>
  <c r="E17" i="13"/>
  <c r="I17" i="13" s="1"/>
  <c r="E18" i="13"/>
  <c r="M18" i="13" s="1"/>
  <c r="N18" i="13" s="1"/>
  <c r="E19" i="13"/>
  <c r="M19" i="13" s="1"/>
  <c r="N19" i="13" s="1"/>
  <c r="E20" i="13"/>
  <c r="I20" i="13" s="1"/>
  <c r="E21" i="13"/>
  <c r="I21" i="13" s="1"/>
  <c r="E22" i="13"/>
  <c r="M22" i="13" s="1"/>
  <c r="N22" i="13" s="1"/>
  <c r="E23" i="13"/>
  <c r="I23" i="13" s="1"/>
  <c r="E24" i="13"/>
  <c r="M24" i="13" s="1"/>
  <c r="N24" i="13" s="1"/>
  <c r="E25" i="13"/>
  <c r="I25" i="13" s="1"/>
  <c r="M9" i="13"/>
  <c r="N9" i="13" s="1"/>
  <c r="M41" i="13" l="1"/>
  <c r="N41" i="13" s="1"/>
  <c r="I41" i="13"/>
  <c r="M119" i="13"/>
  <c r="N119" i="13" s="1"/>
  <c r="I119" i="13"/>
  <c r="M120" i="13"/>
  <c r="N120" i="13" s="1"/>
  <c r="I120" i="13"/>
  <c r="M118" i="13"/>
  <c r="N118" i="13" s="1"/>
  <c r="I118" i="13"/>
  <c r="M121" i="13"/>
  <c r="N121" i="13" s="1"/>
  <c r="I121" i="13"/>
  <c r="M122" i="13"/>
  <c r="N122" i="13" s="1"/>
  <c r="I122" i="13"/>
  <c r="M126" i="13"/>
  <c r="N126" i="13" s="1"/>
  <c r="I126" i="13"/>
  <c r="M114" i="13"/>
  <c r="N114" i="13" s="1"/>
  <c r="I114" i="13"/>
  <c r="M115" i="13"/>
  <c r="N115" i="13" s="1"/>
  <c r="I115" i="13"/>
  <c r="M123" i="13"/>
  <c r="N123" i="13" s="1"/>
  <c r="I123" i="13"/>
  <c r="M116" i="13"/>
  <c r="N116" i="13" s="1"/>
  <c r="I116" i="13"/>
  <c r="M124" i="13"/>
  <c r="N124" i="13" s="1"/>
  <c r="I124" i="13"/>
  <c r="M117" i="13"/>
  <c r="N117" i="13" s="1"/>
  <c r="I117" i="13"/>
  <c r="M125" i="13"/>
  <c r="N125" i="13" s="1"/>
  <c r="I125" i="13"/>
  <c r="M76" i="13"/>
  <c r="N76" i="13" s="1"/>
  <c r="O76" i="13" s="1"/>
  <c r="I106" i="13"/>
  <c r="O106" i="13" s="1"/>
  <c r="I90" i="13"/>
  <c r="O90" i="13" s="1"/>
  <c r="I98" i="13"/>
  <c r="O98" i="13" s="1"/>
  <c r="M95" i="13"/>
  <c r="N95" i="13" s="1"/>
  <c r="O95" i="13" s="1"/>
  <c r="M80" i="13"/>
  <c r="N80" i="13" s="1"/>
  <c r="O80" i="13" s="1"/>
  <c r="I92" i="13"/>
  <c r="O92" i="13" s="1"/>
  <c r="I100" i="13"/>
  <c r="O100" i="13" s="1"/>
  <c r="I108" i="13"/>
  <c r="O108" i="13" s="1"/>
  <c r="M99" i="13"/>
  <c r="N99" i="13" s="1"/>
  <c r="O99" i="13" s="1"/>
  <c r="M59" i="13"/>
  <c r="N59" i="13" s="1"/>
  <c r="O59" i="13" s="1"/>
  <c r="M84" i="13"/>
  <c r="N84" i="13" s="1"/>
  <c r="O84" i="13" s="1"/>
  <c r="I94" i="13"/>
  <c r="O94" i="13" s="1"/>
  <c r="I102" i="13"/>
  <c r="O102" i="13" s="1"/>
  <c r="I110" i="13"/>
  <c r="O110" i="13" s="1"/>
  <c r="M103" i="13"/>
  <c r="N103" i="13" s="1"/>
  <c r="O103" i="13" s="1"/>
  <c r="I96" i="13"/>
  <c r="O96" i="13" s="1"/>
  <c r="I104" i="13"/>
  <c r="O104" i="13" s="1"/>
  <c r="M91" i="13"/>
  <c r="N91" i="13" s="1"/>
  <c r="O91" i="13" s="1"/>
  <c r="M107" i="13"/>
  <c r="N107" i="13" s="1"/>
  <c r="O107" i="13" s="1"/>
  <c r="M79" i="13"/>
  <c r="N79" i="13" s="1"/>
  <c r="O79" i="13" s="1"/>
  <c r="I93" i="13"/>
  <c r="O93" i="13" s="1"/>
  <c r="I97" i="13"/>
  <c r="O97" i="13" s="1"/>
  <c r="I101" i="13"/>
  <c r="O101" i="13" s="1"/>
  <c r="I105" i="13"/>
  <c r="O105" i="13" s="1"/>
  <c r="I109" i="13"/>
  <c r="O109" i="13" s="1"/>
  <c r="M75" i="13"/>
  <c r="N75" i="13" s="1"/>
  <c r="O75" i="13" s="1"/>
  <c r="M83" i="13"/>
  <c r="N83" i="13" s="1"/>
  <c r="O83" i="13" s="1"/>
  <c r="I77" i="13"/>
  <c r="O77" i="13" s="1"/>
  <c r="I85" i="13"/>
  <c r="O85" i="13" s="1"/>
  <c r="I60" i="13"/>
  <c r="O60" i="13" s="1"/>
  <c r="I74" i="13"/>
  <c r="O74" i="13" s="1"/>
  <c r="I78" i="13"/>
  <c r="O78" i="13" s="1"/>
  <c r="I82" i="13"/>
  <c r="O82" i="13" s="1"/>
  <c r="I86" i="13"/>
  <c r="O86" i="13" s="1"/>
  <c r="M81" i="13"/>
  <c r="N81" i="13" s="1"/>
  <c r="O81" i="13" s="1"/>
  <c r="I56" i="13"/>
  <c r="O56" i="13" s="1"/>
  <c r="I47" i="13"/>
  <c r="O47" i="13" s="1"/>
  <c r="M55" i="13"/>
  <c r="N55" i="13" s="1"/>
  <c r="O55" i="13" s="1"/>
  <c r="M49" i="13"/>
  <c r="N49" i="13" s="1"/>
  <c r="O49" i="13" s="1"/>
  <c r="I50" i="13"/>
  <c r="O50" i="13" s="1"/>
  <c r="I46" i="13"/>
  <c r="O46" i="13" s="1"/>
  <c r="I57" i="13"/>
  <c r="O57" i="13" s="1"/>
  <c r="I61" i="13"/>
  <c r="O61" i="13" s="1"/>
  <c r="M45" i="13"/>
  <c r="N45" i="13" s="1"/>
  <c r="O45" i="13" s="1"/>
  <c r="I54" i="13"/>
  <c r="O54" i="13" s="1"/>
  <c r="I58" i="13"/>
  <c r="O58" i="13" s="1"/>
  <c r="I62" i="13"/>
  <c r="O62" i="13" s="1"/>
  <c r="I48" i="13"/>
  <c r="O48" i="13" s="1"/>
  <c r="M37" i="13"/>
  <c r="N37" i="13" s="1"/>
  <c r="O37" i="13" s="1"/>
  <c r="M33" i="13"/>
  <c r="N33" i="13" s="1"/>
  <c r="O33" i="13" s="1"/>
  <c r="M44" i="13"/>
  <c r="N44" i="13" s="1"/>
  <c r="O44" i="13" s="1"/>
  <c r="M40" i="13"/>
  <c r="N40" i="13" s="1"/>
  <c r="O40" i="13" s="1"/>
  <c r="M36" i="13"/>
  <c r="N36" i="13" s="1"/>
  <c r="O36" i="13" s="1"/>
  <c r="M32" i="13"/>
  <c r="N32" i="13" s="1"/>
  <c r="O32" i="13" s="1"/>
  <c r="M29" i="13"/>
  <c r="N29" i="13" s="1"/>
  <c r="O29" i="13" s="1"/>
  <c r="M43" i="13"/>
  <c r="N43" i="13" s="1"/>
  <c r="O43" i="13" s="1"/>
  <c r="M39" i="13"/>
  <c r="N39" i="13" s="1"/>
  <c r="O39" i="13" s="1"/>
  <c r="M35" i="13"/>
  <c r="N35" i="13" s="1"/>
  <c r="O35" i="13" s="1"/>
  <c r="M31" i="13"/>
  <c r="N31" i="13" s="1"/>
  <c r="O31" i="13" s="1"/>
  <c r="M42" i="13"/>
  <c r="N42" i="13" s="1"/>
  <c r="O42" i="13" s="1"/>
  <c r="M38" i="13"/>
  <c r="N38" i="13" s="1"/>
  <c r="O38" i="13" s="1"/>
  <c r="M34" i="13"/>
  <c r="N34" i="13" s="1"/>
  <c r="O34" i="13" s="1"/>
  <c r="M30" i="13"/>
  <c r="N30" i="13" s="1"/>
  <c r="O30" i="13" s="1"/>
  <c r="I12" i="13"/>
  <c r="O12" i="13" s="1"/>
  <c r="M20" i="13"/>
  <c r="N20" i="13" s="1"/>
  <c r="O20" i="13" s="1"/>
  <c r="I24" i="13"/>
  <c r="O24" i="13" s="1"/>
  <c r="M25" i="13"/>
  <c r="N25" i="13" s="1"/>
  <c r="O25" i="13" s="1"/>
  <c r="M16" i="13"/>
  <c r="N16" i="13" s="1"/>
  <c r="O16" i="13" s="1"/>
  <c r="M21" i="13"/>
  <c r="N21" i="13" s="1"/>
  <c r="O21" i="13" s="1"/>
  <c r="M13" i="13"/>
  <c r="N13" i="13" s="1"/>
  <c r="O13" i="13" s="1"/>
  <c r="M17" i="13"/>
  <c r="N17" i="13" s="1"/>
  <c r="O17" i="13" s="1"/>
  <c r="I19" i="13"/>
  <c r="O19" i="13" s="1"/>
  <c r="I11" i="13"/>
  <c r="O11" i="13" s="1"/>
  <c r="I9" i="13"/>
  <c r="O9" i="13" s="1"/>
  <c r="I22" i="13"/>
  <c r="O22" i="13" s="1"/>
  <c r="I18" i="13"/>
  <c r="O18" i="13" s="1"/>
  <c r="I14" i="13"/>
  <c r="O14" i="13" s="1"/>
  <c r="I10" i="13"/>
  <c r="O10" i="13" s="1"/>
  <c r="M23" i="13"/>
  <c r="N23" i="13" s="1"/>
  <c r="O23" i="13" s="1"/>
  <c r="M15" i="13"/>
  <c r="N15" i="13" s="1"/>
  <c r="O15" i="13" s="1"/>
  <c r="O41" i="13" l="1"/>
  <c r="O124" i="13"/>
  <c r="O114" i="13"/>
  <c r="O118" i="13"/>
  <c r="O125" i="13"/>
  <c r="O123" i="13"/>
  <c r="O122" i="13"/>
  <c r="O119" i="13"/>
  <c r="O117" i="13"/>
  <c r="O115" i="13"/>
  <c r="O121" i="13"/>
  <c r="O116" i="13"/>
  <c r="O126" i="13"/>
  <c r="O120" i="13"/>
  <c r="C71" i="8"/>
  <c r="E71" i="8" s="1"/>
  <c r="C70" i="8"/>
  <c r="E70" i="8" s="1"/>
  <c r="C69" i="8"/>
  <c r="E69" i="8" s="1"/>
  <c r="C68" i="8"/>
  <c r="E68" i="8" s="1"/>
  <c r="C67" i="8"/>
  <c r="E67" i="8" s="1"/>
  <c r="C66" i="8"/>
  <c r="E66" i="8" s="1"/>
  <c r="C65" i="8"/>
  <c r="E65" i="8" s="1"/>
  <c r="C62" i="8"/>
  <c r="E62" i="8" s="1"/>
  <c r="C61" i="8"/>
  <c r="E61" i="8" s="1"/>
  <c r="C60" i="8"/>
  <c r="E60" i="8" s="1"/>
  <c r="C59" i="8"/>
  <c r="E59" i="8" s="1"/>
  <c r="C58" i="8"/>
  <c r="E58" i="8" s="1"/>
  <c r="C57" i="8"/>
  <c r="E57" i="8" s="1"/>
  <c r="C56" i="8"/>
  <c r="E56" i="8" s="1"/>
  <c r="C53" i="8"/>
  <c r="E53" i="8" s="1"/>
  <c r="C52" i="8"/>
  <c r="E52" i="8" s="1"/>
  <c r="C51" i="8"/>
  <c r="E51" i="8" s="1"/>
  <c r="C50" i="8"/>
  <c r="E50" i="8" s="1"/>
  <c r="C49" i="8"/>
  <c r="E49" i="8" s="1"/>
  <c r="C48" i="8"/>
  <c r="E48" i="8" s="1"/>
  <c r="C47" i="8"/>
  <c r="E47" i="8" s="1"/>
  <c r="C44" i="8"/>
  <c r="E44" i="8" s="1"/>
  <c r="C43" i="8"/>
  <c r="E43" i="8" s="1"/>
  <c r="C42" i="8"/>
  <c r="E42" i="8" s="1"/>
  <c r="C41" i="8"/>
  <c r="E41" i="8" s="1"/>
  <c r="C40" i="8"/>
  <c r="E40" i="8" s="1"/>
  <c r="C39" i="8"/>
  <c r="E39" i="8" s="1"/>
  <c r="C38" i="8"/>
  <c r="E38" i="8" s="1"/>
  <c r="C35" i="8"/>
  <c r="E35" i="8" s="1"/>
  <c r="C34" i="8"/>
  <c r="E34" i="8" s="1"/>
  <c r="C33" i="8"/>
  <c r="E33" i="8" s="1"/>
  <c r="C32" i="8"/>
  <c r="E32" i="8" s="1"/>
  <c r="C31" i="8"/>
  <c r="E31" i="8" s="1"/>
  <c r="C30" i="8"/>
  <c r="E30" i="8" s="1"/>
  <c r="C29" i="8"/>
  <c r="E29" i="8" s="1"/>
  <c r="E16" i="8"/>
  <c r="I16" i="8" s="1"/>
  <c r="E14" i="8"/>
  <c r="C77" i="1"/>
  <c r="E77" i="1" s="1"/>
  <c r="C76" i="1"/>
  <c r="E76" i="1" s="1"/>
  <c r="C75" i="1"/>
  <c r="E75" i="1" s="1"/>
  <c r="C74" i="1"/>
  <c r="E74" i="1" s="1"/>
  <c r="C73" i="1"/>
  <c r="E73" i="1" s="1"/>
  <c r="C63" i="1"/>
  <c r="E63" i="1" s="1"/>
  <c r="C62" i="1"/>
  <c r="E62" i="1" s="1"/>
  <c r="C61" i="1"/>
  <c r="E61" i="1" s="1"/>
  <c r="C60" i="1"/>
  <c r="E60" i="1" s="1"/>
  <c r="C59" i="1"/>
  <c r="E59" i="1" s="1"/>
  <c r="C49" i="1"/>
  <c r="E49" i="1" s="1"/>
  <c r="C48" i="1"/>
  <c r="E48" i="1" s="1"/>
  <c r="C47" i="1"/>
  <c r="E47" i="1" s="1"/>
  <c r="C46" i="1"/>
  <c r="E46" i="1" s="1"/>
  <c r="C45" i="1"/>
  <c r="E45" i="1" s="1"/>
  <c r="C42" i="1"/>
  <c r="E42" i="1" s="1"/>
  <c r="C41" i="1"/>
  <c r="E41" i="1" s="1"/>
  <c r="C40" i="1"/>
  <c r="E40" i="1" s="1"/>
  <c r="C39" i="1"/>
  <c r="E39" i="1" s="1"/>
  <c r="C38" i="1"/>
  <c r="E38" i="1" s="1"/>
  <c r="C35" i="1"/>
  <c r="E35" i="1" s="1"/>
  <c r="C34" i="1"/>
  <c r="E34" i="1" s="1"/>
  <c r="C33" i="1"/>
  <c r="E33" i="1" s="1"/>
  <c r="C32" i="1"/>
  <c r="E32" i="1" s="1"/>
  <c r="C31" i="1"/>
  <c r="E31" i="1" s="1"/>
  <c r="C27" i="1"/>
  <c r="E27" i="1" s="1"/>
  <c r="C26" i="1"/>
  <c r="E26" i="1" s="1"/>
  <c r="C25" i="1"/>
  <c r="E25" i="1" s="1"/>
  <c r="C24" i="1"/>
  <c r="E24" i="1" s="1"/>
  <c r="C21" i="1"/>
  <c r="E21" i="1" s="1"/>
  <c r="C20" i="1"/>
  <c r="E20" i="1" s="1"/>
  <c r="C19" i="1"/>
  <c r="E19" i="1" s="1"/>
  <c r="C18" i="1"/>
  <c r="E18" i="1" s="1"/>
  <c r="C17" i="1"/>
  <c r="E17" i="1" s="1"/>
  <c r="C14" i="1"/>
  <c r="C13" i="1"/>
  <c r="C12" i="1"/>
  <c r="C11" i="1"/>
  <c r="C10" i="1"/>
  <c r="E13" i="1" l="1"/>
  <c r="I13" i="1" s="1"/>
  <c r="E14" i="1"/>
  <c r="I14" i="1" s="1"/>
  <c r="E10" i="1"/>
  <c r="M10" i="1" s="1"/>
  <c r="N10" i="1" s="1"/>
  <c r="E11" i="1"/>
  <c r="M11" i="1" s="1"/>
  <c r="N11" i="1" s="1"/>
  <c r="E12" i="1"/>
  <c r="I12" i="1" s="1"/>
  <c r="I21" i="1"/>
  <c r="M21" i="1"/>
  <c r="N21" i="1" s="1"/>
  <c r="M34" i="1"/>
  <c r="N34" i="1" s="1"/>
  <c r="I34" i="1"/>
  <c r="M40" i="1"/>
  <c r="N40" i="1" s="1"/>
  <c r="I40" i="1"/>
  <c r="M59" i="1"/>
  <c r="N59" i="1" s="1"/>
  <c r="I59" i="1"/>
  <c r="M63" i="1"/>
  <c r="N63" i="1" s="1"/>
  <c r="I63" i="1"/>
  <c r="M18" i="1"/>
  <c r="N18" i="1" s="1"/>
  <c r="I18" i="1"/>
  <c r="M31" i="1"/>
  <c r="N31" i="1" s="1"/>
  <c r="I31" i="1"/>
  <c r="I41" i="1"/>
  <c r="M41" i="1"/>
  <c r="N41" i="1" s="1"/>
  <c r="M60" i="1"/>
  <c r="N60" i="1" s="1"/>
  <c r="I60" i="1"/>
  <c r="M77" i="1"/>
  <c r="N77" i="1" s="1"/>
  <c r="I77" i="1"/>
  <c r="M13" i="1"/>
  <c r="N13" i="1" s="1"/>
  <c r="M19" i="1"/>
  <c r="N19" i="1" s="1"/>
  <c r="I19" i="1"/>
  <c r="I25" i="1"/>
  <c r="M25" i="1"/>
  <c r="N25" i="1" s="1"/>
  <c r="I32" i="1"/>
  <c r="M32" i="1"/>
  <c r="N32" i="1" s="1"/>
  <c r="M38" i="1"/>
  <c r="N38" i="1" s="1"/>
  <c r="I38" i="1"/>
  <c r="M42" i="1"/>
  <c r="N42" i="1" s="1"/>
  <c r="I42" i="1"/>
  <c r="M48" i="1"/>
  <c r="N48" i="1" s="1"/>
  <c r="I48" i="1"/>
  <c r="I61" i="1"/>
  <c r="M61" i="1"/>
  <c r="N61" i="1" s="1"/>
  <c r="M74" i="1"/>
  <c r="N74" i="1" s="1"/>
  <c r="I74" i="1"/>
  <c r="M17" i="1"/>
  <c r="N17" i="1" s="1"/>
  <c r="I17" i="1"/>
  <c r="M27" i="1"/>
  <c r="N27" i="1" s="1"/>
  <c r="I27" i="1"/>
  <c r="M46" i="1"/>
  <c r="N46" i="1" s="1"/>
  <c r="I46" i="1"/>
  <c r="M76" i="1"/>
  <c r="N76" i="1" s="1"/>
  <c r="I76" i="1"/>
  <c r="M12" i="1"/>
  <c r="N12" i="1" s="1"/>
  <c r="I24" i="1"/>
  <c r="M24" i="1"/>
  <c r="N24" i="1" s="1"/>
  <c r="I35" i="1"/>
  <c r="M35" i="1"/>
  <c r="N35" i="1" s="1"/>
  <c r="M47" i="1"/>
  <c r="N47" i="1" s="1"/>
  <c r="I47" i="1"/>
  <c r="M73" i="1"/>
  <c r="N73" i="1" s="1"/>
  <c r="I73" i="1"/>
  <c r="M14" i="1"/>
  <c r="N14" i="1" s="1"/>
  <c r="M20" i="1"/>
  <c r="N20" i="1" s="1"/>
  <c r="I20" i="1"/>
  <c r="M26" i="1"/>
  <c r="N26" i="1" s="1"/>
  <c r="I26" i="1"/>
  <c r="M33" i="1"/>
  <c r="N33" i="1" s="1"/>
  <c r="I33" i="1"/>
  <c r="M39" i="1"/>
  <c r="N39" i="1" s="1"/>
  <c r="I39" i="1"/>
  <c r="I45" i="1"/>
  <c r="M45" i="1"/>
  <c r="N45" i="1" s="1"/>
  <c r="M49" i="1"/>
  <c r="N49" i="1" s="1"/>
  <c r="I49" i="1"/>
  <c r="M62" i="1"/>
  <c r="N62" i="1" s="1"/>
  <c r="I62" i="1"/>
  <c r="M75" i="1"/>
  <c r="N75" i="1" s="1"/>
  <c r="I75" i="1"/>
  <c r="M32" i="8"/>
  <c r="N32" i="8" s="1"/>
  <c r="I32" i="8"/>
  <c r="M48" i="8"/>
  <c r="N48" i="8" s="1"/>
  <c r="I48" i="8"/>
  <c r="M52" i="8"/>
  <c r="N52" i="8" s="1"/>
  <c r="I52" i="8"/>
  <c r="M68" i="8"/>
  <c r="N68" i="8" s="1"/>
  <c r="I68" i="8"/>
  <c r="I29" i="8"/>
  <c r="M29" i="8"/>
  <c r="N29" i="8" s="1"/>
  <c r="M33" i="8"/>
  <c r="N33" i="8" s="1"/>
  <c r="I33" i="8"/>
  <c r="M39" i="8"/>
  <c r="N39" i="8" s="1"/>
  <c r="I39" i="8"/>
  <c r="I43" i="8"/>
  <c r="M43" i="8"/>
  <c r="N43" i="8" s="1"/>
  <c r="M49" i="8"/>
  <c r="N49" i="8" s="1"/>
  <c r="I49" i="8"/>
  <c r="M53" i="8"/>
  <c r="N53" i="8" s="1"/>
  <c r="I53" i="8"/>
  <c r="I59" i="8"/>
  <c r="M59" i="8"/>
  <c r="N59" i="8" s="1"/>
  <c r="M65" i="8"/>
  <c r="N65" i="8" s="1"/>
  <c r="I65" i="8"/>
  <c r="M69" i="8"/>
  <c r="N69" i="8" s="1"/>
  <c r="I69" i="8"/>
  <c r="M38" i="8"/>
  <c r="N38" i="8" s="1"/>
  <c r="I38" i="8"/>
  <c r="M58" i="8"/>
  <c r="N58" i="8" s="1"/>
  <c r="I58" i="8"/>
  <c r="I30" i="8"/>
  <c r="M30" i="8"/>
  <c r="N30" i="8" s="1"/>
  <c r="I34" i="8"/>
  <c r="M34" i="8"/>
  <c r="N34" i="8" s="1"/>
  <c r="I40" i="8"/>
  <c r="M40" i="8"/>
  <c r="N40" i="8" s="1"/>
  <c r="I44" i="8"/>
  <c r="M44" i="8"/>
  <c r="N44" i="8" s="1"/>
  <c r="I50" i="8"/>
  <c r="M50" i="8"/>
  <c r="N50" i="8" s="1"/>
  <c r="I56" i="8"/>
  <c r="M56" i="8"/>
  <c r="N56" i="8" s="1"/>
  <c r="I60" i="8"/>
  <c r="M60" i="8"/>
  <c r="N60" i="8" s="1"/>
  <c r="I66" i="8"/>
  <c r="M66" i="8"/>
  <c r="N66" i="8" s="1"/>
  <c r="I70" i="8"/>
  <c r="M70" i="8"/>
  <c r="N70" i="8" s="1"/>
  <c r="M16" i="8"/>
  <c r="N16" i="8" s="1"/>
  <c r="M42" i="8"/>
  <c r="N42" i="8" s="1"/>
  <c r="I42" i="8"/>
  <c r="M62" i="8"/>
  <c r="N62" i="8" s="1"/>
  <c r="I62" i="8"/>
  <c r="I14" i="8"/>
  <c r="M14" i="8"/>
  <c r="N14" i="8" s="1"/>
  <c r="M31" i="8"/>
  <c r="N31" i="8" s="1"/>
  <c r="I31" i="8"/>
  <c r="M35" i="8"/>
  <c r="N35" i="8" s="1"/>
  <c r="I35" i="8"/>
  <c r="I41" i="8"/>
  <c r="M41" i="8"/>
  <c r="N41" i="8" s="1"/>
  <c r="M47" i="8"/>
  <c r="N47" i="8" s="1"/>
  <c r="I47" i="8"/>
  <c r="I51" i="8"/>
  <c r="M51" i="8"/>
  <c r="N51" i="8" s="1"/>
  <c r="M57" i="8"/>
  <c r="N57" i="8" s="1"/>
  <c r="I57" i="8"/>
  <c r="I61" i="8"/>
  <c r="M61" i="8"/>
  <c r="N61" i="8" s="1"/>
  <c r="M67" i="8"/>
  <c r="N67" i="8" s="1"/>
  <c r="I67" i="8"/>
  <c r="I71" i="8"/>
  <c r="M71" i="8"/>
  <c r="N71" i="8" s="1"/>
  <c r="I11" i="1" l="1"/>
  <c r="I10" i="1"/>
  <c r="O25" i="1"/>
  <c r="O61" i="8"/>
  <c r="O41" i="8"/>
  <c r="O14" i="8"/>
  <c r="O70" i="8"/>
  <c r="O50" i="8"/>
  <c r="O30" i="8"/>
  <c r="O34" i="8"/>
  <c r="O13" i="1"/>
  <c r="O38" i="8"/>
  <c r="O53" i="8"/>
  <c r="O33" i="8"/>
  <c r="O60" i="8"/>
  <c r="O40" i="8"/>
  <c r="O21" i="1"/>
  <c r="O16" i="8"/>
  <c r="O52" i="8"/>
  <c r="O65" i="8"/>
  <c r="O32" i="8"/>
  <c r="O59" i="8"/>
  <c r="O56" i="8"/>
  <c r="O31" i="8"/>
  <c r="O62" i="8"/>
  <c r="O29" i="8"/>
  <c r="O58" i="8"/>
  <c r="O68" i="8"/>
  <c r="O67" i="8"/>
  <c r="O47" i="8"/>
  <c r="O42" i="8"/>
  <c r="O69" i="8"/>
  <c r="O49" i="8"/>
  <c r="O48" i="8"/>
  <c r="O39" i="8"/>
  <c r="O57" i="8"/>
  <c r="O35" i="8"/>
  <c r="O43" i="8"/>
  <c r="O71" i="8"/>
  <c r="O51" i="8"/>
  <c r="O66" i="8"/>
  <c r="O44" i="8"/>
  <c r="O45" i="1"/>
  <c r="O24" i="1"/>
  <c r="O75" i="1"/>
  <c r="O49" i="1"/>
  <c r="O39" i="1"/>
  <c r="O26" i="1"/>
  <c r="O73" i="1"/>
  <c r="O12" i="1"/>
  <c r="O46" i="1"/>
  <c r="O17" i="1"/>
  <c r="O42" i="1"/>
  <c r="O19" i="1"/>
  <c r="O77" i="1"/>
  <c r="O18" i="1"/>
  <c r="O59" i="1"/>
  <c r="O34" i="1"/>
  <c r="O62" i="1"/>
  <c r="O33" i="1"/>
  <c r="O20" i="1"/>
  <c r="O10" i="1"/>
  <c r="O47" i="1"/>
  <c r="O76" i="1"/>
  <c r="O27" i="1"/>
  <c r="O74" i="1"/>
  <c r="O48" i="1"/>
  <c r="O38" i="1"/>
  <c r="O60" i="1"/>
  <c r="O31" i="1"/>
  <c r="O63" i="1"/>
  <c r="O40" i="1"/>
  <c r="O14" i="1"/>
  <c r="O35" i="1"/>
  <c r="O61" i="1"/>
  <c r="O32" i="1"/>
  <c r="O41" i="1"/>
  <c r="O11" i="1"/>
  <c r="C71" i="2"/>
  <c r="E71" i="2" s="1"/>
  <c r="C70" i="2"/>
  <c r="E70" i="2" s="1"/>
  <c r="C69" i="2"/>
  <c r="E69" i="2" s="1"/>
  <c r="C68" i="2"/>
  <c r="E68" i="2" s="1"/>
  <c r="C67" i="2"/>
  <c r="E67" i="2" s="1"/>
  <c r="C66" i="2"/>
  <c r="E66" i="2" s="1"/>
  <c r="C63" i="2"/>
  <c r="E63" i="2" s="1"/>
  <c r="C62" i="2"/>
  <c r="E62" i="2" s="1"/>
  <c r="C61" i="2"/>
  <c r="E61" i="2" s="1"/>
  <c r="C60" i="2"/>
  <c r="E60" i="2" s="1"/>
  <c r="C59" i="2"/>
  <c r="E59" i="2" s="1"/>
  <c r="C58" i="2"/>
  <c r="E58" i="2" s="1"/>
  <c r="C55" i="2"/>
  <c r="E55" i="2" s="1"/>
  <c r="C54" i="2"/>
  <c r="E54" i="2" s="1"/>
  <c r="C53" i="2"/>
  <c r="E53" i="2" s="1"/>
  <c r="C52" i="2"/>
  <c r="E52" i="2" s="1"/>
  <c r="C51" i="2"/>
  <c r="E51" i="2" s="1"/>
  <c r="C50" i="2"/>
  <c r="E50" i="2" s="1"/>
  <c r="E47" i="2"/>
  <c r="E46" i="2"/>
  <c r="E45" i="2"/>
  <c r="E44" i="2"/>
  <c r="E43" i="2"/>
  <c r="E42" i="2"/>
  <c r="C31" i="2"/>
  <c r="E31" i="2" s="1"/>
  <c r="C30" i="2"/>
  <c r="E30" i="2" s="1"/>
  <c r="C29" i="2"/>
  <c r="E29" i="2" s="1"/>
  <c r="C28" i="2"/>
  <c r="E28" i="2" s="1"/>
  <c r="C27" i="2"/>
  <c r="E27" i="2" s="1"/>
  <c r="C23" i="2"/>
  <c r="E23" i="2" s="1"/>
  <c r="I23" i="2" s="1"/>
  <c r="C22" i="2"/>
  <c r="E22" i="2" s="1"/>
  <c r="I22" i="2" s="1"/>
  <c r="C21" i="2"/>
  <c r="E21" i="2" s="1"/>
  <c r="I21" i="2" s="1"/>
  <c r="C20" i="2"/>
  <c r="E20" i="2" s="1"/>
  <c r="I20" i="2" s="1"/>
  <c r="E19" i="2"/>
  <c r="I19" i="2" s="1"/>
  <c r="C125" i="1"/>
  <c r="E125" i="1" s="1"/>
  <c r="C130" i="1"/>
  <c r="E130" i="1" s="1"/>
  <c r="C129" i="1"/>
  <c r="E129" i="1" s="1"/>
  <c r="C128" i="1"/>
  <c r="E128" i="1" s="1"/>
  <c r="C127" i="1"/>
  <c r="E127" i="1" s="1"/>
  <c r="C126" i="1"/>
  <c r="E126" i="1" s="1"/>
  <c r="M21" i="2" l="1"/>
  <c r="N21" i="2" s="1"/>
  <c r="M28" i="2"/>
  <c r="N28" i="2" s="1"/>
  <c r="I28" i="2"/>
  <c r="M42" i="2"/>
  <c r="N42" i="2" s="1"/>
  <c r="I42" i="2"/>
  <c r="M46" i="2"/>
  <c r="N46" i="2" s="1"/>
  <c r="I46" i="2"/>
  <c r="M52" i="2"/>
  <c r="N52" i="2" s="1"/>
  <c r="I52" i="2"/>
  <c r="M58" i="2"/>
  <c r="N58" i="2" s="1"/>
  <c r="I58" i="2"/>
  <c r="M62" i="2"/>
  <c r="N62" i="2" s="1"/>
  <c r="I62" i="2"/>
  <c r="M68" i="2"/>
  <c r="N68" i="2" s="1"/>
  <c r="I68" i="2"/>
  <c r="M22" i="2"/>
  <c r="N22" i="2" s="1"/>
  <c r="M29" i="2"/>
  <c r="N29" i="2" s="1"/>
  <c r="I29" i="2"/>
  <c r="M43" i="2"/>
  <c r="N43" i="2" s="1"/>
  <c r="I43" i="2"/>
  <c r="M47" i="2"/>
  <c r="N47" i="2" s="1"/>
  <c r="I47" i="2"/>
  <c r="M53" i="2"/>
  <c r="N53" i="2" s="1"/>
  <c r="I53" i="2"/>
  <c r="M59" i="2"/>
  <c r="N59" i="2" s="1"/>
  <c r="I59" i="2"/>
  <c r="M63" i="2"/>
  <c r="N63" i="2" s="1"/>
  <c r="I63" i="2"/>
  <c r="M69" i="2"/>
  <c r="N69" i="2" s="1"/>
  <c r="I69" i="2"/>
  <c r="M19" i="2"/>
  <c r="N19" i="2" s="1"/>
  <c r="M23" i="2"/>
  <c r="N23" i="2" s="1"/>
  <c r="M30" i="2"/>
  <c r="N30" i="2" s="1"/>
  <c r="I30" i="2"/>
  <c r="M44" i="2"/>
  <c r="N44" i="2" s="1"/>
  <c r="I44" i="2"/>
  <c r="M50" i="2"/>
  <c r="N50" i="2" s="1"/>
  <c r="I50" i="2"/>
  <c r="M54" i="2"/>
  <c r="N54" i="2" s="1"/>
  <c r="I54" i="2"/>
  <c r="M60" i="2"/>
  <c r="N60" i="2" s="1"/>
  <c r="I60" i="2"/>
  <c r="M66" i="2"/>
  <c r="N66" i="2" s="1"/>
  <c r="I66" i="2"/>
  <c r="I70" i="2"/>
  <c r="M70" i="2"/>
  <c r="N70" i="2" s="1"/>
  <c r="M20" i="2"/>
  <c r="N20" i="2" s="1"/>
  <c r="M27" i="2"/>
  <c r="N27" i="2" s="1"/>
  <c r="I27" i="2"/>
  <c r="M31" i="2"/>
  <c r="N31" i="2" s="1"/>
  <c r="I31" i="2"/>
  <c r="M45" i="2"/>
  <c r="N45" i="2" s="1"/>
  <c r="I45" i="2"/>
  <c r="M51" i="2"/>
  <c r="N51" i="2" s="1"/>
  <c r="I51" i="2"/>
  <c r="M55" i="2"/>
  <c r="N55" i="2" s="1"/>
  <c r="I55" i="2"/>
  <c r="M61" i="2"/>
  <c r="N61" i="2" s="1"/>
  <c r="I61" i="2"/>
  <c r="M67" i="2"/>
  <c r="N67" i="2" s="1"/>
  <c r="I67" i="2"/>
  <c r="M71" i="2"/>
  <c r="N71" i="2" s="1"/>
  <c r="I71" i="2"/>
  <c r="M125" i="1"/>
  <c r="N125" i="1" s="1"/>
  <c r="I125" i="1"/>
  <c r="M128" i="1"/>
  <c r="N128" i="1" s="1"/>
  <c r="I128" i="1"/>
  <c r="M129" i="1"/>
  <c r="N129" i="1" s="1"/>
  <c r="I129" i="1"/>
  <c r="M127" i="1"/>
  <c r="N127" i="1" s="1"/>
  <c r="I127" i="1"/>
  <c r="M126" i="1"/>
  <c r="N126" i="1" s="1"/>
  <c r="I126" i="1"/>
  <c r="M130" i="1"/>
  <c r="N130" i="1" s="1"/>
  <c r="I130" i="1"/>
  <c r="O67" i="2" l="1"/>
  <c r="O55" i="2"/>
  <c r="O45" i="2"/>
  <c r="O27" i="2"/>
  <c r="O60" i="2"/>
  <c r="O50" i="2"/>
  <c r="O30" i="2"/>
  <c r="O61" i="2"/>
  <c r="O31" i="2"/>
  <c r="O66" i="2"/>
  <c r="O44" i="2"/>
  <c r="O69" i="2"/>
  <c r="O29" i="2"/>
  <c r="O58" i="2"/>
  <c r="O28" i="2"/>
  <c r="O70" i="2"/>
  <c r="O71" i="2"/>
  <c r="O51" i="2"/>
  <c r="O20" i="2"/>
  <c r="O54" i="2"/>
  <c r="O23" i="2"/>
  <c r="O59" i="2"/>
  <c r="O47" i="2"/>
  <c r="O68" i="2"/>
  <c r="O46" i="2"/>
  <c r="O19" i="2"/>
  <c r="O63" i="2"/>
  <c r="O53" i="2"/>
  <c r="O43" i="2"/>
  <c r="O22" i="2"/>
  <c r="O62" i="2"/>
  <c r="O52" i="2"/>
  <c r="O42" i="2"/>
  <c r="O21" i="2"/>
  <c r="O130" i="1"/>
  <c r="O129" i="1"/>
  <c r="O125" i="1"/>
  <c r="O126" i="1"/>
  <c r="O127" i="1"/>
  <c r="O128" i="1"/>
</calcChain>
</file>

<file path=xl/sharedStrings.xml><?xml version="1.0" encoding="utf-8"?>
<sst xmlns="http://schemas.openxmlformats.org/spreadsheetml/2006/main" count="12659" uniqueCount="2635">
  <si>
    <t>C</t>
  </si>
  <si>
    <t>E</t>
  </si>
  <si>
    <t>4" SQ 1G PLSTR RING 5/8" RISE</t>
  </si>
  <si>
    <t>GROUND SCREW W/ INSUL #12 LEAD</t>
  </si>
  <si>
    <t>1G DUPLEX REC PLATE - PLASTIC IVY</t>
  </si>
  <si>
    <t>20A 125V DUP REC - IVY (SG)</t>
  </si>
  <si>
    <t>20A 125V DUP REC - ISO GRD ORG (SG)</t>
  </si>
  <si>
    <t>20A 125V DUP REC - GFCI IVY W/ AUDIBLE ALARM</t>
  </si>
  <si>
    <t>1G SINGLE REC PLATE - PLASTIC IVY</t>
  </si>
  <si>
    <t>20A 125V 3W SGL REC - BRN (SG)</t>
  </si>
  <si>
    <t>2x 20A 125V DUP REC FLUSH</t>
  </si>
  <si>
    <t>4" SQ 2G PLSTR RING 5/8" RISE</t>
  </si>
  <si>
    <t>2G DUPLEX REC PLATE - PLASTIC IVY</t>
  </si>
  <si>
    <t>2x 20A 125V IG  REC FLUSH</t>
  </si>
  <si>
    <t>#10x 1     P/H SELF-TAP SCREW</t>
  </si>
  <si>
    <t>1G DECOR WP PLATE - DEVICE MNT VERT - ALUM</t>
  </si>
  <si>
    <t>#8x   3/4 P/H SELF-TAP SCREW</t>
  </si>
  <si>
    <t>1G TGL SWITCH PLATE - PLASTIC IVY</t>
  </si>
  <si>
    <t>15A 120-277V S/P SW - TOGGLE IVY (SG)</t>
  </si>
  <si>
    <t>20A 120-277V 3/W SW - TOGGLE IVY (SG)</t>
  </si>
  <si>
    <t>2G TGL SWITCH PLATE - PLASTIC IVY</t>
  </si>
  <si>
    <t>15A 120-277V 3/W SW - TOGGLE IVY (SG)</t>
  </si>
  <si>
    <t>3G CONCENTRIC KO BOX</t>
  </si>
  <si>
    <t>3G BOX DEVICE COVER 3/4" RISE</t>
  </si>
  <si>
    <t>3G TGL SWITCH PLATE - PLASTIC IVY</t>
  </si>
  <si>
    <t>20A 120-277V S/P SW - TOGGLE IVY (SG)</t>
  </si>
  <si>
    <t>M</t>
  </si>
  <si>
    <t>WIRE CONN RED</t>
  </si>
  <si>
    <t>1/4-20 MACHINE SCREW ANCHOR</t>
  </si>
  <si>
    <t>WIRE CONN RED  (#16 TO #10)</t>
  </si>
  <si>
    <t xml:space="preserve">  9KVA 3PH 480V STEEL FLEX</t>
  </si>
  <si>
    <t>9KVA 3PH TRANSFORMER - GP - WALL MNT</t>
  </si>
  <si>
    <t xml:space="preserve"> 15KVA 3PH 480V STEEL FLEX</t>
  </si>
  <si>
    <t>WIRE CONN GRY  (#14 TO # 8)</t>
  </si>
  <si>
    <t>15KVA 3PH TRANSFORMER - GP - WALL MNT</t>
  </si>
  <si>
    <t xml:space="preserve"> 30KVA 3PH 480V STEEL FLEX</t>
  </si>
  <si>
    <t>1 1/4" FLEX - STEEL</t>
  </si>
  <si>
    <t>1 1/4" CONN FLEX DC SQUEEZE STRAIGHT</t>
  </si>
  <si>
    <t># 6 BARE COPPER -  7-STRAND</t>
  </si>
  <si>
    <t>COMPRESSION LUG - CU W/ 1- 13/64" HOLE - # 8 CU WIRE</t>
  </si>
  <si>
    <t>COMPRESSION LUG - CU W/ 1-  9/32" HOLE - # 2 CU WIRE</t>
  </si>
  <si>
    <t># 4 - #4/0 TO   1/2 - 1"     PIPE GRD CLAMP</t>
  </si>
  <si>
    <t>30KVA 3PH TRANSFORMER - GP - WALL MNT</t>
  </si>
  <si>
    <t xml:space="preserve"> 45KVA 3PH 480V STEEL FLEX</t>
  </si>
  <si>
    <t>1 1/2" FLEX - STEEL</t>
  </si>
  <si>
    <t>COMPRESSION LUG - CU W/ 1-  9/32" HOLE - # 4 CU WIRE</t>
  </si>
  <si>
    <t>COMPRESSION LUG - CU W/ 1-  9/32" HOLE - # 1 CU WIRE</t>
  </si>
  <si>
    <t>45KVA 3PH TRANSFORMER - GP - WALL MNT</t>
  </si>
  <si>
    <t xml:space="preserve"> 75KVA 3PH 480V STEEL FLEX</t>
  </si>
  <si>
    <t>2 1/2" FLEX - STEEL</t>
  </si>
  <si>
    <t>2 1/2" CONN FLEX DC SQUEEZE STRAIGHT</t>
  </si>
  <si>
    <t>COMPRESSION LUG - CU W/ 1- 13/32" HOLE - #4/0 CU WIRE</t>
  </si>
  <si>
    <t>75KVA 3PH TRANSFORMER - GP - FLOOR MNT</t>
  </si>
  <si>
    <t>112KVA 3PH 480V STEEL FLEX</t>
  </si>
  <si>
    <t>3 1/2" FLEX - STEEL</t>
  </si>
  <si>
    <t># 4 BARE COPPER -  7-STRAND</t>
  </si>
  <si>
    <t>COMPRESSION LUG - CU W/ 1- 13/32" HOLE - #2/0 CU WIRE</t>
  </si>
  <si>
    <t>COMPRESSION LUG - CU W/ 1-  9/16" HOLE - #500 CU WIRE</t>
  </si>
  <si>
    <t>3/8-16 MACHINE SCREW ANCHOR</t>
  </si>
  <si>
    <t>112KVA 3PH TRANSFORMER - GP - FLOOR MNT</t>
  </si>
  <si>
    <t>150KVA 3PH 480V STEEL FLEX</t>
  </si>
  <si>
    <t>150KVA 3PH TRANSFORMER - GP - FLOOR MNT</t>
  </si>
  <si>
    <t>225KVA 3PH 480V STEEL FLEX</t>
  </si>
  <si>
    <t># 2 BARE COPPER -  7-STRAND</t>
  </si>
  <si>
    <t>COMPRESSION LUG - CU W/ 1-  9/16" HOLE - #350 CU WIRE</t>
  </si>
  <si>
    <t># 4 - #4/0 TO 1 1/4 - 2"     PIPE GRD CLAMP</t>
  </si>
  <si>
    <t>225KVA 3PH TRANSFORMER - GP - FLOOR MNT</t>
  </si>
  <si>
    <t>300KVA 3PH 480V STEEL FLEX</t>
  </si>
  <si>
    <t>300KVA 3PH TRANSFORMER - GP - FLOOR MNT</t>
  </si>
  <si>
    <t xml:space="preserve">  9KVA 3PH 480V LT FLEX</t>
  </si>
  <si>
    <t xml:space="preserve"> 15KVA 3PH 480V LT FLEX</t>
  </si>
  <si>
    <t xml:space="preserve"> 30KVA 3PH 480V LT FLEX</t>
  </si>
  <si>
    <t>1 1/4" FLEX - LIQUIDTIGHT METALLIC - GRAY</t>
  </si>
  <si>
    <t>1 1/4" CONN STRAIGHT - LIQUIDTIGHT DIECAST</t>
  </si>
  <si>
    <t>1 1/4" CONN 90 DEG - LIQUIDTIGHT DIECAST</t>
  </si>
  <si>
    <t xml:space="preserve"> 45KVA 3PH 480V LT FLEX</t>
  </si>
  <si>
    <t>1 1/2" FLEX - LIQUIDTIGHT METALLIC - GRAY</t>
  </si>
  <si>
    <t>1 1/2" CONN STRAIGHT - LIQUIDTIGHT DIECAST</t>
  </si>
  <si>
    <t>1 1/2" CONN 90 DEG - LIQUIDTIGHT DIECAST</t>
  </si>
  <si>
    <t xml:space="preserve"> 75KVA 3PH 480V LT FLEX</t>
  </si>
  <si>
    <t>2 1/2" FLEX - LIQUIDTIGHT METALLIC - GRAY</t>
  </si>
  <si>
    <t>2 1/2" CONN STRAIGHT - LIQUIDTIGHT DIECAST</t>
  </si>
  <si>
    <t>2 1/2" CONN 90 DEG - LIQUIDTIGHT DIECAST</t>
  </si>
  <si>
    <t>112KVA 3PH 480V LT FLEX</t>
  </si>
  <si>
    <t>150KVA 3PH 480V LT FLEX</t>
  </si>
  <si>
    <t>225KVA 3PH 480V LT FLEX</t>
  </si>
  <si>
    <t>300KVA 3PH 480V LT FLEX</t>
  </si>
  <si>
    <t>3/8-16x 2 1/4 WEDGE ANCHOR - 1 1/2" MIN DEPTH</t>
  </si>
  <si>
    <t xml:space="preserve">  30A 600V FUS DSN NEMA 1</t>
  </si>
  <si>
    <t>30A 600V DSN SW FUSIBLE - NEMA  1</t>
  </si>
  <si>
    <t>30A FUSE 600V TIME DELAY CLASS RK5</t>
  </si>
  <si>
    <t xml:space="preserve">  60A 600V FUS DSN NEMA 1</t>
  </si>
  <si>
    <t>60A 600V DSN SW FUSIBLE - NEMA  1</t>
  </si>
  <si>
    <t>60A FUSE 600V TIME DELAY CLASS RK5</t>
  </si>
  <si>
    <t xml:space="preserve"> 100A 600V FUS DSN NEMA 1</t>
  </si>
  <si>
    <t>100A 600V DSN SW FUSIBLE - NEMA  1</t>
  </si>
  <si>
    <t>100A FUSE 600V TIME DELAY CLASS RK5</t>
  </si>
  <si>
    <t xml:space="preserve"> 200A 600V FUS DSN NEMA 1</t>
  </si>
  <si>
    <t>200A 600V DSN SW FUSIBLE - NEMA  1</t>
  </si>
  <si>
    <t>200A FUSE 600V TIME DELAY CLASS RK5</t>
  </si>
  <si>
    <t xml:space="preserve"> 400A 600V FUS DSN NEMA 1</t>
  </si>
  <si>
    <t>400A 600V DSN SW FUSIBLE - NEMA  1</t>
  </si>
  <si>
    <t>400A FUSE 600V TIME DELAY CLASS RK5</t>
  </si>
  <si>
    <t xml:space="preserve"> 600A 600V FUS DSN NEMA 1</t>
  </si>
  <si>
    <t>600A 600V DSN SW FUSIBLE - NEMA  1</t>
  </si>
  <si>
    <t>600A FUSE 600V TIME DELAY CLASS RK5</t>
  </si>
  <si>
    <t xml:space="preserve"> 800A 600V FUS DSN NEMA 1</t>
  </si>
  <si>
    <t>800A 600V DSN SW FUSIBLE - NEMA  1</t>
  </si>
  <si>
    <t>800A FUSE 600V ONE TIME HRC-L</t>
  </si>
  <si>
    <t>1200A 600V FUS DSN NEMA 1</t>
  </si>
  <si>
    <t>1200A 600V DSN SW FUSIBLE - NEMA  1</t>
  </si>
  <si>
    <t>1200A FUSE 600V ONE TIME HRC-L</t>
  </si>
  <si>
    <t xml:space="preserve">  30A  250/600V N/F DSN NEMA 1</t>
  </si>
  <si>
    <t>30A 250/600V DSN SW NON-FUS - NEMA  1</t>
  </si>
  <si>
    <t xml:space="preserve">  60A  250/600V N/F DSN NEMA 1</t>
  </si>
  <si>
    <t>60A 250/600V DSN SW NON-FUS - NEMA  1</t>
  </si>
  <si>
    <t xml:space="preserve"> 100A 250/600V N/F DSN NEMA 1</t>
  </si>
  <si>
    <t>100A 250/600V DSN SW NON-FUS - NEMA  1</t>
  </si>
  <si>
    <t xml:space="preserve"> 200A 250/600V N/F DSN NEMA 1</t>
  </si>
  <si>
    <t>200A 600V DSN SW NON-FUS - NEMA  1</t>
  </si>
  <si>
    <t xml:space="preserve"> 400A 250/600V N/F DSN NEMA 1</t>
  </si>
  <si>
    <t>400A 600V DSN SW NON-FUS - NEMA  1</t>
  </si>
  <si>
    <t xml:space="preserve">  30A  250/600V N/F DSN NEMA 3R</t>
  </si>
  <si>
    <t>30A 250/600V DSN SW NON-FUS - NEMA  3R</t>
  </si>
  <si>
    <t xml:space="preserve">  60A  250/600V N/F DSN NEMA 3R</t>
  </si>
  <si>
    <t>60A 250/600V DSN SW NON-FUS - NEMA  3R</t>
  </si>
  <si>
    <t xml:space="preserve"> 100A 250/600V N/F DSN NEMA 3R</t>
  </si>
  <si>
    <t>100A 250/600V DSN SW NON-FUS - NEMA  3R</t>
  </si>
  <si>
    <t xml:space="preserve"> 200A 250/600V N/F DSN NEMA 3R</t>
  </si>
  <si>
    <t>200A 600V DSN SW NON-FUS - NEMA  3R</t>
  </si>
  <si>
    <t xml:space="preserve">  30A   250V FUS DSN NEMA 1</t>
  </si>
  <si>
    <t>30A 250V DSN SW FUSIBLE - NEMA  1</t>
  </si>
  <si>
    <t>30A FUSE 250V TIME DELAY CLASS RK5</t>
  </si>
  <si>
    <t xml:space="preserve">  60A   250V FUS DSN NEMA 1</t>
  </si>
  <si>
    <t>60A 250V DSN SW FUSIBLE - NEMA  1</t>
  </si>
  <si>
    <t>60A FUSE 250V TIME DELAY CLASS RK5</t>
  </si>
  <si>
    <t xml:space="preserve"> 100A  250V FUS DSN NEMA 1</t>
  </si>
  <si>
    <t>100A 250V DSN SW FUSIBLE - NEMA  1</t>
  </si>
  <si>
    <t>100A FUSE 250V TIME DELAY CLASS RK5</t>
  </si>
  <si>
    <t xml:space="preserve"> 200A  250V FUS DSN NEMA 1</t>
  </si>
  <si>
    <t>200A 250V DSN SW FUSIBLE - NEMA  1</t>
  </si>
  <si>
    <t>200A FUSE 250V TIME DELAY CLASS RK5</t>
  </si>
  <si>
    <t xml:space="preserve"> 400A  250V FUS DSN NEMA 1</t>
  </si>
  <si>
    <t>400A 250V DSN SW FUSIBLE - NEMA  1</t>
  </si>
  <si>
    <t>400A FUSE 250V TIME DELAY CLASS RK5</t>
  </si>
  <si>
    <t xml:space="preserve"> 600A  250V FUS DSN NEMA 1</t>
  </si>
  <si>
    <t>600A 250V DSN SW FUSIBLE - NEMA  1</t>
  </si>
  <si>
    <t>600A FUSE 250V TIME DELAY CLASS RK5</t>
  </si>
  <si>
    <t xml:space="preserve"> 800A  250V FUS DSN NEMA 1</t>
  </si>
  <si>
    <t>800A 250V DSN SW FUSIBLE - NEMA  1</t>
  </si>
  <si>
    <t>1200A 250V FUS DSN NEMA 1</t>
  </si>
  <si>
    <t>1200A 250V DSN SW FUSIBLE - NEMA  1</t>
  </si>
  <si>
    <t>SWITCHES - FLUSH</t>
  </si>
  <si>
    <t>15A 125V DUP REC - IVY (SG)</t>
  </si>
  <si>
    <t>15A 125V DUP REC - ISO GRD ORG (SG)</t>
  </si>
  <si>
    <t>15A 125V DUP REC - GFCI IVY W/ AUDIBLE ALARM</t>
  </si>
  <si>
    <t>15A 125V 3W SGL REC - BRN (SG)</t>
  </si>
  <si>
    <t>FLUSH MOUNTED RECEPTACLES (4" SQ &amp; PR) 1G-2G</t>
  </si>
  <si>
    <t>FLUSH MOUNTED RECEPTACLES WEATHERPROOF</t>
  </si>
  <si>
    <t>15A 120-277V 4/W SW - TOGGLE IVY (SG)</t>
  </si>
  <si>
    <t>1x 15A 4/W SW FLUSH</t>
  </si>
  <si>
    <t>1x 15A 3/W SW FLUSH</t>
  </si>
  <si>
    <t>SWITCHES - FLUSH WEATHERPROOF</t>
  </si>
  <si>
    <t>1G VERT MNT STD DEPTH WP TOGGLE SW CVR</t>
  </si>
  <si>
    <t>1/2 OR 3/4" SNAP CLOSE CLIP - SIDE MNT TO MTL STUD SUPPORT</t>
  </si>
  <si>
    <t>4x 1 1/2" SQ BOX COMB KO W/ FLUSH MTL STUD BRKT</t>
  </si>
  <si>
    <t>#8x   1/2 WAFER HEAD SHEET MTL SCREW</t>
  </si>
  <si>
    <t>1G VOICE/DATA OUTLET ROUGH-IN  (3/4" EMT METAL STUD)</t>
  </si>
  <si>
    <t>2G VOICE/DATA OUTLET ROUGH-IN  (3/4" EMT METAL STUD)</t>
  </si>
  <si>
    <t>1G VOICE/DATA OUTLET ROUGH-IN  (1" EMT METAL STUD)</t>
  </si>
  <si>
    <t>1"     SNAP CLOSE CLIP - SIDE MNT TO MTL STUD SUPPORT</t>
  </si>
  <si>
    <t>2G VOICE/DATA OUTLET ROUGH-IN  (1" EMT METAL STUD)</t>
  </si>
  <si>
    <t>1/4x 1 1/2 LAG SCREW</t>
  </si>
  <si>
    <t>4'X 4' GIS PLYWOOD-FIRE RATED</t>
  </si>
  <si>
    <t>4'X 8' GIS PLYWOOD-FIRE RATED</t>
  </si>
  <si>
    <t>BACKBOARDS</t>
  </si>
  <si>
    <t>15A 1P BREAKER BOLT-ON</t>
  </si>
  <si>
    <t>15A 2P BREAKER BOLT-ON</t>
  </si>
  <si>
    <t>20A 2P BREAKER BOLT-ON</t>
  </si>
  <si>
    <t>20A 1P BREAKER BOLT-ON</t>
  </si>
  <si>
    <t>50A 2P BREAKER BOLT-ON</t>
  </si>
  <si>
    <t>30A 2P BREAKER BOLT-ON</t>
  </si>
  <si>
    <t>25A 1P BREAKER BOLT-ON</t>
  </si>
  <si>
    <t>30A 1P BREAKER BOLT-ON</t>
  </si>
  <si>
    <t>35A 1P BREAKER BOLT-ON</t>
  </si>
  <si>
    <t>40A 1P BREAKER BOLT-ON</t>
  </si>
  <si>
    <t>45A 1P BREAKER BOLT-ON</t>
  </si>
  <si>
    <t>50A 1P BREAKER BOLT-ON</t>
  </si>
  <si>
    <t>55A 1P BREAKER BOLT-ON</t>
  </si>
  <si>
    <t>60A 1P BREAKER BOLT-ON</t>
  </si>
  <si>
    <t>70A 1P BREAKER BOLT-ON</t>
  </si>
  <si>
    <t>15A 1P BREAKER BOLT-ON GFCI CLASS A 5mA</t>
  </si>
  <si>
    <t>20A 1P BREAKER BOLT-ON GFCI CLASS A 5mA</t>
  </si>
  <si>
    <t>25A 1P BREAKER BOLT-ON GFCI CLASS A 5mA</t>
  </si>
  <si>
    <t>30A 1P BREAKER BOLT-ON GFCI CLASS A 5mA</t>
  </si>
  <si>
    <t>15A 1P BREAKER BOLT-ON AFCI BRANCH/FEEDER</t>
  </si>
  <si>
    <t>20A 1P BREAKER BOLT-ON AFCI BRANCH/FEEDER</t>
  </si>
  <si>
    <t>25A 2P BREAKER BOLT-ON</t>
  </si>
  <si>
    <t>35A 2P BREAKER BOLT-ON</t>
  </si>
  <si>
    <t>40A 2P BREAKER BOLT-ON</t>
  </si>
  <si>
    <t>45A 2P BREAKER BOLT-ON</t>
  </si>
  <si>
    <t>60A 2P BREAKER BOLT-ON</t>
  </si>
  <si>
    <t>70A 2P BREAKER BOLT-ON</t>
  </si>
  <si>
    <t>80A 2P BREAKER BOLT-ON</t>
  </si>
  <si>
    <t>90A 2P BREAKER BOLT-ON</t>
  </si>
  <si>
    <t>100A 2P BREAKER BOLT-ON</t>
  </si>
  <si>
    <t>110A 2P BREAKER BOLT-ON</t>
  </si>
  <si>
    <t>125A 2P BREAKER BOLT-ON</t>
  </si>
  <si>
    <t>15A 2P BREAKER BOLT-ON GFCI CLASS A 5mA</t>
  </si>
  <si>
    <t>20A 2P BREAKER BOLT-ON GFCI CLASS A 5mA</t>
  </si>
  <si>
    <t>30A 2P BREAKER BOLT-ON GFCI CLASS A 5mA</t>
  </si>
  <si>
    <t>40A 2P BREAKER BOLT-ON GFCI CLASS A 5mA</t>
  </si>
  <si>
    <t>50A 2P BREAKER BOLT-ON GFCI CLASS A 5mA</t>
  </si>
  <si>
    <t>60A 2P BREAKER BOLT-ON GFCI CLASS A 5mA</t>
  </si>
  <si>
    <t>15A 2P BREAKER BOLT-ON AFCI BRANCH/FEEDER</t>
  </si>
  <si>
    <t>15A 3P BREAKER BOLT-ON</t>
  </si>
  <si>
    <t>20A 3P BREAKER BOLT-ON</t>
  </si>
  <si>
    <t>30A 3P BREAKER BOLT-ON</t>
  </si>
  <si>
    <t>40A 3P BREAKER BOLT-ON</t>
  </si>
  <si>
    <t>50A 3P BREAKER BOLT-ON</t>
  </si>
  <si>
    <t>60A 3P BREAKER BOLT-ON</t>
  </si>
  <si>
    <t>70A 3P BREAKER BOLT-ON</t>
  </si>
  <si>
    <t>90A 3P BREAKER BOLT-ON</t>
  </si>
  <si>
    <t>100A 3P BREAKER BOLT-ON</t>
  </si>
  <si>
    <t>15A 1P BREAKER PLUG-ON</t>
  </si>
  <si>
    <t>PLUG - ON BREAKERS</t>
  </si>
  <si>
    <t>20A 1P BREAKER PLUG-ON</t>
  </si>
  <si>
    <t xml:space="preserve">ONE POLE BREAKERS PLUG - ON  </t>
  </si>
  <si>
    <t>25A 1P BREAKER PLUG-ON</t>
  </si>
  <si>
    <t>30A 1P BREAKER PLUG-ON</t>
  </si>
  <si>
    <t>35A 1P BREAKER PLUG-ON</t>
  </si>
  <si>
    <t>40A 1P BREAKER PLUG-ON</t>
  </si>
  <si>
    <t>50A 1P BREAKER PLUG-ON</t>
  </si>
  <si>
    <t>60A 1P BREAKER PLUG-ON</t>
  </si>
  <si>
    <t>70A 1P BREAKER PLUG-ON</t>
  </si>
  <si>
    <t>15A 1P BREAKER PLUG-ON GFCI CLASS A 5mA</t>
  </si>
  <si>
    <t>20A 1P BREAKER PLUG-ON GFCI CLASS A 5mA</t>
  </si>
  <si>
    <t>25A 1P BREAKER PLUG-ON GFCI CLASS A 5mA</t>
  </si>
  <si>
    <t>30A 1P BREAKER PLUG-ON GFCI CLASS A 5mA</t>
  </si>
  <si>
    <t>15A 2P BREAKER PLUG-ON</t>
  </si>
  <si>
    <t xml:space="preserve">TWO POLE BREAKERS PLUG - ON  </t>
  </si>
  <si>
    <t>20A 2P BREAKER PLUG-ON</t>
  </si>
  <si>
    <t>25A 2P BREAKER PLUG-ON</t>
  </si>
  <si>
    <t>30A 2P BREAKER PLUG-ON</t>
  </si>
  <si>
    <t>35A 2P BREAKER PLUG-ON</t>
  </si>
  <si>
    <t>40A 2P BREAKER PLUG-ON</t>
  </si>
  <si>
    <t>45A 2P BREAKER PLUG-ON</t>
  </si>
  <si>
    <t>50A 2P BREAKER PLUG-ON</t>
  </si>
  <si>
    <t>60A 2P BREAKER PLUG-ON</t>
  </si>
  <si>
    <t>70A 2P BREAKER PLUG-ON</t>
  </si>
  <si>
    <t>80A 2P BREAKER PLUG-ON</t>
  </si>
  <si>
    <t>90A 2P BREAKER PLUG-ON</t>
  </si>
  <si>
    <t>100A 2P BREAKER PLUG-ON</t>
  </si>
  <si>
    <t>110A 2P BREAKER PLUG-ON</t>
  </si>
  <si>
    <t>125A 2P BREAKER PLUG-ON</t>
  </si>
  <si>
    <t>15A 2P BREAKER PLUG-ON GFCI CLASS A 5mA</t>
  </si>
  <si>
    <t>20A 2P BREAKER PLUG-ON GFCI CLASS A 5mA</t>
  </si>
  <si>
    <t>30A 2P BREAKER PLUG-ON GFCI CLASS A 5mA</t>
  </si>
  <si>
    <t>40A 2P BREAKER PLUG-ON GFCI CLASS A 5mA</t>
  </si>
  <si>
    <t>50A 2P BREAKER PLUG-ON GFCI CLASS A 5mA</t>
  </si>
  <si>
    <t>60A 2P BREAKER PLUG-ON GFCI CLASS A 5mA</t>
  </si>
  <si>
    <t>15A 3P BREAKER PLUG-ON</t>
  </si>
  <si>
    <t xml:space="preserve">THREE POLE BREAKERS PLUG - ON  </t>
  </si>
  <si>
    <t>20A 3P BREAKER PLUG-ON</t>
  </si>
  <si>
    <t>25A 3P BREAKER PLUG-ON</t>
  </si>
  <si>
    <t>30A 3P BREAKER PLUG-ON</t>
  </si>
  <si>
    <t>35A 3P BREAKER PLUG-ON</t>
  </si>
  <si>
    <t>40A 3P BREAKER PLUG-ON</t>
  </si>
  <si>
    <t>45A 3P BREAKER PLUG-ON</t>
  </si>
  <si>
    <t>50A 3P BREAKER PLUG-ON</t>
  </si>
  <si>
    <t>60A 3P BREAKER PLUG-ON</t>
  </si>
  <si>
    <t>70A 3P BREAKER PLUG-ON</t>
  </si>
  <si>
    <t>80A 3P BREAKER PLUG-ON</t>
  </si>
  <si>
    <t>90A 3P BREAKER PLUG-ON</t>
  </si>
  <si>
    <t>100A 3P BREAKER PLUG-ON</t>
  </si>
  <si>
    <t>BREAKERS ONE POLE BOLT ON</t>
  </si>
  <si>
    <t>BREAKERS TWO POLE BOLT ON</t>
  </si>
  <si>
    <t>BREAKERS THREE POLE BOLT ON</t>
  </si>
  <si>
    <t>WASTAGE</t>
  </si>
  <si>
    <t>QTY WITH
WASTAGE</t>
  </si>
  <si>
    <t>DESCRIPTION</t>
  </si>
  <si>
    <t>QUANTITY</t>
  </si>
  <si>
    <t>UNIT 
COST</t>
  </si>
  <si>
    <t>MATERIAL 
COST</t>
  </si>
  <si>
    <t>UNIT</t>
  </si>
  <si>
    <t>LABOR</t>
  </si>
  <si>
    <t>TOTAL HOURS</t>
  </si>
  <si>
    <t>VOICE/DATA OUTLET ROUGH-IN (1" EMT SURF MTD)</t>
  </si>
  <si>
    <t>ASL Col 2</t>
  </si>
  <si>
    <t>ASL Col 3</t>
  </si>
  <si>
    <t>NECA Normal</t>
  </si>
  <si>
    <t>NECA Difficult</t>
  </si>
  <si>
    <t>NECA Very Difficult</t>
  </si>
  <si>
    <t>30A 250V DSN SW FUSIBLE - NEMA  3R</t>
  </si>
  <si>
    <t>30A 250V DSN SW FUSIBLE - NEMA  4</t>
  </si>
  <si>
    <t>30A 250V DSN SW FUSIBLE - NEMA  4X</t>
  </si>
  <si>
    <t>30A 250V DSN SW FUSIBLE - NEMA  5</t>
  </si>
  <si>
    <t>30A 250V DSN SW FUSIBLE - NEMA  7</t>
  </si>
  <si>
    <t>30A 250V DSN SW FUSIBLE - NEMA  9</t>
  </si>
  <si>
    <t>30A 250V DSN SW FUSIBLE - NEMA 12</t>
  </si>
  <si>
    <t>30A 250V DSN SW FUSIBLE - NEMA 13</t>
  </si>
  <si>
    <t>30A 600V DSN SW FUSIBLE - NEMA  3R</t>
  </si>
  <si>
    <t>30A 600V DSN SW FUSIBLE - NEMA  4</t>
  </si>
  <si>
    <t>30A 600V DSN SW FUSIBLE - NEMA  4X</t>
  </si>
  <si>
    <t>30A 600V DSN SW FUSIBLE - NEMA  5</t>
  </si>
  <si>
    <t>30A 600V DSN SW FUSIBLE - NEMA  7</t>
  </si>
  <si>
    <t>30A 600V DSN SW FUSIBLE - NEMA  9</t>
  </si>
  <si>
    <t>30A 600V DSN SW FUSIBLE - NEMA 12</t>
  </si>
  <si>
    <t>30A 600V DSN SW FUSIBLE - NEMA 13</t>
  </si>
  <si>
    <t>60A 250V DSN SW FUSIBLE - NEMA  3R</t>
  </si>
  <si>
    <t>60A 250V DSN SW FUSIBLE - NEMA  4</t>
  </si>
  <si>
    <t>60A 250V DSN SW FUSIBLE - NEMA  4X</t>
  </si>
  <si>
    <t>60A 250V DSN SW FUSIBLE - NEMA  5</t>
  </si>
  <si>
    <t>60A 250V DSN SW FUSIBLE - NEMA  7</t>
  </si>
  <si>
    <t>60A 250V DSN SW FUSIBLE - NEMA  9</t>
  </si>
  <si>
    <t>60A 250V DSN SW FUSIBLE - NEMA 12</t>
  </si>
  <si>
    <t>60A 250V DSN SW FUSIBLE - NEMA 13</t>
  </si>
  <si>
    <t>60A 600V DSN SW FUSIBLE - NEMA  3R</t>
  </si>
  <si>
    <t>60A 600V DSN SW FUSIBLE - NEMA  4</t>
  </si>
  <si>
    <t>60A 600V DSN SW FUSIBLE - NEMA  4X</t>
  </si>
  <si>
    <t>60A 600V DSN SW FUSIBLE - NEMA  5</t>
  </si>
  <si>
    <t>60A 600V DSN SW FUSIBLE - NEMA  7</t>
  </si>
  <si>
    <t>60A 600V DSN SW FUSIBLE - NEMA  9</t>
  </si>
  <si>
    <t>60A 600V DSN SW FUSIBLE - NEMA 12</t>
  </si>
  <si>
    <t>60A 600V DSN SW FUSIBLE - NEMA 13</t>
  </si>
  <si>
    <t>100A 250V DSN SW FUSIBLE - NEMA  3R</t>
  </si>
  <si>
    <t>100A 250V DSN SW FUSIBLE - NEMA  4</t>
  </si>
  <si>
    <t>100A 250V DSN SW FUSIBLE - NEMA  4X</t>
  </si>
  <si>
    <t>100A 250V DSN SW FUSIBLE - NEMA  5</t>
  </si>
  <si>
    <t>100A 250V DSN SW FUSIBLE - NEMA  7</t>
  </si>
  <si>
    <t>100A 250V DSN SW FUSIBLE - NEMA  9</t>
  </si>
  <si>
    <t>100A 250V DSN SW FUSIBLE - NEMA 12</t>
  </si>
  <si>
    <t>100A 250V DSN SW FUSIBLE - NEMA 13</t>
  </si>
  <si>
    <t>100A 600V DSN SW FUSIBLE - NEMA  3R</t>
  </si>
  <si>
    <t>100A 600V DSN SW FUSIBLE - NEMA  4</t>
  </si>
  <si>
    <t>100A 600V DSN SW FUSIBLE - NEMA  4X</t>
  </si>
  <si>
    <t>100A 600V DSN SW FUSIBLE - NEMA  5</t>
  </si>
  <si>
    <t>100A 600V DSN SW FUSIBLE - NEMA  7</t>
  </si>
  <si>
    <t>100A 600V DSN SW FUSIBLE - NEMA  9</t>
  </si>
  <si>
    <t>100A 600V DSN SW FUSIBLE - NEMA 12</t>
  </si>
  <si>
    <t>100A 600V DSN SW FUSIBLE - NEMA 13</t>
  </si>
  <si>
    <t>200A 250V DSN SW FUSIBLE - NEMA  3R</t>
  </si>
  <si>
    <t>200A 250V DSN SW FUSIBLE - NEMA  4</t>
  </si>
  <si>
    <t>200A 250V DSN SW FUSIBLE - NEMA  4X</t>
  </si>
  <si>
    <t>200A 250V DSN SW FUSIBLE - NEMA  5</t>
  </si>
  <si>
    <t>200A 250V DSN SW FUSIBLE - NEMA  7</t>
  </si>
  <si>
    <t>200A 250V DSN SW FUSIBLE - NEMA  9</t>
  </si>
  <si>
    <t>200A 250V DSN SW FUSIBLE - NEMA 12</t>
  </si>
  <si>
    <t>200A 250V DSN SW FUSIBLE - NEMA 13</t>
  </si>
  <si>
    <t>200A 600V DSN SW FUSIBLE - NEMA  3R</t>
  </si>
  <si>
    <t>200A 600V DSN SW FUSIBLE - NEMA  4</t>
  </si>
  <si>
    <t>200A 600V DSN SW FUSIBLE - NEMA  4X</t>
  </si>
  <si>
    <t>200A 600V DSN SW FUSIBLE - NEMA  5</t>
  </si>
  <si>
    <t>200A 600V DSN SW FUSIBLE - NEMA  7</t>
  </si>
  <si>
    <t>200A 600V DSN SW FUSIBLE - NEMA  9</t>
  </si>
  <si>
    <t>200A 600V DSN SW FUSIBLE - NEMA 12</t>
  </si>
  <si>
    <t>200A 600V DSN SW FUSIBLE - NEMA 13</t>
  </si>
  <si>
    <t>400A 250V DSN SW FUSIBLE - NEMA  3R</t>
  </si>
  <si>
    <t>400A 250V DSN SW FUSIBLE - NEMA  4</t>
  </si>
  <si>
    <t>400A 250V DSN SW FUSIBLE - NEMA  4X</t>
  </si>
  <si>
    <t>400A 250V DSN SW FUSIBLE - NEMA  5</t>
  </si>
  <si>
    <t>400A 250V DSN SW FUSIBLE - NEMA  7</t>
  </si>
  <si>
    <t>400A 250V DSN SW FUSIBLE - NEMA  9</t>
  </si>
  <si>
    <t>400A 250V DSN SW FUSIBLE - NEMA 12</t>
  </si>
  <si>
    <t>400A 250V DSN SW FUSIBLE - NEMA 13</t>
  </si>
  <si>
    <t>400A 600V DSN SW FUSIBLE - NEMA  3R</t>
  </si>
  <si>
    <t>400A 600V DSN SW FUSIBLE - NEMA  4</t>
  </si>
  <si>
    <t>400A 600V DSN SW FUSIBLE - NEMA  4X</t>
  </si>
  <si>
    <t>400A 600V DSN SW FUSIBLE - NEMA  5</t>
  </si>
  <si>
    <t>400A 600V DSN SW FUSIBLE - NEMA  7</t>
  </si>
  <si>
    <t>400A 600V DSN SW FUSIBLE - NEMA  9</t>
  </si>
  <si>
    <t>400A 600V DSN SW FUSIBLE - NEMA 12</t>
  </si>
  <si>
    <t>400A 600V DSN SW FUSIBLE - NEMA 13</t>
  </si>
  <si>
    <t>600A 250V DSN SW FUSIBLE - NEMA 3</t>
  </si>
  <si>
    <t>600A 250V DSN SW FUSIBLE - NEMA  4</t>
  </si>
  <si>
    <t>600A 250V DSN SW FUSIBLE - NEMA  4X</t>
  </si>
  <si>
    <t>600A 250V DSN SW FUSIBLE - NEMA  5</t>
  </si>
  <si>
    <t>600A 250V DSN SW FUSIBLE - NEMA  7</t>
  </si>
  <si>
    <t>600A 250V DSN SW FUSIBLE - NEMA  9</t>
  </si>
  <si>
    <t>600A 250V DSN SW FUSIBLE - NEMA 12</t>
  </si>
  <si>
    <t>600A 250V DSN SW FUSIBLE - NEMA 13</t>
  </si>
  <si>
    <t>600A 600V DSN SW FUSIBLE - NEMA  3R</t>
  </si>
  <si>
    <t>600A 600V DSN SW FUSIBLE - NEMA  4</t>
  </si>
  <si>
    <t>600A 600V DSN SW FUSIBLE - NEMA  4X</t>
  </si>
  <si>
    <t>600A 600V DSN SW FUSIBLE - NEMA  5</t>
  </si>
  <si>
    <t>600A 600V DSN SW FUSIBLE - NEMA  7</t>
  </si>
  <si>
    <t>600A 600V DSN SW FUSIBLE - NEMA  9</t>
  </si>
  <si>
    <t>600A 600V DSN SW FUSIBLE - NEMA 12</t>
  </si>
  <si>
    <t>600A 600V DSN SW FUSIBLE - NEMA 13</t>
  </si>
  <si>
    <t>800A 250V DSN SW FUSIBLE - NEMA 3</t>
  </si>
  <si>
    <t>800A 250V DSN SW FUSIBLE - NEMA  4</t>
  </si>
  <si>
    <t>800A 250V DSN SW FUSIBLE - NEMA  4X</t>
  </si>
  <si>
    <t>800A 250V DSN SW FUSIBLE - NEMA  5</t>
  </si>
  <si>
    <t>800A 250V DSN SW FUSIBLE - NEMA  7</t>
  </si>
  <si>
    <t>800A 250V DSN SW FUSIBLE - NEMA  9</t>
  </si>
  <si>
    <t>800A 250V DSN SW FUSIBLE - NEMA 12</t>
  </si>
  <si>
    <t>800A 250V DSN SW FUSIBLE - NEMA 13</t>
  </si>
  <si>
    <t>800A 600V DSN SW FUSIBLE - NEMA 3</t>
  </si>
  <si>
    <t>800A 600V DSN SW FUSIBLE - NEMA  4</t>
  </si>
  <si>
    <t>800A 600V DSN SW FUSIBLE - NEMA  4X</t>
  </si>
  <si>
    <t>800A 600V DSN SW FUSIBLE - NEMA  5</t>
  </si>
  <si>
    <t>800A 600V DSN SW FUSIBLE - NEMA  7</t>
  </si>
  <si>
    <t>800A 600V DSN SW FUSIBLE - NEMA  9</t>
  </si>
  <si>
    <t>800A 600V DSN SW FUSIBLE - NEMA 12</t>
  </si>
  <si>
    <t>800A 600V DSN SW FUSIBLE - NEMA 13</t>
  </si>
  <si>
    <t>1200A 250V DSN SW FUSIBLE - NEMA 3</t>
  </si>
  <si>
    <t>1200A 250V DSN SW FUSIBLE - NEMA  4</t>
  </si>
  <si>
    <t>1200A 250V DSN SW FUSIBLE - NEMA  4X</t>
  </si>
  <si>
    <t>1200A 250V DSN SW FUSIBLE - NEMA  5</t>
  </si>
  <si>
    <t>1200A 250V DSN SW FUSIBLE - NEMA  7</t>
  </si>
  <si>
    <t>1200A 250V DSN SW FUSIBLE - NEMA  9</t>
  </si>
  <si>
    <t>1200A 250V DSN SW FUSIBLE - NEMA 12</t>
  </si>
  <si>
    <t>1200A 250V DSN SW FUSIBLE - NEMA 13</t>
  </si>
  <si>
    <t>1200A 600V DSN SW FUSIBLE - NEMA  3</t>
  </si>
  <si>
    <t>1200A 600V DSN SW FUSIBLE - NEMA  4</t>
  </si>
  <si>
    <t>1200A 600V DSN SW FUSIBLE - NEMA  4X</t>
  </si>
  <si>
    <t>1200A 600V DSN SW FUSIBLE - NEMA  5</t>
  </si>
  <si>
    <t>1200A 600V DSN SW FUSIBLE - NEMA  7</t>
  </si>
  <si>
    <t>1200A 600V DSN SW FUSIBLE - NEMA  9</t>
  </si>
  <si>
    <t>1200A 600V DSN SW FUSIBLE - NEMA 12</t>
  </si>
  <si>
    <t>1200A 600V DSN SW FUSIBLE - NEMA 13</t>
  </si>
  <si>
    <t>30A 250/600V DSN SW NON-FUS - NEMA  4</t>
  </si>
  <si>
    <t>30A 250/600V DSN SW NON-FUS - NEMA  4X</t>
  </si>
  <si>
    <t>30A 250/600V DSN SW NON-FUS - NEMA  5</t>
  </si>
  <si>
    <t>30A 250/600V DSN SW NON-FUS - NEMA  7</t>
  </si>
  <si>
    <t>30A 250/600V DSN SW NON-FUS - NEMA  9</t>
  </si>
  <si>
    <t>30A 250/600V DSN SW NON-FUS - NEMA 12</t>
  </si>
  <si>
    <t>30A 250/600V DSN SW NON-FUS - NEMA 13</t>
  </si>
  <si>
    <t>60A 250/600V DSN SW NON-FUS - NEMA  4</t>
  </si>
  <si>
    <t>60A 250/600V DSN SW NON-FUS - NEMA  4X</t>
  </si>
  <si>
    <t>60A 250/600V DSN SW NON-FUS - NEMA  5</t>
  </si>
  <si>
    <t>60A 250/600V DSN SW NON-FUS - NEMA  7</t>
  </si>
  <si>
    <t>60A 250/600V DSN SW NON-FUS - NEMA  9</t>
  </si>
  <si>
    <t>60A 250/600V DSN SW NON-FUS - NEMA 12</t>
  </si>
  <si>
    <t>60A 250/600V DSN SW NON-FUS - NEMA 13</t>
  </si>
  <si>
    <t>100A 250/600V DSN SW NON-FUS - NEMA  4</t>
  </si>
  <si>
    <t>100A 250/600V DSN SW NON-FUS - NEMA  4X</t>
  </si>
  <si>
    <t>100A 250/600V DSN SW NON-FUS - NEMA  5</t>
  </si>
  <si>
    <t>100A 250/600V DSN SW NON-FUS - NEMA  7</t>
  </si>
  <si>
    <t>100A 250/600V DSN SW NON-FUS - NEMA  9</t>
  </si>
  <si>
    <t>100A 250/600V DSN SW NON-FUS - NEMA 12</t>
  </si>
  <si>
    <t>100A 250/600V DSN SW NON-FUS - NEMA 13</t>
  </si>
  <si>
    <t>200A 600V DSN SW NON-FUS - NEMA  4</t>
  </si>
  <si>
    <t>200A 600V DSN SW NON-FUS - NEMA  4X</t>
  </si>
  <si>
    <t>200A 600V DSN SW NON-FUS - NEMA  5</t>
  </si>
  <si>
    <t>200A 600V DSN SW NON-FUS - NEMA  7</t>
  </si>
  <si>
    <t>200A 600V DSN SW NON-FUS - NEMA  9</t>
  </si>
  <si>
    <t>200A 600V DSN SW NON-FUS - NEMA 12</t>
  </si>
  <si>
    <t>200A 600V DSN SW NON-FUS - NEMA 13</t>
  </si>
  <si>
    <t>400A 600V DSN SW NON-FUS - NEMA  3R</t>
  </si>
  <si>
    <t>400A 600V DSN SW NON-FUS - NEMA  4</t>
  </si>
  <si>
    <t>400A 600V DSN SW NON-FUS - NEMA  4X</t>
  </si>
  <si>
    <t>400A 600V DSN SW NON-FUS - NEMA  5</t>
  </si>
  <si>
    <t>400A 600V DSN SW NON-FUS - NEMA  7</t>
  </si>
  <si>
    <t>400A 600V DSN SW NON-FUS - NEMA  9</t>
  </si>
  <si>
    <t>400A 600V DSN SW NON-FUS - NEMA 12</t>
  </si>
  <si>
    <t>400A 600V DSN SW NON-FUS - NEMA 13</t>
  </si>
  <si>
    <t>600A 600V DSN SW NON-FUS - NEMA  1</t>
  </si>
  <si>
    <t>600A 600V DSN SW NON-FUS - NEMA  3R</t>
  </si>
  <si>
    <t>600A 600V DSN SW NON-FUS - NEMA  4</t>
  </si>
  <si>
    <t>600A 600V DSN SW NON-FUS - NEMA  4X</t>
  </si>
  <si>
    <t>600A 600V DSN SW NON-FUS - NEMA  5</t>
  </si>
  <si>
    <t>600A 600V DSN SW NON-FUS - NEMA  7</t>
  </si>
  <si>
    <t>600A 600V DSN SW NON-FUS - NEMA  9</t>
  </si>
  <si>
    <t>600A 600V DSN SW NON-FUS - NEMA 12</t>
  </si>
  <si>
    <t>600A 600V DSN SW NON-FUS - NEMA 13</t>
  </si>
  <si>
    <t>800A 600V DSN SW NON-FUS - NEMA  1</t>
  </si>
  <si>
    <t>800A 600V DSN SW NON-FUS - NEMA  3R</t>
  </si>
  <si>
    <t>800A 600V DSN SW NON-FUS - NEMA  4</t>
  </si>
  <si>
    <t>800A 600V DSN SW NON-FUS - NEMA  4X</t>
  </si>
  <si>
    <t>800A 600V DSN SW NON-FUS - NEMA  5</t>
  </si>
  <si>
    <t>800A 600V DSN SW NON-FUS - NEMA  7</t>
  </si>
  <si>
    <t>800A 600V DSN SW NON-FUS - NEMA  9</t>
  </si>
  <si>
    <t>800A 600V DSN SW NON-FUS - NEMA 12</t>
  </si>
  <si>
    <t>800A 600V DSN SW NON-FUS - NEMA 13</t>
  </si>
  <si>
    <t>1200A 600V DSN SW NON-FUS - NEMA  1</t>
  </si>
  <si>
    <t>1200A 600V DSN SW NON-FUS - NEMA  3R</t>
  </si>
  <si>
    <t>1200A 600V DSN SW NON-FUS - NEMA  4</t>
  </si>
  <si>
    <t>1200A 600V DSN SW NON-FUS - NEMA  4X</t>
  </si>
  <si>
    <t>1200A 600V DSN SW NON-FUS - NEMA  5</t>
  </si>
  <si>
    <t>1200A 600V DSN SW NON-FUS - NEMA  7</t>
  </si>
  <si>
    <t>1200A 600V DSN SW NON-FUS - NEMA  9</t>
  </si>
  <si>
    <t>1200A 600V DSN SW NON-FUS - NEMA 12</t>
  </si>
  <si>
    <t>1200A 600V DSN SW NON-FUS - NEMA 13</t>
  </si>
  <si>
    <t>DSN SWITCH 30-60A NEUTRAL BAR</t>
  </si>
  <si>
    <t>DSN SWITCH  100A NEUTRAL BAR</t>
  </si>
  <si>
    <t>DSN SWITCH  200A NEUTRAL BAR</t>
  </si>
  <si>
    <t>DSN SWITCH  400A NEUTRAL BAR</t>
  </si>
  <si>
    <t>DSN SWITCH  600A NEUTRAL BAR</t>
  </si>
  <si>
    <t>DSN SWITCH  800A NEUTRAL BAR</t>
  </si>
  <si>
    <t>DSN SWITCH 1200A NEUTRAL BAR</t>
  </si>
  <si>
    <t>DSN SWITCH  STORAGE</t>
  </si>
  <si>
    <t>DSN SWITCH  RECEIVE  AND UNLOAD</t>
  </si>
  <si>
    <t>DSN SWITCH  PUT INTO PLACE</t>
  </si>
  <si>
    <t>DSN SWITCH  TESTING</t>
  </si>
  <si>
    <t>DSN SWITCH  COMMISSIONING</t>
  </si>
  <si>
    <t>DSN SWITCH  RELOCATION</t>
  </si>
  <si>
    <t>30A 120V 1P+SN GP FUSIBLE DSN SW</t>
  </si>
  <si>
    <t>30A 250V 2P+SN GP FUSIBLE DSN SW</t>
  </si>
  <si>
    <t>60A 250V 2P+SN GP FUSIBLE DSN SW</t>
  </si>
  <si>
    <t>100A 250V 2P+SN GP FUSIBLE DSN SW</t>
  </si>
  <si>
    <t>200A 250V 2P+SN GP FUSIBLE DSN SW</t>
  </si>
  <si>
    <t>400A 250V 2P+SN GP FUSIBLE DSN SW</t>
  </si>
  <si>
    <t>600A 250V 2P+SN GP FUSIBLE DSN SW</t>
  </si>
  <si>
    <t>30A 250V 3P+SN GP FUSIBLE DSN SW</t>
  </si>
  <si>
    <t>60A 250V 3P+SN GP FUSIBLE DSN SW</t>
  </si>
  <si>
    <t>100A 250V 3P+SN GP FUSIBLE DSN SW</t>
  </si>
  <si>
    <t>200A 250V 3P+SN GP FUSIBLE DSN SW</t>
  </si>
  <si>
    <t>400A 250V 3P+SN GP FUSIBLE DSN SW</t>
  </si>
  <si>
    <t>600A 250V 3P+SN GP FUSIBLE DSN SW</t>
  </si>
  <si>
    <t>30A 600V 2P NON-FUS WP HVAC DSN SW</t>
  </si>
  <si>
    <t>30A 600V 3P NON-FUS WP HVAC DSN SW</t>
  </si>
  <si>
    <t>60A 600V 2P NON-FUS WP HVAC DSN SW</t>
  </si>
  <si>
    <t>60A 600V 3P NON-FUS WP HVAC DSN SW</t>
  </si>
  <si>
    <t>30A 250V 2PDT NON-FUS SW NEMA  1</t>
  </si>
  <si>
    <t>60A 250V 2PDT NON-FUS SW NEMA  1</t>
  </si>
  <si>
    <t>100A 250V 2PDT NON-FUS SW NEMA  1</t>
  </si>
  <si>
    <t>200A 250V 2PDT NON-FUS SW NEMA  1</t>
  </si>
  <si>
    <t>400A 250V 2PDT NON-FUS SW NEMA  1</t>
  </si>
  <si>
    <t>30A 250V 3PDT NON-FUS SW NEMA  1</t>
  </si>
  <si>
    <t>60A 250V 3PDT NON-FUS SW NEMA  1</t>
  </si>
  <si>
    <t>100A 250V 3PDT NON-FUS SW NEMA  1</t>
  </si>
  <si>
    <t>200A 250V 3PDT NON-FUS SW NEMA  1</t>
  </si>
  <si>
    <t>400A 250V 3PDT NON-FUS SW NEMA  1</t>
  </si>
  <si>
    <t>600A 250V 3PDT NON-FUS SW NEMA  1</t>
  </si>
  <si>
    <t>30A 600V 3PDT NON-FUS SW NEMA  1</t>
  </si>
  <si>
    <t>60A 600V 3PDT NON-FUS SW NEMA  1</t>
  </si>
  <si>
    <t>100A 600V 3PDT NON-FUS SW NEMA  1</t>
  </si>
  <si>
    <t>200A 600V 3PDT NON-FUS SW NEMA  1</t>
  </si>
  <si>
    <t>400A 600V 3PDT NON-FUS SW NEMA  1</t>
  </si>
  <si>
    <t>600A 600V 3PDT NON-FUS SW NEMA  1</t>
  </si>
  <si>
    <t>2KVA 3PH TRANSFORMER - GP - WALL MNT</t>
  </si>
  <si>
    <t>3KVA 3PH TRANSFORMER - GP - WALL MNT</t>
  </si>
  <si>
    <t>6KVA 3PH TRANSFORMER - GP - WALL MNT</t>
  </si>
  <si>
    <t>15KVA 3PH TRANSFORMER - GP - FLOOR MNT</t>
  </si>
  <si>
    <t>30KVA 3PH TRANSFORMER - GP - FLOOR MNT</t>
  </si>
  <si>
    <t>45KVA 3PH TRANSFORMER - GP - FLOOR MNT</t>
  </si>
  <si>
    <t>400KVA 3PH TRANSFORMER - GP - FLOOR MNT</t>
  </si>
  <si>
    <t>450KVA 3PH TRANSFORMER - GP - FLOOR MNT</t>
  </si>
  <si>
    <t>500KVA 3PH TRANSFORMER - GP - FLOOR MNT</t>
  </si>
  <si>
    <t>600KVA 3PH TRANSFORMER - GP - FLOOR MNT</t>
  </si>
  <si>
    <t>750KVA 3PH TRANSFORMER - GP - FLOOR MNT</t>
  </si>
  <si>
    <t>1000KVA 3PH TRANSFORMER - GP - FLOOR MNT</t>
  </si>
  <si>
    <t>1500KVA 3PH TRANSFORMER - GP - FLOOR MNT</t>
  </si>
  <si>
    <t>2000KVA 3PH TRANSFORMER - GP - FLOOR MNT</t>
  </si>
  <si>
    <t>6KVA 3PH TRANSFORMER - K-RATED - WALL MNT</t>
  </si>
  <si>
    <t>9KVA 3PH TRANSFORMER - K-RATED - WALL MNT</t>
  </si>
  <si>
    <t>15KVA 3PH TRANSFORMER - K-RATED - WALL MNT</t>
  </si>
  <si>
    <t>30KVA 3PH TRANSFORMER - K-RATED - WALL MNT</t>
  </si>
  <si>
    <t>45KVA 3PH TRANSFORMER - K-RATED - WALL MNT</t>
  </si>
  <si>
    <t>15KVA 3PH TRANSFORMER - K-RATED - FLOOR MNT</t>
  </si>
  <si>
    <t>30KVA 3PH TRANSFORMER - K-RATED - FLOOR MNT</t>
  </si>
  <si>
    <t>45KVA 3PH TRANSFORMER - K-RATED - FLOOR MNT</t>
  </si>
  <si>
    <t>75KVA 3PH TRANSFORMER - K-RATED - FLOOR MNT</t>
  </si>
  <si>
    <t>112KVA 3PH TRANSFORMER - K-RATED - FLOOR MNT</t>
  </si>
  <si>
    <t>150KVA 3PH TRANSFORMER - K-RATED - FLOOR MNT</t>
  </si>
  <si>
    <t>225KVA 3PH TRANSFORMER - K-RATED - FLOOR MNT</t>
  </si>
  <si>
    <t>300KVA 3PH TRANSFORMER - K-RATED - FLOOR MNT</t>
  </si>
  <si>
    <t>400KVA 3PH TRANSFORMER - K-RATED - FLOOR MNT</t>
  </si>
  <si>
    <t>450KVA 3PH TRANSFORMER - K-RATED - FLOOR MNT</t>
  </si>
  <si>
    <t>500KVA 3PH TRANSFORMER - K-RATED - FLOOR MNT</t>
  </si>
  <si>
    <t>600KVA 3PH TRANSFORMER - K-RATED - FLOOR MNT</t>
  </si>
  <si>
    <t>750KVA 3PH TRANSFORMER - K-RATED - FLOOR MNT</t>
  </si>
  <si>
    <t>15KVA 3PH TRANSFORMER - ISOLATION - FLOOR MNT</t>
  </si>
  <si>
    <t>25KVA 3PH TRANSFORMER - ISOLATION - FLOOR MNT</t>
  </si>
  <si>
    <t>50KVA 3PH TRANSFORMER - ISOLATION - FLOOR MNT</t>
  </si>
  <si>
    <t>75KVA 3PH TRANSFORMER - ISOLATION - FLOOR MNT</t>
  </si>
  <si>
    <t>100KVA 3PH TRANSFORMER - ISOLATION - FLOOR MNT</t>
  </si>
  <si>
    <t>125KVA 3PH TRANSFORMER - ISOLATION - FLOOR MNT</t>
  </si>
  <si>
    <t>150KVA 3PH TRANSFORMER - ISOLATION - FLOOR MNT</t>
  </si>
  <si>
    <t>175KVA 3PH TRANSFORMER - ISOLATION - FLOOR MNT</t>
  </si>
  <si>
    <t>200KVA 3PH TRANSFORMER - ISOLATION - FLOOR MNT</t>
  </si>
  <si>
    <t>225KVA 3PH TRANSFORMER - ISOLATION - FLOOR MNT</t>
  </si>
  <si>
    <t>250KVA 3PH TRANSFORMER - ISOLATION - FLOOR MNT</t>
  </si>
  <si>
    <t>275KVA 3PH TRANSFORMER - ISOLATION - FLOOR MNT</t>
  </si>
  <si>
    <t>300KVA 3PH TRANSFORMER - ISOLATION - FLOOR MNT</t>
  </si>
  <si>
    <t>350KVA 3PH TRANSFORMER - ISOLATION - FLOOR MNT</t>
  </si>
  <si>
    <t>500KVA 3PH TRANSFORMER - ISOLATION - FLOOR MNT</t>
  </si>
  <si>
    <t>3KVA 3PH TRANSFORMER - AUTO - WALL MNT</t>
  </si>
  <si>
    <t>6KVA 3PH TRANSFORMER - AUTO - WALL MNT</t>
  </si>
  <si>
    <t>10KVA 3PH TRANSFORMER - AUTO - WALL MNT</t>
  </si>
  <si>
    <t>15KVA 3PH TRANSFORMER - AUTO - WALL MNT</t>
  </si>
  <si>
    <t>30KVA 3PH TRANSFORMER - AUTO - WALL MNT</t>
  </si>
  <si>
    <t>45KVA 3PH TRANSFORMER - AUTO - WALL MNT</t>
  </si>
  <si>
    <t>15KVA 3PH TRANSFORMER - AUTO - FLOOR MNT</t>
  </si>
  <si>
    <t>30KVA 3PH TRANSFORMER - AUTO - FLOOR MNT</t>
  </si>
  <si>
    <t>45KVA 3PH TRANSFORMER - AUTO - FLOOR MNT</t>
  </si>
  <si>
    <t>75KVA 3PH TRANSFORMER - AUTO - FLOOR MNT</t>
  </si>
  <si>
    <t>112KVA 3PH TRANSFORMER - AUTO - FLOOR MNT</t>
  </si>
  <si>
    <t>150KVA 3PH TRANSFORMER - AUTO - FLOOR MNT</t>
  </si>
  <si>
    <t>225KVA 3PH TRANSFORMER - AUTO - FLOOR MNT</t>
  </si>
  <si>
    <t>300KVA 3PH TRANSFORMER - AUTO - FLOOR MNT</t>
  </si>
  <si>
    <t>400KVA 3PH TRANSFORMER - AUTO - FLOOR MNT</t>
  </si>
  <si>
    <t>450KVA 3PH TRANSFORMER - AUTO - FLOOR MNT</t>
  </si>
  <si>
    <t>500KVA 3PH TRANSFORMER - AUTO - FLOOR MNT</t>
  </si>
  <si>
    <t>600KVA 3PH TRANSFORMER - AUTO - FLOOR MNT</t>
  </si>
  <si>
    <t>750KVA 3PH TRANSFORMER - AUTO - FLOOR MNT</t>
  </si>
  <si>
    <t>7.5KVA 3PH TRANSFORMER - DRIVE ISOLATION - WALL MNT</t>
  </si>
  <si>
    <t>11KVA 3PH TRANSFORMER - DRIVE ISOLATION - WALL MNT</t>
  </si>
  <si>
    <t>14KVA 3PH TRANSFORMER - DRIVE ISOLATION - WALL MNT</t>
  </si>
  <si>
    <t>20KVA 3PH TRANSFORMER - DRIVE ISOLATION - WALL MNT</t>
  </si>
  <si>
    <t>27KVA 3PH TRANSFORMER - DRIVE ISOLATION - WALL MNT</t>
  </si>
  <si>
    <t>34KVA 3PH TRANSFORMER - DRIVE ISOLATION - WALL MNT</t>
  </si>
  <si>
    <t>40KVA 3PH TRANSFORMER - DRIVE ISOLATION - WALL MNT</t>
  </si>
  <si>
    <t>51KVA 3PH TRANSFORMER - DRIVE ISOLATION - WALL MNT</t>
  </si>
  <si>
    <t>14KVA 3PH TRANSFORMER - DRIVE ISOLATION - FLOOR MNT</t>
  </si>
  <si>
    <t>20KVA 3PH TRANSFORMER - DRIVE ISOLATION - FLOOR MNT</t>
  </si>
  <si>
    <t>27KVA 3PH TRANSFORMER - DRIVE ISOLATION - FLOOR MNT</t>
  </si>
  <si>
    <t>34KVA 3PH TRANSFORMER - DRIVE ISOLATION - FLOOR MNT</t>
  </si>
  <si>
    <t>40KVA 3PH TRANSFORMER - DRIVE ISOLATION - FLOOR MNT</t>
  </si>
  <si>
    <t>51KVA 3PH TRANSFORMER - DRIVE ISOLATION - FLOOR MNT</t>
  </si>
  <si>
    <t>63KVA 3PH TRANSFORMER - DRIVE ISOLATION - FLOOR MNT</t>
  </si>
  <si>
    <t>75KVA 3PH TRANSFORMER - DRIVE ISOLATION - FLOOR MNT</t>
  </si>
  <si>
    <t>93KVA 3PH TRANSFORMER - DRIVE ISOLATION - FLOOR MNT</t>
  </si>
  <si>
    <t>118KVA 3PH TRANSFORMER - DRIVE ISOLATION - FLOOR MNT</t>
  </si>
  <si>
    <t>145KVA 3PH TRANSFORMER - DRIVE ISOLATION - FLOOR MNT</t>
  </si>
  <si>
    <t>175KVA 3PH TRANSFORMER - DRIVE ISOLATION - FLOOR MNT</t>
  </si>
  <si>
    <t>220KVA 3PH TRANSFORMER - DRIVE ISOLATION - FLOOR MNT</t>
  </si>
  <si>
    <t>275KVA 3PH TRANSFORMER - DRIVE ISOLATION - FLOOR MNT</t>
  </si>
  <si>
    <t>330KVA 3PH TRANSFORMER - DRIVE ISOLATION - FLOOR MNT</t>
  </si>
  <si>
    <t>440KVA 3PH TRANSFORMER - DRIVE ISOLATION - FLOOR MNT</t>
  </si>
  <si>
    <t>550KVA 3PH TRANSFORMER - DRIVE ISOLATION - FLOOR MNT</t>
  </si>
  <si>
    <t>660KVA 3PH TRANSFORMER - DRIVE ISOLATION - FLOOR MNT</t>
  </si>
  <si>
    <t>750KVA 3PH TRANSFORMER - DRIVE ISOLATION - FLOOR MNT</t>
  </si>
  <si>
    <t>3KVA 3PH TRANSFORMER - EPOXY-POTTED - WALL MNT</t>
  </si>
  <si>
    <t>6KVA 3PH TRANSFORMER - EPOXY-POTTED - WALL MNT</t>
  </si>
  <si>
    <t>9KVA 3PH TRANSFORMER - EPOXY-POTTED - WALL MNT</t>
  </si>
  <si>
    <t>15KVA 3PH TRANSFORMER - EPOXY-POTTED - WALL MNT</t>
  </si>
  <si>
    <t>30KVA 3PH TRANSFORMER - EPOXY-POTTED - WALL MNT</t>
  </si>
  <si>
    <t>45KVA 3PH TRANSFORMER - EPOXY-POTTED - FLOOR MNT</t>
  </si>
  <si>
    <t>75KVA 3PH TRANSFORMER - EPOXY-POTTED - FLOOR MNT</t>
  </si>
  <si>
    <t>3KVA 1PH TRANSFORMER - GP - WALL MNT</t>
  </si>
  <si>
    <t>5KVA 1PH TRANSFORMER - GP - WALL MNT</t>
  </si>
  <si>
    <t>7.5KVA 1PH TRANSFORMER - GP - WALL MNT</t>
  </si>
  <si>
    <t>10KVA 1PH TRANSFORMER - GP - WALL MNT</t>
  </si>
  <si>
    <t>15KVA 1PH TRANSFORMER - GP - WALL MNT</t>
  </si>
  <si>
    <t>25KVA 1PH TRANSFORMER - GP - WALL MNT</t>
  </si>
  <si>
    <t>37.5KVA 1PH TRANSFORMER - GP - WALL MNT</t>
  </si>
  <si>
    <t>15KVA 1PH TRANSFORMER - GP - FLOOR MNT</t>
  </si>
  <si>
    <t>25KVA 1PH TRANSFORMER - GP - FLOOR MNT</t>
  </si>
  <si>
    <t>37.5KVA 1PH TRANSFORMER - GP - FLOOR MNT</t>
  </si>
  <si>
    <t>50KVA 1PH TRANSFORMER - GP - FLOOR MNT</t>
  </si>
  <si>
    <t>75KVA 1PH TRANSFORMER - GP - FLOOR MNT</t>
  </si>
  <si>
    <t>100KVA 1PH TRANSFORMER - GP - FLOOR MNT</t>
  </si>
  <si>
    <t>150KVA 1PH TRANSFORMER - GP - FLOOR MNT</t>
  </si>
  <si>
    <t>167KVA 1PH TRANSFORMER - GP - FLOOR MNT</t>
  </si>
  <si>
    <t>200KVA 1PH TRANSFORMER - GP - FLOOR MNT</t>
  </si>
  <si>
    <t>250KVA 1PH TRANSFORMER - GP - FLOOR MNT</t>
  </si>
  <si>
    <t>333KVA 1PH TRANSFORMER - GP - FLOOR MNT</t>
  </si>
  <si>
    <t>500KVA 1PH TRANSFORMER - GP - FLOOR MNT</t>
  </si>
  <si>
    <t>15KVA 1PH TRANSFORMER - ISOLATION</t>
  </si>
  <si>
    <t>25KVA 1PH TRANSFORMER - ISOLATION</t>
  </si>
  <si>
    <t>50KVA 1PH TRANSFORMER - ISOLATION</t>
  </si>
  <si>
    <t>75KVA 1PH TRANSFORMER - ISOLATION</t>
  </si>
  <si>
    <t>100KVA 1PH TRANSFORMER - ISOLATION</t>
  </si>
  <si>
    <t>125KVA 1PH TRANSFORMER - ISOLATION</t>
  </si>
  <si>
    <t>150KVA 1PH TRANSFORMER - ISOLATION</t>
  </si>
  <si>
    <t>175KVA 1PH TRANSFORMER - ISOLATION</t>
  </si>
  <si>
    <t>200KVA 1PH TRANSFORMER - ISOLATION</t>
  </si>
  <si>
    <t>225KVA 1PH TRANSFORMER - ISOLATION</t>
  </si>
  <si>
    <t>250KVA 1PH TRANSFORMER - ISOLATION</t>
  </si>
  <si>
    <t>275KVA 1PH TRANSFORMER - ISOLATION</t>
  </si>
  <si>
    <t>300KVA 1PH TRANSFORMER - ISOLATION</t>
  </si>
  <si>
    <t>350KVA 1PH TRANSFORMER - ISOLATION</t>
  </si>
  <si>
    <t>500KVA 1PH TRANSFORMER - ISOLATION</t>
  </si>
  <si>
    <t>3KVA 1PH TRANSFORMER - AUTO - WALL MNT</t>
  </si>
  <si>
    <t>5KVA 1PH TRANSFORMER - AUTO - WALL MNT</t>
  </si>
  <si>
    <t>7.5KVA 1PH TRANSFORMER - AUTO - WALL MNT</t>
  </si>
  <si>
    <t>10KVA 1PH TRANSFORMER - AUTO - WALL MNT</t>
  </si>
  <si>
    <t>15KVA 1PH TRANSFORMER - AUTO - WALL MNT</t>
  </si>
  <si>
    <t>25KVA 1PH TRANSFORMER - AUTO - WALL MNT</t>
  </si>
  <si>
    <t>37KVA 1PH TRANSFORMER - AUTO - WALL MNT</t>
  </si>
  <si>
    <t>15KVA 1PH TRANSFORMER - AUTO - FLOOR MNT</t>
  </si>
  <si>
    <t>25KVA 1PH TRANSFORMER - AUTO - FLOOR MNT</t>
  </si>
  <si>
    <t>37KVA 1PH TRANSFORMER - AUTO - FLOOR MNT</t>
  </si>
  <si>
    <t>50KVA 1PH TRANSFORMER - AUTO - FLOOR MNT</t>
  </si>
  <si>
    <t>75KVA 1PH TRANSFORMER - AUTO - FLOOR MNT</t>
  </si>
  <si>
    <t>100KVA 1PH TRANSFORMER - AUTO - FLOOR MNT</t>
  </si>
  <si>
    <t>167KVA 1PH TRANSFORMER - AUTO - FLOOR MNT</t>
  </si>
  <si>
    <t>250KVA 1PH TRANSFORMER - AUTO - FLOOR MNT</t>
  </si>
  <si>
    <t>333KVA 1PH TRANSFORMER - AUTO - FLOOR MNT</t>
  </si>
  <si>
    <t>500KVA 1PH TRANSFORMER - AUTO - FLOOR MNT</t>
  </si>
  <si>
    <t>0.25KVA 1PH TRANSFORMER - EPOXY-POTTED - WALL MNT</t>
  </si>
  <si>
    <t>0.50KVA 1PH TRANSFORMER - EPOXY-POTTED - WALL MNT</t>
  </si>
  <si>
    <t>0.75KVA 1PH TRANSFORMER - EPOXY-POTTED - WALL MNT</t>
  </si>
  <si>
    <t>1.0KVA 1PH TRANSFORMER - EPOXY-POTTED - WALL MNT</t>
  </si>
  <si>
    <t>1.5KVA 1PH TRANSFORMER - EPOXY-POTTED - WALL MNT</t>
  </si>
  <si>
    <t>2.0KVA 1PH TRANSFORMER - EPOXY-POTTED - WALL MNT</t>
  </si>
  <si>
    <t>3.0KVA 1PH TRANSFORMER - EPOXY-POTTED - WALL MNT</t>
  </si>
  <si>
    <t>5.0KVA 1PH TRANSFORMER - EPOXY-POTTED - WALL MNT</t>
  </si>
  <si>
    <t>7.5KVA 1PH TRANSFORMER - EPOXY-POTTED - WALL MNT</t>
  </si>
  <si>
    <t>10KVA 1PH TRANSFORMER - EPOXY-POTTED - WALL MNT</t>
  </si>
  <si>
    <t>15KVA 1PH TRANSFORMER - EPOXY-POTTED - WALL MNT</t>
  </si>
  <si>
    <t>25KVA 1PH TRANSFORMER - EPOXY-POTTED - WALL MNT</t>
  </si>
  <si>
    <t>37.5KVA 1PH TRANSFORMER - EPOXY-POTTED - WALL MNT</t>
  </si>
  <si>
    <t>50KVA 1PH TRANSFORMER - EPOXY-POTTED - WALL MNT</t>
  </si>
  <si>
    <t>5KW GENERATOR - DIESEL</t>
  </si>
  <si>
    <t>6KW GENERATOR - DIESEL</t>
  </si>
  <si>
    <t>8KW GENERATOR - DIESEL</t>
  </si>
  <si>
    <t>10KW GENERATOR - DIESEL</t>
  </si>
  <si>
    <t>12KW GENERATOR - DIESEL</t>
  </si>
  <si>
    <t>15KW GENERATOR - DIESEL</t>
  </si>
  <si>
    <t>20KW GENERATOR - DIESEL</t>
  </si>
  <si>
    <t>25KW GENERATOR - DIESEL</t>
  </si>
  <si>
    <t>30KW GENERATOR - DIESEL</t>
  </si>
  <si>
    <t>35KW GENERATOR - DIESEL</t>
  </si>
  <si>
    <t>40KW GENERATOR - DIESEL</t>
  </si>
  <si>
    <t>50KW GENERATOR - DIESEL</t>
  </si>
  <si>
    <t>60KW GENERATOR - DIESEL</t>
  </si>
  <si>
    <t>75KW GENERATOR - DIESEL</t>
  </si>
  <si>
    <t>100KW GENERATOR - DIESEL</t>
  </si>
  <si>
    <t>125KW GENERATOR - DIESEL</t>
  </si>
  <si>
    <t>150KW GENERATOR - DIESEL</t>
  </si>
  <si>
    <t>175KW GENERATOR - DIESEL</t>
  </si>
  <si>
    <t>200KW GENERATOR - DIESEL</t>
  </si>
  <si>
    <t>225KW GENERATOR - DIESEL</t>
  </si>
  <si>
    <t>250KW GENERATOR - DIESEL</t>
  </si>
  <si>
    <t>275KW GENERATOR - DIESEL</t>
  </si>
  <si>
    <t>300KW GENERATOR - DIESEL</t>
  </si>
  <si>
    <t>350KW GENERATOR - DIESEL</t>
  </si>
  <si>
    <t>500KW GENERATOR - DIESEL</t>
  </si>
  <si>
    <t>600KW GENERATOR - DIESEL</t>
  </si>
  <si>
    <t>700KW GENERATOR - DIESEL</t>
  </si>
  <si>
    <t>800KW GENERATOR - DIESEL</t>
  </si>
  <si>
    <t>900KW GENERATOR - DIESEL</t>
  </si>
  <si>
    <t>1000KW GENERATOR - DIESEL</t>
  </si>
  <si>
    <t>1250KW GENERATOR - DIESEL</t>
  </si>
  <si>
    <t>1500KW GENERATOR - DIESEL</t>
  </si>
  <si>
    <t>5KW GENERATOR - GASOLINE</t>
  </si>
  <si>
    <t>6KW GENERATOR - GASOLINE</t>
  </si>
  <si>
    <t>8KW GENERATOR - GASOLINE</t>
  </si>
  <si>
    <t>10KW GENERATOR - GASOLINE</t>
  </si>
  <si>
    <t>12KW GENERATOR - GASOLINE</t>
  </si>
  <si>
    <t>15KW GENERATOR - GASOLINE</t>
  </si>
  <si>
    <t>20KW GENERATOR - GASOLINE</t>
  </si>
  <si>
    <t>25KW GENERATOR - GASOLINE</t>
  </si>
  <si>
    <t>30KW GENERATOR - GASOLINE</t>
  </si>
  <si>
    <t>35KW GENERATOR - GASOLINE</t>
  </si>
  <si>
    <t>40KW GENERATOR - GASOLINE</t>
  </si>
  <si>
    <t>50KW GENERATOR - GASOLINE</t>
  </si>
  <si>
    <t>60KW GENERATOR - GASOLINE</t>
  </si>
  <si>
    <t>75KW GENERATOR - GASOLINE</t>
  </si>
  <si>
    <t>100KW GENERATOR - GASOLINE</t>
  </si>
  <si>
    <t>125KW GENERATOR - GASOLINE</t>
  </si>
  <si>
    <t>150KW GENERATOR - GASOLINE</t>
  </si>
  <si>
    <t>175KW GENERATOR - GASOLINE</t>
  </si>
  <si>
    <t>200KW GENERATOR - GASOLINE</t>
  </si>
  <si>
    <t>225KW GENERATOR - GASOLINE</t>
  </si>
  <si>
    <t>250KW GENERATOR - GASOLINE</t>
  </si>
  <si>
    <t>275KW GENERATOR - GASOLINE</t>
  </si>
  <si>
    <t>300KW GENERATOR - GASOLINE</t>
  </si>
  <si>
    <t>350KW GENERATOR - GASOLINE</t>
  </si>
  <si>
    <t>500KW GENERATOR - GASOLINE</t>
  </si>
  <si>
    <t>600KW GENERATOR - GASOLINE</t>
  </si>
  <si>
    <t>700KW GENERATOR - GASOLINE</t>
  </si>
  <si>
    <t>800KW GENERATOR - GASOLINE</t>
  </si>
  <si>
    <t>900KW GENERATOR - GASOLINE</t>
  </si>
  <si>
    <t>1000KW GENERATOR - GASOLINE</t>
  </si>
  <si>
    <t>1250KW GENERATOR - GASOLINE</t>
  </si>
  <si>
    <t>1500KW GENERATOR - GASOLINE</t>
  </si>
  <si>
    <t>5KW GENERATOR - PROPANE</t>
  </si>
  <si>
    <t>6KW GENERATOR - PROPANE</t>
  </si>
  <si>
    <t>8KW GENERATOR - PROPANE</t>
  </si>
  <si>
    <t>10KW GENERATOR - PROPANE</t>
  </si>
  <si>
    <t>12KW GENERATOR - PROPANE</t>
  </si>
  <si>
    <t>15KW GENERATOR - PROPANE</t>
  </si>
  <si>
    <t>20KW GENERATOR - PROPANE</t>
  </si>
  <si>
    <t>25KW GENERATOR - PROPANE</t>
  </si>
  <si>
    <t>30KW GENERATOR - PROPANE</t>
  </si>
  <si>
    <t>35KW GENERATOR - PROPANE</t>
  </si>
  <si>
    <t>40KW GENERATOR - PROPANE</t>
  </si>
  <si>
    <t>50KW GENERATOR - PROPANE</t>
  </si>
  <si>
    <t>60KW GENERATOR - PROPANE</t>
  </si>
  <si>
    <t>75KW GENERATOR - PROPANE</t>
  </si>
  <si>
    <t>100KW GENERATOR - PROPANE</t>
  </si>
  <si>
    <t>125KW GENERATOR - PROPANE</t>
  </si>
  <si>
    <t>150KW GENERATOR - PROPANE</t>
  </si>
  <si>
    <t>175KW GENERATOR - PROPANE</t>
  </si>
  <si>
    <t>200KW GENERATOR - PROPANE</t>
  </si>
  <si>
    <t>225KW GENERATOR - PROPANE</t>
  </si>
  <si>
    <t>250KW GENERATOR - PROPANE</t>
  </si>
  <si>
    <t>275KW GENERATOR - PROPANE</t>
  </si>
  <si>
    <t>300KW GENERATOR - PROPANE</t>
  </si>
  <si>
    <t>350KW GENERATOR - PROPANE</t>
  </si>
  <si>
    <t>500KW GENERATOR - PROPANE</t>
  </si>
  <si>
    <t>600KW GENERATOR - PROPANE</t>
  </si>
  <si>
    <t>700KW GENERATOR - PROPANE</t>
  </si>
  <si>
    <t>800KW GENERATOR - PROPANE</t>
  </si>
  <si>
    <t>900KW GENERATOR - PROPANE</t>
  </si>
  <si>
    <t>1000KW GENERATOR - PROPANE</t>
  </si>
  <si>
    <t>1250KW GENERATOR - PROPANE</t>
  </si>
  <si>
    <t>1500KW GENERATOR - PROPANE</t>
  </si>
  <si>
    <t>5KW GENERATOR - ELECTRIC</t>
  </si>
  <si>
    <t>6KW GENERATOR - ELECTRIC</t>
  </si>
  <si>
    <t>8KW GENERATOR - ELECTRIC</t>
  </si>
  <si>
    <t>10KW GENERATOR - ELECTRIC</t>
  </si>
  <si>
    <t>12KW GENERATOR - ELECTRIC</t>
  </si>
  <si>
    <t>15KW GENERATOR - ELECTRIC</t>
  </si>
  <si>
    <t>20KW GENERATOR - ELECTRIC</t>
  </si>
  <si>
    <t>25KW GENERATOR - ELECTRIC</t>
  </si>
  <si>
    <t>30KW GENERATOR - ELECTRIC</t>
  </si>
  <si>
    <t>35KW GENERATOR - ELECTRIC</t>
  </si>
  <si>
    <t>40KW GENERATOR - ELECTRIC</t>
  </si>
  <si>
    <t>50KW GENERATOR - ELECTRIC</t>
  </si>
  <si>
    <t>60KW GENERATOR - ELECTRIC</t>
  </si>
  <si>
    <t>75KW GENERATOR - ELECTRIC</t>
  </si>
  <si>
    <t>100KW GENERATOR - ELECTRIC</t>
  </si>
  <si>
    <t>125KW GENERATOR - ELECTRIC</t>
  </si>
  <si>
    <t>150KW GENERATOR - ELECTRIC</t>
  </si>
  <si>
    <t>175KW GENERATOR - ELECTRIC</t>
  </si>
  <si>
    <t>200KW GENERATOR - ELECTRIC</t>
  </si>
  <si>
    <t>225KW GENERATOR - ELECTRIC</t>
  </si>
  <si>
    <t>250KW GENERATOR - ELECTRIC</t>
  </si>
  <si>
    <t>275KW GENERATOR - ELECTRIC</t>
  </si>
  <si>
    <t>300KW GENERATOR - ELECTRIC</t>
  </si>
  <si>
    <t>350KW GENERATOR - ELECTRIC</t>
  </si>
  <si>
    <t>500KW GENERATOR - ELECTRIC</t>
  </si>
  <si>
    <t>600KW GENERATOR - ELECTRIC</t>
  </si>
  <si>
    <t>700KW GENERATOR - ELECTRIC</t>
  </si>
  <si>
    <t>800KW GENERATOR - ELECTRIC</t>
  </si>
  <si>
    <t>900KW GENERATOR - ELECTRIC</t>
  </si>
  <si>
    <t>1000KW GENERATOR - ELECTRIC</t>
  </si>
  <si>
    <t>1250KW GENERATOR - ELECTRIC</t>
  </si>
  <si>
    <t>1500KW GENERATOR - ELECTRIC</t>
  </si>
  <si>
    <t>125A TRANSFER SWITCH 1PH</t>
  </si>
  <si>
    <t>150A TRANSFER SWITCH 1PH</t>
  </si>
  <si>
    <t>175A TRANSFER SWITCH 1PH</t>
  </si>
  <si>
    <t>200A TRANSFER SWITCH 1PH</t>
  </si>
  <si>
    <t>225A TRANSFER SWITCH 1PH</t>
  </si>
  <si>
    <t>250A TRANSFER SWITCH 1PH</t>
  </si>
  <si>
    <t>300A TRANSFER SWITCH 1PH</t>
  </si>
  <si>
    <t>350A TRANSFER SWITCH 1PH</t>
  </si>
  <si>
    <t>400A TRANSFER SWITCH 1PH</t>
  </si>
  <si>
    <t>500A TRANSFER SWITCH 1PH</t>
  </si>
  <si>
    <t>600A TRANSFER SWITCH 1PH</t>
  </si>
  <si>
    <t>700A TRANSFER SWITCH 1PH</t>
  </si>
  <si>
    <t>800A TRANSFER SWITCH 1PH</t>
  </si>
  <si>
    <t>1000A TRANSFER SWITCH 1PH</t>
  </si>
  <si>
    <t>1200A TRANSFER SWITCH 1PH</t>
  </si>
  <si>
    <t>30A TRANSFER SWITCH 3PH</t>
  </si>
  <si>
    <t>40A TRANSFER SWITCH 3PH</t>
  </si>
  <si>
    <t>50A TRANSFER SWITCH 3PH</t>
  </si>
  <si>
    <t>70A TRANSFER SWITCH 3PH</t>
  </si>
  <si>
    <t>90A TRANSFER SWITCH 3PH</t>
  </si>
  <si>
    <t>100A TRANSFER SWITCH 3PH</t>
  </si>
  <si>
    <t>125A TRANSFER SWITCH 3PH</t>
  </si>
  <si>
    <t>150A TRANSFER SWITCH 3PH</t>
  </si>
  <si>
    <t>175A TRANSFER SWITCH 3PH</t>
  </si>
  <si>
    <t>200A TRANSFER SWITCH 3PH</t>
  </si>
  <si>
    <t>225A TRANSFER SWITCH 3PH</t>
  </si>
  <si>
    <t>250A TRANSFER SWITCH 3PH</t>
  </si>
  <si>
    <t>300A TRANSFER SWITCH 3PH</t>
  </si>
  <si>
    <t>350A TRANSFER SWITCH 3PH</t>
  </si>
  <si>
    <t>400A TRANSFER SWITCH 3PH</t>
  </si>
  <si>
    <t>500A TRANSFER SWITCH 3PH</t>
  </si>
  <si>
    <t>600A TRANSFER SWITCH 3PH</t>
  </si>
  <si>
    <t>700A TRANSFER SWITCH 3PH</t>
  </si>
  <si>
    <t>800A TRANSFER SWITCH 3PH</t>
  </si>
  <si>
    <t>1000A TRANSFER SWITCH 3PH</t>
  </si>
  <si>
    <t>1200A TRANSFER SWITCH 3PH</t>
  </si>
  <si>
    <t>4 x 1 1/2" SQ BOX COMB KO</t>
  </si>
  <si>
    <t>1 x 15A S/P SW FLUSH</t>
  </si>
  <si>
    <t>1/2" CONN FLEX DC SQUEEZE STRAIGHT</t>
  </si>
  <si>
    <t>1/2" FLEX - STEEL</t>
  </si>
  <si>
    <t>#8 TO #10 x 7/8 PLAS ANCHOR (3/16)</t>
  </si>
  <si>
    <t>3/4" FLEX - STEEL</t>
  </si>
  <si>
    <t>3/4" CONN FLEX DC SQUEEZE STRAIGHT</t>
  </si>
  <si>
    <t>EA</t>
  </si>
  <si>
    <t>FT</t>
  </si>
  <si>
    <t>LABOR
 RATE</t>
  </si>
  <si>
    <t>LABOUR</t>
  </si>
  <si>
    <t>LABOR
 COST</t>
  </si>
  <si>
    <t>TOTAL 
COST</t>
  </si>
  <si>
    <t>15A 1P BREAKER MOLDED CASE - NEMA  1</t>
  </si>
  <si>
    <t>20A 1P BREAKER MOLDED CASE - NEMA  1</t>
  </si>
  <si>
    <t>30A 1P BREAKER MOLDED CASE - NEMA  1</t>
  </si>
  <si>
    <t>40A 1P BREAKER MOLDED CASE - NEMA  1</t>
  </si>
  <si>
    <t>50A 1P BREAKER MOLDED CASE - NEMA  1</t>
  </si>
  <si>
    <t>60A 1P BREAKER MOLDED CASE - NEMA  1</t>
  </si>
  <si>
    <t>70A 1P BREAKER MOLDED CASE - NEMA  1</t>
  </si>
  <si>
    <t>90A 1P BREAKER MOLDED CASE - NEMA  1</t>
  </si>
  <si>
    <t>100A 1P BREAKER MOLDED CASE - NEMA  1</t>
  </si>
  <si>
    <t>15A 2P BREAKER MOLDED CASE - NEMA 1</t>
  </si>
  <si>
    <t>20A 2P BREAKER MOLDED CASE - NEMA 1</t>
  </si>
  <si>
    <t>30A 2P BREAKER MOLDED CASE - NEMA 1</t>
  </si>
  <si>
    <t>40A 2P BREAKER MOLDED CASE - NEMA 1</t>
  </si>
  <si>
    <t>50A 2P BREAKER MOLDED CASE - NEMA 1</t>
  </si>
  <si>
    <t>60A 2P BREAKER MOLDED CASE - NEMA 1</t>
  </si>
  <si>
    <t>70A 2P BREAKER MOLDED CASE - NEMA 1</t>
  </si>
  <si>
    <t>90A 2P BREAKER MOLDED CASE - NEMA 1</t>
  </si>
  <si>
    <t>100A 2P BREAKER MOLDED CASE - NEMA 1</t>
  </si>
  <si>
    <t>125A 2P BREAKER MOLDED CASE - NEMA 1</t>
  </si>
  <si>
    <t>150A 2P BREAKER MOLDED CASE - NEMA 1</t>
  </si>
  <si>
    <t>175A 2P BREAKER MOLDED CASE - NEMA 1</t>
  </si>
  <si>
    <t>200A 2P BREAKER MOLDED CASE - NEMA 1</t>
  </si>
  <si>
    <t>225A 2P BREAKER MOLDED CASE - NEMA 1</t>
  </si>
  <si>
    <t>250A 2P BREAKER MOLDED CASE - NEMA 1</t>
  </si>
  <si>
    <t>300A 2P BREAKER MOLDED CASE - NEMA 1</t>
  </si>
  <si>
    <t>350A 2P BREAKER MOLDED CASE - NEMA 1</t>
  </si>
  <si>
    <t>400A 2P BREAKER MOLDED CASE - NEMA 1</t>
  </si>
  <si>
    <t>500A 2P BREAKER MOLDED CASE - NEMA 1</t>
  </si>
  <si>
    <t>600A 2P BREAKER MOLDED CASE - NEMA 1</t>
  </si>
  <si>
    <t>15A 3P BREAKER MOLDED CASE - NEMA 1</t>
  </si>
  <si>
    <t>20A 3P BREAKER MOLDED CASE - NEMA 1</t>
  </si>
  <si>
    <t>30A 3P BREAKER MOLDED CASE - NEMA 1</t>
  </si>
  <si>
    <t>40A 3P BREAKER MOLDED CASE - NEMA 1</t>
  </si>
  <si>
    <t>50A 3P BREAKER MOLDED CASE - NEMA 1</t>
  </si>
  <si>
    <t>60A 3P BREAKER MOLDED CASE - NEMA 1</t>
  </si>
  <si>
    <t>70A 3P BREAKER MOLDED CASE - NEMA 1</t>
  </si>
  <si>
    <t>90A 3P BREAKER MOLDED CASE - NEMA 1</t>
  </si>
  <si>
    <t>100A 3P BREAKER MOLDED CASE - NEMA 1</t>
  </si>
  <si>
    <t>125A 3P BREAKER MOLDED CASE - NEMA 1</t>
  </si>
  <si>
    <t>150A 3P BREAKER MOLDED CASE - NEMA 1</t>
  </si>
  <si>
    <t>175A 3P BREAKER MOLDED CASE - NEMA 1</t>
  </si>
  <si>
    <t>200A 3P BREAKER MOLDED CASE - NEMA 1</t>
  </si>
  <si>
    <t>225A 3P BREAKER MOLDED CASE - NEMA 1</t>
  </si>
  <si>
    <t>250A 3P BREAKER MOLDED CASE - NEMA 1</t>
  </si>
  <si>
    <t>300A 3P BREAKER MOLDED CASE - NEMA 1</t>
  </si>
  <si>
    <t>350A 3P BREAKER MOLDED CASE - NEMA 1</t>
  </si>
  <si>
    <t>400A 3P BREAKER MOLDED CASE - NEMA 1</t>
  </si>
  <si>
    <t>500A 3P BREAKER MOLDED CASE - NEMA 1</t>
  </si>
  <si>
    <t>600A 3P BREAKER MOLDED CASE - NEMA 1</t>
  </si>
  <si>
    <t>700A 3P BREAKER MOLDED CASE - NEMA 1</t>
  </si>
  <si>
    <t>800A 3P BREAKER MOLDED CASE - NEMA 1</t>
  </si>
  <si>
    <t>1000A 3P BREAKER MOLDED CASE - NEMA 1</t>
  </si>
  <si>
    <t>1200A 3P BREAKER MOLDED CASE - NEMA 1</t>
  </si>
  <si>
    <t>1400A 3P BREAKER MOLDED CASE - NEMA 1</t>
  </si>
  <si>
    <t>1600A 3P BREAKER MOLDED CASE - NEMA 1</t>
  </si>
  <si>
    <t>2500A 3P BREAKER MOLDED CASE - NEMA 1</t>
  </si>
  <si>
    <t>15A 3P BREAKER MOLDED CASE - NEMA 3R</t>
  </si>
  <si>
    <t>20A 3P BREAKER MOLDED CASE - NEMA 3R</t>
  </si>
  <si>
    <t>30A 3P BREAKER MOLDED CASE - NEMA 3R</t>
  </si>
  <si>
    <t>40A 3P BREAKER MOLDED CASE - NEMA 3R</t>
  </si>
  <si>
    <t>50A 3P BREAKER MOLDED CASE - NEMA 3R</t>
  </si>
  <si>
    <t>60A 3P BREAKER MOLDED CASE - NEMA 3R</t>
  </si>
  <si>
    <t>70A 3P BREAKER MOLDED CASE - NEMA 3R</t>
  </si>
  <si>
    <t>90A 3P BREAKER MOLDED CASE - NEMA 3R</t>
  </si>
  <si>
    <t>100A 3P BREAKER MOLDED CASE - NEMA 3R</t>
  </si>
  <si>
    <t>125A 3P BREAKER MOLDED CASE - NEMA 3R</t>
  </si>
  <si>
    <t>150A 3P BREAKER MOLDED CASE - NEMA 3R</t>
  </si>
  <si>
    <t>175A 3P BREAKER MOLDED CASE - NEMA 3R</t>
  </si>
  <si>
    <t>200A 3P BREAKER MOLDED CASE - NEMA 3R</t>
  </si>
  <si>
    <t>225A 3P BREAKER MOLDED CASE - NEMA 3R</t>
  </si>
  <si>
    <t>250A 3P BREAKER MOLDED CASE - NEMA 3R</t>
  </si>
  <si>
    <t>300A 3P BREAKER MOLDED CASE - NEMA 3R</t>
  </si>
  <si>
    <t>350A 3P BREAKER MOLDED CASE - NEMA 3R</t>
  </si>
  <si>
    <t>400A 3P BREAKER MOLDED CASE - NEMA 3R</t>
  </si>
  <si>
    <t>500A 3P BREAKER MOLDED CASE - NEMA 3R</t>
  </si>
  <si>
    <t>600A 3P BREAKER MOLDED CASE - NEMA 3R</t>
  </si>
  <si>
    <t>700A 3P BREAKER MOLDED CASE - NEMA 3R</t>
  </si>
  <si>
    <t>800A 3P BREAKER MOLDED CASE - NEMA 3R</t>
  </si>
  <si>
    <t>1000A 3P BREAKER MOLDED CASE - NEMA 3R</t>
  </si>
  <si>
    <t>1200A 3P BREAKER MOLDED CASE - NEMA 3R</t>
  </si>
  <si>
    <t>1400A 3P BREAKER MOLDED CASE - NEMA 3R</t>
  </si>
  <si>
    <t>1600A 3P BREAKER MOLDED CASE - NEMA 3R</t>
  </si>
  <si>
    <t>2500A 3P BREAKER MOLDED CASE - NEMA 3R</t>
  </si>
  <si>
    <t>ONE PHASE MOLDED CASE - NEMA 1</t>
  </si>
  <si>
    <t>MOLDED CASE BREAKERS - NEMA 1</t>
  </si>
  <si>
    <t>TWO PHASE MOLDED CASE - NEMA 1</t>
  </si>
  <si>
    <t>THREE PHASE MOLDED CASE - NEMA 1</t>
  </si>
  <si>
    <t>THREE PHASE MOLDED CASE - NEMA 3R</t>
  </si>
  <si>
    <t>MOLDED CASE BREAKERS - NEMA 3R</t>
  </si>
  <si>
    <t>THREE PHASE MOLDED CASE - 480V RATED</t>
  </si>
  <si>
    <t>TWO PHASE MOLDED CASE - 480V RATED</t>
  </si>
  <si>
    <t>MOLDED CASE BREAKERS - 480V RATED</t>
  </si>
  <si>
    <t>ONE PHASE MOLDED CASE - 480V RATED</t>
  </si>
  <si>
    <t>125A 3P BREAKER BOLT-ON</t>
  </si>
  <si>
    <t>150A 3P BREAKER BOLT-ON</t>
  </si>
  <si>
    <t>200A 3P BREAKER BOLT-ON</t>
  </si>
  <si>
    <t>175A 3P BREAKER BOLT-ON</t>
  </si>
  <si>
    <t>225A 3P BREAKER BOLT-ON</t>
  </si>
  <si>
    <t>15A 1P BREAKER MOLDED CASE - 480V RATED</t>
  </si>
  <si>
    <t>20A 1P BREAKER MOLDED CASE - 480V RATED</t>
  </si>
  <si>
    <t>30A 1P BREAKER MOLDED CASE - 480V RATED</t>
  </si>
  <si>
    <t>40A 1P BREAKER MOLDED CASE - 480V RATED</t>
  </si>
  <si>
    <t>50A 1P BREAKER MOLDED CASE - 480V RATED</t>
  </si>
  <si>
    <t>60A 1P BREAKER MOLDED CASE - 480V RATED</t>
  </si>
  <si>
    <t>70A 1P BREAKER MOLDED CASE - 480V RATED</t>
  </si>
  <si>
    <t>90A 1P BREAKER MOLDED CASE - 480V RATED</t>
  </si>
  <si>
    <t>100A 1P BREAKER MOLDED CASE - 480V RATED</t>
  </si>
  <si>
    <t>15A 2P BREAKER MOLDED CASE - 480V RATED</t>
  </si>
  <si>
    <t>20A 2P BREAKER MOLDED CASE - 480V RATED</t>
  </si>
  <si>
    <t>30A 2P BREAKER MOLDED CASE - 480V RATED</t>
  </si>
  <si>
    <t>40A 2P BREAKER MOLDED CASE - 480V RATED</t>
  </si>
  <si>
    <t>50A 2P BREAKER MOLDED CASE - 480V RATED</t>
  </si>
  <si>
    <t>60A 2P BREAKER MOLDED CASE - 480V RATED</t>
  </si>
  <si>
    <t>70A 2P BREAKER MOLDED CASE - 480V RATED</t>
  </si>
  <si>
    <t>90A 2P BREAKER MOLDED CASE - 480V RATED</t>
  </si>
  <si>
    <t>100A 2P BREAKER MOLDED CASE - 480V RATED</t>
  </si>
  <si>
    <t>125A 2P BREAKER MOLDED CASE - 480V RATED</t>
  </si>
  <si>
    <t>150A 2P BREAKER MOLDED CASE - 480V RATED</t>
  </si>
  <si>
    <t>175A 2P BREAKER MOLDED CASE - 480V RATED</t>
  </si>
  <si>
    <t>200A 2P BREAKER MOLDED CASE - 480V RATED</t>
  </si>
  <si>
    <t>225A 2P BREAKER MOLDED CASE - 480V RATED</t>
  </si>
  <si>
    <t>250A 2P BREAKER MOLDED CASE - 480V RATED</t>
  </si>
  <si>
    <t>300A 2P BREAKER MOLDED CASE - 480V RATED</t>
  </si>
  <si>
    <t>350A 2P BREAKER MOLDED CASE - 480V RATED</t>
  </si>
  <si>
    <t>400A 2P BREAKER MOLDED CASE - 480V RATED</t>
  </si>
  <si>
    <t>500A 2P BREAKER MOLDED CASE - 480V RATED</t>
  </si>
  <si>
    <t>600A 2P BREAKER MOLDED CASE - 480V RATED</t>
  </si>
  <si>
    <t>15A 3P BREAKER MOLDED CASE - 480V RATED</t>
  </si>
  <si>
    <t>20A 3P BREAKER MOLDED CASE - 480V RATED</t>
  </si>
  <si>
    <t>30A 3P BREAKER MOLDED CASE - 480V RATED</t>
  </si>
  <si>
    <t>40A 3P BREAKER MOLDED CASE - 480V RATED</t>
  </si>
  <si>
    <t>50A 3P BREAKER MOLDED CASE - 480V RATED</t>
  </si>
  <si>
    <t>60A 3P BREAKER MOLDED CASE - 480V RATED</t>
  </si>
  <si>
    <t>70A 3P BREAKER MOLDED CASE - 480V RATED</t>
  </si>
  <si>
    <t>90A 3P BREAKER MOLDED CASE - 480V RATED</t>
  </si>
  <si>
    <t>100A 3P BREAKER MOLDED CASE - 480V RATED</t>
  </si>
  <si>
    <t>125A 3P BREAKER MOLDED CASE - 480V RATED</t>
  </si>
  <si>
    <t>150A 3P BREAKER MOLDED CASE - 480V RATED</t>
  </si>
  <si>
    <t>175A 3P BREAKER MOLDED CASE - 480V RATED</t>
  </si>
  <si>
    <t>200A 3P BREAKER MOLDED CASE - 480V RATED</t>
  </si>
  <si>
    <t>225A 3P BREAKER MOLDED CASE - 480V RATED</t>
  </si>
  <si>
    <t>250A 3P BREAKER MOLDED CASE - 480V RATED</t>
  </si>
  <si>
    <t>300A 3P BREAKER MOLDED CASE - 480V RATED</t>
  </si>
  <si>
    <t>350A 3P BREAKER MOLDED CASE - 480V RATED</t>
  </si>
  <si>
    <t>400A 3P BREAKER MOLDED CASE - 480V RATED</t>
  </si>
  <si>
    <t>500A 3P BREAKER MOLDED CASE - 480V RATED</t>
  </si>
  <si>
    <t>600A 3P BREAKER MOLDED CASE - 480V RATED</t>
  </si>
  <si>
    <t>700A 3P BREAKER MOLDED CASE - 480V RATED</t>
  </si>
  <si>
    <t>800A 3P BREAKER MOLDED CASE - 480V RATED</t>
  </si>
  <si>
    <t>1000A 3P BREAKER MOLDED CASE - 480V RATED</t>
  </si>
  <si>
    <t>1200A 3P BREAKER MOLDED CASE - 480V RATED</t>
  </si>
  <si>
    <t>1400A 3P BREAKER MOLDED CASE - 480V RATED</t>
  </si>
  <si>
    <t>1600A 3P BREAKER MOLDED CASE - 480V RATED</t>
  </si>
  <si>
    <t>2500A 3P BREAKER MOLDED CASE - 480V RATED</t>
  </si>
  <si>
    <t>125A 3P BREAKER PLUG-ON</t>
  </si>
  <si>
    <t>150A 3P BREAKER PLUG-ON</t>
  </si>
  <si>
    <t>175A 3P BREAKER PLUG-ON</t>
  </si>
  <si>
    <t>200A 3P BREAKER PLUG-ON</t>
  </si>
  <si>
    <t>225A 3P BREAKER PLUG-ON</t>
  </si>
  <si>
    <t>MOLDED CASE BREAKERS - 240-277V RATED</t>
  </si>
  <si>
    <t>THREE PHASE MOLDED CASE - 240-277V RATED</t>
  </si>
  <si>
    <t>15A 3P BREAKER MOLDED CASE - 240-277V RATED</t>
  </si>
  <si>
    <t>20A 3P BREAKER MOLDED CASE - 240-277V RATED</t>
  </si>
  <si>
    <t>30A 3P BREAKER MOLDED CASE - 240-277V RATED</t>
  </si>
  <si>
    <t>40A 3P BREAKER MOLDED CASE - 240-277V RATED</t>
  </si>
  <si>
    <t>50A 3P BREAKER MOLDED CASE - 240-277V RATED</t>
  </si>
  <si>
    <t>60A 3P BREAKER MOLDED CASE - 240-277V RATED</t>
  </si>
  <si>
    <t>70A 3P BREAKER MOLDED CASE - 240-277V RATED</t>
  </si>
  <si>
    <t>90A 3P BREAKER MOLDED CASE - 240-277V RATED</t>
  </si>
  <si>
    <t>100A 3P BREAKER MOLDED CASE - 240-277V RATED</t>
  </si>
  <si>
    <t>125A 3P BREAKER MOLDED CASE - 240-277V RATED</t>
  </si>
  <si>
    <t>150A 3P BREAKER MOLDED CASE - 240-277V RATED</t>
  </si>
  <si>
    <t>175A 3P BREAKER MOLDED CASE - 240-277V RATED</t>
  </si>
  <si>
    <t>200A 3P BREAKER MOLDED CASE - 240-277V RATED</t>
  </si>
  <si>
    <t>MOLDED CASE BREAKERS - 600V RATED</t>
  </si>
  <si>
    <t>THREE PHASE MOLDED CASE - 600V RATED</t>
  </si>
  <si>
    <t>15A 3P BREAKER MOLDED CASE - 600V RATED</t>
  </si>
  <si>
    <t>20A 3P BREAKER MOLDED CASE - 600V RATED</t>
  </si>
  <si>
    <t>30A 3P BREAKER MOLDED CASE - 600V RATED</t>
  </si>
  <si>
    <t>40A 3P BREAKER MOLDED CASE - 600V RATED</t>
  </si>
  <si>
    <t>50A 3P BREAKER MOLDED CASE - 600V RATED</t>
  </si>
  <si>
    <t>60A 3P BREAKER MOLDED CASE - 600V RATED</t>
  </si>
  <si>
    <t>70A 3P BREAKER MOLDED CASE - 600V RATED</t>
  </si>
  <si>
    <t>90A 3P BREAKER MOLDED CASE - 600V RATED</t>
  </si>
  <si>
    <t>100A 3P BREAKER MOLDED CASE - 600V RATED</t>
  </si>
  <si>
    <t>125A 3P BREAKER MOLDED CASE - 600V RATED</t>
  </si>
  <si>
    <t>150A 3P BREAKER MOLDED CASE - 600V RATED</t>
  </si>
  <si>
    <t>175A 3P BREAKER MOLDED CASE - 600V RATED</t>
  </si>
  <si>
    <t>200A 3P BREAKER MOLDED CASE - 600V RATED</t>
  </si>
  <si>
    <t>ONE PHASE MOLDED CASE - 240-277V RATED</t>
  </si>
  <si>
    <t>15A 1P BREAKER MOLDED CASE - 240-277V RATED</t>
  </si>
  <si>
    <t>20A 1P BREAKER MOLDED CASE - 240-277V RATED</t>
  </si>
  <si>
    <t>30A 1P BREAKER MOLDED CASE - 240-277V RATED</t>
  </si>
  <si>
    <t>40A 1P BREAKER MOLDED CASE - 240-277V RATED</t>
  </si>
  <si>
    <t>50A 1P BREAKER MOLDED CASE - 240-277V RATED</t>
  </si>
  <si>
    <t>60A 1P BREAKER MOLDED CASE - 240-277V RATED</t>
  </si>
  <si>
    <t>70A 1P BREAKER MOLDED CASE - 240-277V RATED</t>
  </si>
  <si>
    <t>90A 1P BREAKER MOLDED CASE - 240-277V RATED</t>
  </si>
  <si>
    <t>100A 1P BREAKER MOLDED CASE - 240-277V RATED</t>
  </si>
  <si>
    <t>TWO PHASE MOLDED CASE - 240-277V RATED</t>
  </si>
  <si>
    <t>15A 2P BREAKER MOLDED CASE - 240-277V RATED</t>
  </si>
  <si>
    <t>20A 2P BREAKER MOLDED CASE - 240-277V RATED</t>
  </si>
  <si>
    <t>30A 2P BREAKER MOLDED CASE - 240-277V RATED</t>
  </si>
  <si>
    <t>40A 2P BREAKER MOLDED CASE - 240-277V RATED</t>
  </si>
  <si>
    <t>50A 2P BREAKER MOLDED CASE - 240-277V RATED</t>
  </si>
  <si>
    <t>60A 2P BREAKER MOLDED CASE - 240-277V RATED</t>
  </si>
  <si>
    <t>70A 2P BREAKER MOLDED CASE - 240-277V RATED</t>
  </si>
  <si>
    <t>90A 2P BREAKER MOLDED CASE - 240-277V RATED</t>
  </si>
  <si>
    <t>100A 2P BREAKER MOLDED CASE - 240-277V RATED</t>
  </si>
  <si>
    <t>125A 2P BREAKER MOLDED CASE - 240-277V RATED</t>
  </si>
  <si>
    <t>150A 2P BREAKER MOLDED CASE - 240-277V RATED</t>
  </si>
  <si>
    <t>175A 2P BREAKER MOLDED CASE - 240-277V RATED</t>
  </si>
  <si>
    <t>200A 2P BREAKER MOLDED CASE - 240-277V RATED</t>
  </si>
  <si>
    <t>225A 3P BREAKER MOLDED CASE - 600V RATED</t>
  </si>
  <si>
    <t>250A 3P BREAKER MOLDED CASE - 600V RATED</t>
  </si>
  <si>
    <t>300A 3P BREAKER MOLDED CASE - 600V RATED</t>
  </si>
  <si>
    <t>350A 3P BREAKER MOLDED CASE - 600V RATED</t>
  </si>
  <si>
    <t>400A 3P BREAKER MOLDED CASE - 600V RATED</t>
  </si>
  <si>
    <t>500A 3P BREAKER MOLDED CASE - 600V RATED</t>
  </si>
  <si>
    <t>600A 3P BREAKER MOLDED CASE - 600V RATED</t>
  </si>
  <si>
    <t>700A 3P BREAKER MOLDED CASE - 600V RATED</t>
  </si>
  <si>
    <t>800A 3P BREAKER MOLDED CASE - 600V RATED</t>
  </si>
  <si>
    <t>1000A 3P BREAKER MOLDED CASE - 600V RATED</t>
  </si>
  <si>
    <t>1200A 3P BREAKER MOLDED CASE - 600V RATED</t>
  </si>
  <si>
    <t>1400A 3P BREAKER MOLDED CASE - 600V RATED</t>
  </si>
  <si>
    <t>1600A 3P BREAKER MOLDED CASE - 600V RATED</t>
  </si>
  <si>
    <t>2500A 3P BREAKER MOLDED CASE - 600V RATED</t>
  </si>
  <si>
    <t>30A MANUAL TRANSFER SWITCH 1PH</t>
  </si>
  <si>
    <t>50A MANUAL TRANSFER SWITCH 1PH</t>
  </si>
  <si>
    <t>100A MANUAL TRANSFER SWITCH 1PH</t>
  </si>
  <si>
    <t>90A MANUAL TRANSFER SWITCH 1PH</t>
  </si>
  <si>
    <t>70A MANUAL TRANSFER SWITCH 1PH</t>
  </si>
  <si>
    <t>40A MANUAL TRANSFER SWITCH 1PH</t>
  </si>
  <si>
    <t>150A MANUAL TRANSFER SWITCH 1PH</t>
  </si>
  <si>
    <t>MANUAL TRANSFER SWITCH</t>
  </si>
  <si>
    <t>AUTO TRANSFER SWITCH</t>
  </si>
  <si>
    <t>175A MANUAL TRANSFER SWITCH 1PH</t>
  </si>
  <si>
    <t>200A MANUAL TRANSFER SWITCH 1PH</t>
  </si>
  <si>
    <t>225A MANUAL TRANSFER SWITCH 1PH</t>
  </si>
  <si>
    <t>250A MANUAL TRANSFER SWITCH 1PH</t>
  </si>
  <si>
    <t>300A MANUAL TRANSFER SWITCH 1PH</t>
  </si>
  <si>
    <t>350A MANUAL TRANSFER SWITCH 1PH</t>
  </si>
  <si>
    <t>400A MANUAL TRANSFER SWITCH 1PH</t>
  </si>
  <si>
    <t>500A MANUAL TRANSFER SWITCH 1PH</t>
  </si>
  <si>
    <t>600A MANUAL TRANSFER SWITCH 1PH</t>
  </si>
  <si>
    <t>700A MANUAL TRANSFER SWITCH 1PH</t>
  </si>
  <si>
    <t>800A MANUAL TRANSFER SWITCH 1PH</t>
  </si>
  <si>
    <t>1000A MANUAL TRANSFER SWITCH 1PH</t>
  </si>
  <si>
    <t>1200A MANUAL TRANSFER SWITCH 1PH</t>
  </si>
  <si>
    <t>30A MANUAL TRANSFER SWITCH 3PH</t>
  </si>
  <si>
    <t>40A MANUAL TRANSFER SWITCH 3PH</t>
  </si>
  <si>
    <t>50A MANUAL TRANSFER SWITCH 3PH</t>
  </si>
  <si>
    <t>70A MANUAL TRANSFER SWITCH 3PH</t>
  </si>
  <si>
    <t>90A MANUAL TRANSFER SWITCH 3PH</t>
  </si>
  <si>
    <t>100A MANUAL TRANSFER SWITCH 3PH</t>
  </si>
  <si>
    <t>125A MANUAL TRANSFER SWITCH 3PH</t>
  </si>
  <si>
    <t>150A MANUAL TRANSFER SWITCH 3PH</t>
  </si>
  <si>
    <t>175A MANUAL TRANSFER SWITCH 3PH</t>
  </si>
  <si>
    <t>200A MANUAL TRANSFER SWITCH 3PH</t>
  </si>
  <si>
    <t>225A MANUAL TRANSFER SWITCH 3PH</t>
  </si>
  <si>
    <t>250A MANUAL TRANSFER SWITCH 3PH</t>
  </si>
  <si>
    <t>300A MANUAL TRANSFER SWITCH 3PH</t>
  </si>
  <si>
    <t>350A MANUAL TRANSFER SWITCH 3PH</t>
  </si>
  <si>
    <t>400A MANUAL TRANSFER SWITCH 3PH</t>
  </si>
  <si>
    <t>500A MANUAL TRANSFER SWITCH 3PH</t>
  </si>
  <si>
    <t>600A MANUAL TRANSFER SWITCH 3PH</t>
  </si>
  <si>
    <t>700A MANUAL TRANSFER SWITCH 3PH</t>
  </si>
  <si>
    <t>800A MANUAL TRANSFER SWITCH 3PH</t>
  </si>
  <si>
    <t>1000A MANUAL TRANSFER SWITCH 3PH</t>
  </si>
  <si>
    <t>1200A MANUAL TRANSFER SWITCH 3PH</t>
  </si>
  <si>
    <t>225A 3P BREAKER MOLDED CASE - 240-277V RATED</t>
  </si>
  <si>
    <t>NECA 1</t>
  </si>
  <si>
    <t>NECA 2</t>
  </si>
  <si>
    <t>NECA 3</t>
  </si>
  <si>
    <t>4x 1 1/2" OCT BOX 1/2" KO</t>
  </si>
  <si>
    <t>4" OCT BLANK COVER</t>
  </si>
  <si>
    <t>4" SQ BLANK COVER</t>
  </si>
  <si>
    <t>4x 2 1/8" SQ BOX COMB KO</t>
  </si>
  <si>
    <t>4 11/16x 2 1/8" SQ BOX COMB KO</t>
  </si>
  <si>
    <t>4 11/16" SQ BLANK COVER</t>
  </si>
  <si>
    <t xml:space="preserve"> 6x  6x  4" BOX SCREW CVR PNTD - NEMA  1</t>
  </si>
  <si>
    <t xml:space="preserve"> 8x  8x  4" BOX SCREW CVR PNTD - NEMA  1</t>
  </si>
  <si>
    <t>10x 10x  4" BOX SCREW CVR PNTD - NEMA  1</t>
  </si>
  <si>
    <t>12x 12x  4" BOX SCREW CVR PNTD - NEMA  1</t>
  </si>
  <si>
    <t>16x 16x  6" BOX SCREW CVR PNTD - NEMA  1</t>
  </si>
  <si>
    <t>24x 24x  6" BOX SCREW CVR PNTD - NEMA  1</t>
  </si>
  <si>
    <t>30x 30x 10" BOX SCREW CVR PNTD - NEMA  1</t>
  </si>
  <si>
    <t>#10x 3/4 P/H SELF-TAP SCREW</t>
  </si>
  <si>
    <t>1/4-20 x 1 3/4 WEDGE ANCHOR - 1 1/8" MIN DEPTH</t>
  </si>
  <si>
    <t>3/4" CONDUIT - EMT</t>
  </si>
  <si>
    <t>3/4" CONN SS STL - EMT</t>
  </si>
  <si>
    <t>3/4" COUPLING SS STL - EMT</t>
  </si>
  <si>
    <t>1" CONDUIT - EMT</t>
  </si>
  <si>
    <t>1" CONN SS STL - EMT</t>
  </si>
  <si>
    <t>1" COUPLING SS STL - EMT</t>
  </si>
  <si>
    <t>1" CONN FLEX DC SQUEEZE STRAIGHT</t>
  </si>
  <si>
    <t>1" CONN STRAIGHT - LIQUIDTIGHT DIECAST</t>
  </si>
  <si>
    <t>1" CONN 90 DEG - LIQUIDTIGHT DIECAST</t>
  </si>
  <si>
    <t>1" 1-H STRAP - EMT - STEEL</t>
  </si>
  <si>
    <t>3/4" FLEX - LIQUIDTIGHT METALLIC - GRAY</t>
  </si>
  <si>
    <t>3/4" CONN STRAIGHT - LIQUIDTIGHT DIECAST</t>
  </si>
  <si>
    <t>3/4" CONN 90 DEG - LIQUIDTIGHT DIECAST</t>
  </si>
  <si>
    <t>1/2" FLEX - LIQUIDTIGHT METALLIC - GRAY</t>
  </si>
  <si>
    <t>1/2" CONN STRAIGHT - LIQUIDTIGHT DIECAST</t>
  </si>
  <si>
    <t>1/2" CONN 90 DEG - LIQUIDTIGHT DIECAST</t>
  </si>
  <si>
    <t>2" CONN FLEX DC SQUEEZE STRAIGHT</t>
  </si>
  <si>
    <t>1" FLEX - LIQUIDTIGHT METALLIC - GRAY</t>
  </si>
  <si>
    <t>2" FLEX - STEEL</t>
  </si>
  <si>
    <t>2" FLEX - LIQUIDTIGHT METALLIC - GRAY</t>
  </si>
  <si>
    <t>3" FLEX - STEEL</t>
  </si>
  <si>
    <t>3" FLEX - LIQUIDTIGHT METALLIC - GRAY</t>
  </si>
  <si>
    <t>4" FLEX - STEEL</t>
  </si>
  <si>
    <t>4" FLEX - LIQUIDTIGHT METALLIC - GRAY</t>
  </si>
  <si>
    <t>1" FLEX - STEEL</t>
  </si>
  <si>
    <t>2" CONN STRAIGHT - LIQUIDTIGHT DIECAST</t>
  </si>
  <si>
    <t>2" CONN 90 DEG - LIQUIDTIGHT DIECAST</t>
  </si>
  <si>
    <t>4" CONN STRAIGHT - LIQUIDTIGHT DIECAST</t>
  </si>
  <si>
    <t>4" CONN 90 DEG - LIQUIDTIGHT DIECAST</t>
  </si>
  <si>
    <t>3" CONN STRAIGHT - LIQUIDTIGHT DIECAST</t>
  </si>
  <si>
    <t>3" CONN 90 DEG - LIQUIDTIGHT DIECAST</t>
  </si>
  <si>
    <t>30A TRANSFER SWITCH 1PH</t>
  </si>
  <si>
    <t>40A TRANSFER SWITCH 1PH</t>
  </si>
  <si>
    <t>50A TRANSFER SWITCH 1PH</t>
  </si>
  <si>
    <t>70A TRANSFER SWITCH 1PH</t>
  </si>
  <si>
    <t>90A TRANSFER SWITCH 1PH</t>
  </si>
  <si>
    <t>100A TRANSFER SWITCH 1PH</t>
  </si>
  <si>
    <t>LABOR RATE</t>
  </si>
  <si>
    <t>REFERENCE CODE</t>
  </si>
  <si>
    <t>SR.
NO.</t>
  </si>
  <si>
    <t/>
  </si>
  <si>
    <t>20A 125V DUP REC - 6-20R</t>
  </si>
  <si>
    <t>REC PLATE</t>
  </si>
  <si>
    <t>20A 125V DUP REC - 6-30R</t>
  </si>
  <si>
    <t>USB 20A 125V DUP REC - IVY (SG)</t>
  </si>
  <si>
    <t>1G USB REC PLATE - PLASTIC IVY</t>
  </si>
  <si>
    <t>Duplex Receptacle, W/ Floor Box</t>
  </si>
  <si>
    <t>Floor Box &amp; Cover</t>
  </si>
  <si>
    <t>QUAD Receptacle, W/ Floor Box</t>
  </si>
  <si>
    <t>40A 125V DUP REC - 6-40R</t>
  </si>
  <si>
    <t>50A 125V DUP REC - 6-50R</t>
  </si>
  <si>
    <t>60A 125V DUP REC - 6-60R</t>
  </si>
  <si>
    <t>20A 125V DUP REC - AFCI IVY W/ AUDIBLE ALARM</t>
  </si>
  <si>
    <t>HOPS 20A 125V DUP REC - IVY (SG)</t>
  </si>
  <si>
    <t>HOPS 20A 125V DUP REC ISO GRND</t>
  </si>
  <si>
    <t>HOPS GFI 20A 125V DUP REC - IVY (SG)</t>
  </si>
  <si>
    <t>Tamper 20A 125V DUP REC - IVY (SG)</t>
  </si>
  <si>
    <t>Tamper GFCI 20A 125V DUP REC - IVY (SG)</t>
  </si>
  <si>
    <t>Tamper 20A 125V DUP REC - ISO GRD ORG (SG)</t>
  </si>
  <si>
    <t>Tamper 20A 125V 3W SGL REC - BRN (SG)</t>
  </si>
  <si>
    <t>Tamper GFCI 20A 125V 3W SGL REC - BRN (SG)</t>
  </si>
  <si>
    <t>RECEPTACLES WEATHERPROOF</t>
  </si>
  <si>
    <t>4x 1 1/2" SQ NM BOX</t>
  </si>
  <si>
    <t>#10x   3/4 WOOD SCREW</t>
  </si>
  <si>
    <t>FLUSH MOUNTED RECEPTACLES  1G-2G</t>
  </si>
  <si>
    <t>MOTOR RATED SWITCH</t>
  </si>
  <si>
    <t>OCCUPANCY SENSOR SWITCH</t>
  </si>
  <si>
    <t>VACANCY SENSOR SWITCH</t>
  </si>
  <si>
    <t>OCCUPANCY SENSOR</t>
  </si>
  <si>
    <t>2-GANG SWITCH BANK</t>
  </si>
  <si>
    <t>3-GANG SWITCH BANK</t>
  </si>
  <si>
    <t>4-GANG SWITCH BANK</t>
  </si>
  <si>
    <t>4G CONCENTRIC KO BOX</t>
  </si>
  <si>
    <t>4G TGL SWITCH PLATE - PLASTIC IVY</t>
  </si>
  <si>
    <t>5-GANG SWITCH BANK</t>
  </si>
  <si>
    <t>5G CONCENTRIC KO BOX</t>
  </si>
  <si>
    <t>5G TGL SWITCH PLATE - PLASTIC IVY</t>
  </si>
  <si>
    <t>6-GANG SWITCH BANK</t>
  </si>
  <si>
    <t>6G CONCENTRIC KO BOX</t>
  </si>
  <si>
    <t>6G TGL SWITCH PLATE - PLASTIC IVY</t>
  </si>
  <si>
    <t>7-GANG SWITCH BANK</t>
  </si>
  <si>
    <t>7G CONCENTRIC KO BOX</t>
  </si>
  <si>
    <t>7G TGL SWITCH PLATE - PLASTIC IVY</t>
  </si>
  <si>
    <t>8-GANG SWITCH BANK</t>
  </si>
  <si>
    <t>8G CONCENTRIC KO BOX</t>
  </si>
  <si>
    <t>8G TGL SWITCH PLATE - PLASTIC IVY</t>
  </si>
  <si>
    <t>9-GANG SWITCH BANK</t>
  </si>
  <si>
    <t>9G TGL SWITCH PLATE - PLASTIC IVY</t>
  </si>
  <si>
    <t xml:space="preserve">ACCESSORIES FOR SWITCH/SENSOR NM </t>
  </si>
  <si>
    <t>VACANCY SENSOR</t>
  </si>
  <si>
    <t>30A 125V DUP REC - 6-30R</t>
  </si>
  <si>
    <t>BackBox NM</t>
  </si>
  <si>
    <t>DEMO 1200A 3PH TRANSFER SW</t>
  </si>
  <si>
    <t>DEMO  800A 3PH TRANSFER SW</t>
  </si>
  <si>
    <t>DEMO  600A 3PH TRANSFER SW</t>
  </si>
  <si>
    <t>DEMO  400A 3PH TRANSFER SW</t>
  </si>
  <si>
    <t>DEMO  200A 3PH TRANSFER SW</t>
  </si>
  <si>
    <t>DEMO  100A 3PH TRANSFER SW</t>
  </si>
  <si>
    <t>DEMO   50A 3PH TRANSFER SW</t>
  </si>
  <si>
    <t>DEMO TRANSFER SW</t>
  </si>
  <si>
    <t xml:space="preserve"> </t>
  </si>
  <si>
    <t>DEMO 1500kW GENERATOR</t>
  </si>
  <si>
    <t>DEMO 1000kW GENERATOR</t>
  </si>
  <si>
    <t>DEMO  500kW GENERATOR</t>
  </si>
  <si>
    <t>DEMO  300kW GENERATOR</t>
  </si>
  <si>
    <t>DEMO  250kW GENERATOR</t>
  </si>
  <si>
    <t>DEMO  200kW GENERATOR</t>
  </si>
  <si>
    <t>DEMO  150kW GENERATOR</t>
  </si>
  <si>
    <t>DEMO  100kW GENERATOR</t>
  </si>
  <si>
    <t>DEMO   75kW GENERATOR</t>
  </si>
  <si>
    <t>DEMO   50kW GENERATOR</t>
  </si>
  <si>
    <t>DEMO   40kW GENERATOR</t>
  </si>
  <si>
    <t>DEMO   25kW GENERATOR</t>
  </si>
  <si>
    <t>DEMO   15kW GENERATOR</t>
  </si>
  <si>
    <t>DEMO   10kW GENERATOR</t>
  </si>
  <si>
    <t>DEMO    8kW GENERATOR</t>
  </si>
  <si>
    <t>DEMO GENERATOR</t>
  </si>
  <si>
    <t>DEMO 1000kVA 3PH TRANSFORMER</t>
  </si>
  <si>
    <t>DEMO  750kVA 3PH TRANSFORMER</t>
  </si>
  <si>
    <t>DEMO  600kVA 3PH TRANSFORMER</t>
  </si>
  <si>
    <t>DEMO  500kVA 3PH TRANSFORMER</t>
  </si>
  <si>
    <t>DEMO  450kVA 3PH TRANSFORMER</t>
  </si>
  <si>
    <t>DEMO  300kVA 3PH TRANSFORMER</t>
  </si>
  <si>
    <t>DEMO  225kVA 3PH TRANSFORMER</t>
  </si>
  <si>
    <t>DEMO  150kVA 3PH TRANSFORMER</t>
  </si>
  <si>
    <t>DEMO  112kVA 3PH TRANSFORMER</t>
  </si>
  <si>
    <t>DEMO   45kVA 3PH TRANSFORMER</t>
  </si>
  <si>
    <t>DEMO   30kVA 3PH TRANSFORMER</t>
  </si>
  <si>
    <t>DEMO   15kVA 3PH TRANSFORMER</t>
  </si>
  <si>
    <t>DEMO    9kVA 3PH TRANSFORMER</t>
  </si>
  <si>
    <t>DEMO    6kVA 3PH TRANSFORMER</t>
  </si>
  <si>
    <t>DEMO    3kVA 3PH TRANSFORMER</t>
  </si>
  <si>
    <t>DEMO    2kVA 3PH TRANSFORMER</t>
  </si>
  <si>
    <t>DEMO TRANSFORMER</t>
  </si>
  <si>
    <t>DEMO  800A SPLITTER</t>
  </si>
  <si>
    <t>DEMO  600A SPLITTER</t>
  </si>
  <si>
    <t>DEMO  400A SPLITTER</t>
  </si>
  <si>
    <t>DEMO  225A SPLITTER</t>
  </si>
  <si>
    <t>DEMO  100A SPLITTER</t>
  </si>
  <si>
    <t>DEMO   70A SPLITTER</t>
  </si>
  <si>
    <t>DEMO SPLITTER</t>
  </si>
  <si>
    <t>DEMO 1200A DSN SWITCH</t>
  </si>
  <si>
    <t>DEMO  800A DSN SWITCH</t>
  </si>
  <si>
    <t>DEMO  600A DSN SWITCH</t>
  </si>
  <si>
    <t>DEMO  400A DSN SWITCH</t>
  </si>
  <si>
    <t>DEMO  200A DSN SWITCH</t>
  </si>
  <si>
    <t>DEMO  100A DSN SWITCH</t>
  </si>
  <si>
    <t>DEMO   60A DSN SWITCH</t>
  </si>
  <si>
    <t>DEMO   30A DSN SWITCH</t>
  </si>
  <si>
    <t>DEMO DSN SWITCH</t>
  </si>
  <si>
    <t>DEMO 3P MOLDED CASE BRKR NEMA  1</t>
  </si>
  <si>
    <t>DEMO 2P MOLDED CASE BRKR NEMA  1</t>
  </si>
  <si>
    <t>DEMO 1P MOLDED CASE BRKR NEMA  1</t>
  </si>
  <si>
    <t>DEMO 3P BRKR NEMA  1</t>
  </si>
  <si>
    <t>DEMO 2P BRKR NEMA  1</t>
  </si>
  <si>
    <t>DEMO 1P BRKR NEMA  1</t>
  </si>
  <si>
    <t>DEMO BRKR NEMA  1</t>
  </si>
  <si>
    <t>DEMO DBL-TUB BRKR/PANEL</t>
  </si>
  <si>
    <t>DEMO  600A BRANCH PANEL</t>
  </si>
  <si>
    <t>DEMO  400A BRANCH PANEL</t>
  </si>
  <si>
    <t>DEMO  225A BRANCH PANEL</t>
  </si>
  <si>
    <t>DEMO  150A BRANCH PANEL</t>
  </si>
  <si>
    <t>DEMO  125A BRANCH PANEL</t>
  </si>
  <si>
    <t>DEMO  100A BRANCH PANEL</t>
  </si>
  <si>
    <t>DEMO BRANCH PANEL</t>
  </si>
  <si>
    <t>DEMO 1200A DPB PANEL</t>
  </si>
  <si>
    <t>DEMO 1000A DPB PANEL</t>
  </si>
  <si>
    <t>DEMO  800A DPB PANEL</t>
  </si>
  <si>
    <t>DEMO  600A DPB PANEL</t>
  </si>
  <si>
    <t>DEMO  400A DPB PANEL</t>
  </si>
  <si>
    <t>DEMO  225A DPB PANEL</t>
  </si>
  <si>
    <t>DEMO DPB PANEL</t>
  </si>
  <si>
    <t>DEMO 4000A MCC SECTION</t>
  </si>
  <si>
    <t>DEMO 3500A MCC SECTION</t>
  </si>
  <si>
    <t>DEMO 3000A MCC SECTION</t>
  </si>
  <si>
    <t>DEMO 2500A MCC SECTION</t>
  </si>
  <si>
    <t>DEMO 2000A MCC SECTION</t>
  </si>
  <si>
    <t>DEMO 1600A MCC SECTION</t>
  </si>
  <si>
    <t>DEMO 1200A MCC SECTION</t>
  </si>
  <si>
    <t>DEMO  800A MCC SECTION</t>
  </si>
  <si>
    <t>DEMO  600A MCC SECTION</t>
  </si>
  <si>
    <t>DEMO  400A MCC SECTION</t>
  </si>
  <si>
    <t>DEMO  200A MCC SECTION</t>
  </si>
  <si>
    <t>DEMO  100A MCC SECTION</t>
  </si>
  <si>
    <t>DEMO MCC SECTION</t>
  </si>
  <si>
    <t>DEMO 4000A SWBD SECTION</t>
  </si>
  <si>
    <t>DEMO 3000A SWBD SECTION</t>
  </si>
  <si>
    <t>DEMO 2500A SWBD SECTION</t>
  </si>
  <si>
    <t>DEMO 2000A SWBD SECTION</t>
  </si>
  <si>
    <t>DEMO 1600A SWBD SECTION</t>
  </si>
  <si>
    <t>DEMO 1200A SWBD SECTION</t>
  </si>
  <si>
    <t>DEMO  800A SWBD SECTION</t>
  </si>
  <si>
    <t>DEMO  600A SWBD SECTION</t>
  </si>
  <si>
    <t>DEMO  400A SWBD SECTION</t>
  </si>
  <si>
    <t>DEMO  200A SWBD SECTION</t>
  </si>
  <si>
    <t>DEMO SWBD SECTION</t>
  </si>
  <si>
    <t>DEMO STARTER SIZE 5 3PH COMB</t>
  </si>
  <si>
    <t>DEMO STARTER SIZE 4 3PH COMB</t>
  </si>
  <si>
    <t>DEMO STARTER SIZE 3 3PH COMB</t>
  </si>
  <si>
    <t>DEMO STARTER SIZE 2 3PH COMB</t>
  </si>
  <si>
    <t>DEMO STARTER SIZE 1 3PH COMB</t>
  </si>
  <si>
    <t>DEMO STARTER SIZE 0 3PH COMB</t>
  </si>
  <si>
    <t>DEMO COMB STARTER</t>
  </si>
  <si>
    <t>DEMO STARTER SIZE 9 3PH MAGN</t>
  </si>
  <si>
    <t>DEMO STARTER SIZE 8 3PH MAGN</t>
  </si>
  <si>
    <t>DEMO STARTER SIZE 7 3PH MAGN</t>
  </si>
  <si>
    <t>DEMO STARTER SIZE 6 3PH MAGN</t>
  </si>
  <si>
    <t>DEMO STARTER SIZE 5 3PH MAGN</t>
  </si>
  <si>
    <t>DEMO STARTER SIZE 4 3PH MAGN</t>
  </si>
  <si>
    <t>DEMO STARTER SIZE 3 3PH MAGN</t>
  </si>
  <si>
    <t>DEMO STARTER SIZE 2 3PH MAGN</t>
  </si>
  <si>
    <t>DEMO STARTER SIZE 1 3PH MAGN</t>
  </si>
  <si>
    <t>DEMO STARTER SIZE 0 3PH MAGN</t>
  </si>
  <si>
    <t>DEMO STARTER SIZE 2 1PH MAGN</t>
  </si>
  <si>
    <t>DEMO STARTER SIZE 1 1PH MAGN</t>
  </si>
  <si>
    <t>DEMO STARTER SIZE 0 1PH MAGN</t>
  </si>
  <si>
    <t>DEMO MAGN STARTER</t>
  </si>
  <si>
    <t>DEMO STARTER 3P NEMA 1 MANUAL</t>
  </si>
  <si>
    <t>DEMO STARTER 2P NEMA 1 MANUAL</t>
  </si>
  <si>
    <t xml:space="preserve">DEMO STARTER 1P NEMA 1 MANUAL </t>
  </si>
  <si>
    <t>DEMO STARTER 2P OPEN MANUAL</t>
  </si>
  <si>
    <t>DEMO STARTER 1P OPEN MANUAL</t>
  </si>
  <si>
    <t>DEMO STARTER</t>
  </si>
  <si>
    <t>DEMO BUS DUCT 4000A</t>
  </si>
  <si>
    <t>DEMO BUS DUCT 3500A</t>
  </si>
  <si>
    <t>DEMO BUS DUCT 3000A</t>
  </si>
  <si>
    <t>DEMO BUS DUCT 2500A</t>
  </si>
  <si>
    <t>DEMO BUS DUCT 2000A</t>
  </si>
  <si>
    <t>DEMO BUS DUCT 1600A</t>
  </si>
  <si>
    <t>DEMO BUS DUCT 1350A</t>
  </si>
  <si>
    <t>DEMO BUS DUCT 1200A</t>
  </si>
  <si>
    <t>DEMO BUS DUCT 1000A</t>
  </si>
  <si>
    <t>DEMO BUS DUCT  800A</t>
  </si>
  <si>
    <t>DEMO BUS DUCT  600A</t>
  </si>
  <si>
    <t>DEMO BUS DUCT  400A</t>
  </si>
  <si>
    <t>DEMO BUS DUCT  225A</t>
  </si>
  <si>
    <t>DEMO BUS DUCT</t>
  </si>
  <si>
    <t>DEMO 6    x 6"     WIREWAY</t>
  </si>
  <si>
    <t>DEMO 4    x 4"     WIREWAY</t>
  </si>
  <si>
    <t>DEMO 2 1/2x 2 1/2" WIREWAY</t>
  </si>
  <si>
    <t>WIREWAY</t>
  </si>
  <si>
    <t>DEMO TRAY 36" OPEN</t>
  </si>
  <si>
    <t>DEMO TRAY 30" OPEN</t>
  </si>
  <si>
    <t>DEMO TRAY 24" OPEN</t>
  </si>
  <si>
    <t>DEMO TRAY 18" OPEN</t>
  </si>
  <si>
    <t>DEMO TRAY 12" OPEN</t>
  </si>
  <si>
    <t>DEMO TRAY  6" OPEN</t>
  </si>
  <si>
    <t>CABLE TRAY DEMO</t>
  </si>
  <si>
    <t>DEMO UP TO 6" RMC &amp; WIRE</t>
  </si>
  <si>
    <t>DEMO UP TO 5" RMC &amp; WIRE</t>
  </si>
  <si>
    <t>DEMO UP TO 4" RMC &amp; WIRE</t>
  </si>
  <si>
    <t>DEMO UP TO 3" RMC &amp; WIRE</t>
  </si>
  <si>
    <t>DEMO UP TO 2" RMC &amp; WIRE</t>
  </si>
  <si>
    <t>DEMO UP TO 1" RMC &amp; WIRE</t>
  </si>
  <si>
    <t>DEMO UP TO 4" EMT &amp; WIRE</t>
  </si>
  <si>
    <t>DEMO UP TO 3" EMT &amp; WIRE</t>
  </si>
  <si>
    <t>DEMO UP TO 2" EMT &amp; WIRE</t>
  </si>
  <si>
    <t>DEMO UP TO 1" EMT &amp; WIRE</t>
  </si>
  <si>
    <t>CONDUIT &amp; WIRE DEMO</t>
  </si>
  <si>
    <t>DEMO METER CABINET</t>
  </si>
  <si>
    <t>DEMO TELEPHONE CABINET</t>
  </si>
  <si>
    <t>DEMO 24x 24x  6" J-BOX</t>
  </si>
  <si>
    <t>DEMO 18x 18x  6" J-BOX</t>
  </si>
  <si>
    <t>DEMO 16x 16x  6" J-BOX</t>
  </si>
  <si>
    <t>DEMO 12x 12x  6" J-BOX</t>
  </si>
  <si>
    <t>DEMO 10x 10x  6" J-BOX</t>
  </si>
  <si>
    <t>DEMO  8x  8x  4" J-BOX</t>
  </si>
  <si>
    <t>DEMO  6x  6x  4" J-BOX</t>
  </si>
  <si>
    <t xml:space="preserve"> J-BOX &amp; CABINET DEMO</t>
  </si>
  <si>
    <t>DEMO P/A CONSOLE</t>
  </si>
  <si>
    <t>DEMO SPEAKER</t>
  </si>
  <si>
    <t>DEMO CLOCK</t>
  </si>
  <si>
    <t>DEMO NURSE CALL PANEL</t>
  </si>
  <si>
    <t>DEMO NURSE CALL DEVICE</t>
  </si>
  <si>
    <t>DEMO TEL/DATA OUTLET</t>
  </si>
  <si>
    <t>LOW - VOLTAGE DEMO</t>
  </si>
  <si>
    <t>DEMO MECHANICAL CONN</t>
  </si>
  <si>
    <t>DEMO F/A END OF LINE RESISTOR</t>
  </si>
  <si>
    <t>DEMO F/A FIREFIGHTERS PHONE</t>
  </si>
  <si>
    <t>DEMO F/A DOUBLE HORN</t>
  </si>
  <si>
    <t>DEMO F/A SINGLE HORN</t>
  </si>
  <si>
    <t>DEMO F/A EVAC SPEAKER</t>
  </si>
  <si>
    <t>DEMO F/A BELL</t>
  </si>
  <si>
    <t>DEMO F/A HEAT DETECTOR</t>
  </si>
  <si>
    <t>DEMO F/A SMOKE DETECTOR</t>
  </si>
  <si>
    <t>DEMO F/A PULL STATION</t>
  </si>
  <si>
    <t>F/A DEMO</t>
  </si>
  <si>
    <t>DEMO SWITCH</t>
  </si>
  <si>
    <t>DEMO RECEPTACLE</t>
  </si>
  <si>
    <t>RECEPTACLE &amp; SWITCH DEMO</t>
  </si>
  <si>
    <t>DEMO LUMINAIRE 8' TRACK</t>
  </si>
  <si>
    <t>DEMO LUMINAIRE TRACK</t>
  </si>
  <si>
    <t>DEMO LUMINAIRE QUARTZ</t>
  </si>
  <si>
    <t>DEMO LUMINAIRE MH</t>
  </si>
  <si>
    <t>DEMO LUMINAIRE MV</t>
  </si>
  <si>
    <t>DEMO FIXTURE HPS</t>
  </si>
  <si>
    <t>DEMO FIXTURE INCANDESCENT</t>
  </si>
  <si>
    <t>DEMO FIXTURE FLUORESCENT</t>
  </si>
  <si>
    <t>DEMO FIXTURE EMERGENCY REMOTE</t>
  </si>
  <si>
    <t>DEMO FIXTURE EXIT/EMERGENCY</t>
  </si>
  <si>
    <t>DEMO FIXTURE EMERGENCY</t>
  </si>
  <si>
    <t>DEMO FIXTURE EXIT</t>
  </si>
  <si>
    <t>DEMO FIXTURE 8' INDUSTRIAL</t>
  </si>
  <si>
    <t>DEMO FIXTURE 4' INDUSTRIAL</t>
  </si>
  <si>
    <t>DEMO FIXTURE 8' STRIP</t>
  </si>
  <si>
    <t>DEMO FIXTURE 4' STRIP</t>
  </si>
  <si>
    <t>DEMO FIXTURE 2' x 2' SURFACE</t>
  </si>
  <si>
    <t>DEMO FIXTURE 1' x 4' SURFACE</t>
  </si>
  <si>
    <t>DEMO FIXTURE 2' x 4' SURFACE</t>
  </si>
  <si>
    <t>DEMO FIXTURE RCSD DOWN LITE</t>
  </si>
  <si>
    <t>DEMO FIXTURE 2' x 2' RCSD</t>
  </si>
  <si>
    <t>DEMO FIXTURE 1' x 4' RCSD</t>
  </si>
  <si>
    <t>DEMO FIXTURE 2' x 4' RCSD</t>
  </si>
  <si>
    <t>FIXTURE DEMO</t>
  </si>
  <si>
    <t>8000A 20-SECTION SWGR - 13.8KV</t>
  </si>
  <si>
    <t>8000A 19-SECTION SWGR - 13.8KV</t>
  </si>
  <si>
    <t>8000A 18-SECTION SWGR - 13.8KV</t>
  </si>
  <si>
    <t>8000A 17-SECTION SWGR - 13.8KV</t>
  </si>
  <si>
    <t>8000A 16-SECTION SWGR - 13.8KV</t>
  </si>
  <si>
    <t>8000A 15-SECTION SWGR - 13.8KV</t>
  </si>
  <si>
    <t>8000A 14-SECTION SWGR - 13.8KV</t>
  </si>
  <si>
    <t>8000A 13-SECTION SWGR - 13.8KV</t>
  </si>
  <si>
    <t>8000A 12-SECTION SWGR - 13.8KV</t>
  </si>
  <si>
    <t>8000A 11-SECTION SWGR - 13.8KV</t>
  </si>
  <si>
    <t>8000A 10-SECTION SWGR - 13.8KV</t>
  </si>
  <si>
    <t>8000A  9-SECTION SWGR - 13.8KV</t>
  </si>
  <si>
    <t>8000A  8-SECTION SWGR - 13.8KV</t>
  </si>
  <si>
    <t>8000A  7-SECTION SWGR - 13.8KV</t>
  </si>
  <si>
    <t>8000A  6-SECTION SWGR - 13.8KV</t>
  </si>
  <si>
    <t>8000A  5-SECTION SWGR - 13.8KV</t>
  </si>
  <si>
    <t>8000A  4-SECTION SWGR - 13.8KV</t>
  </si>
  <si>
    <t>8000A  3-SECTION SWGR - 13.8KV</t>
  </si>
  <si>
    <t>8000A  2-SECTION SWGR - 13.8KV</t>
  </si>
  <si>
    <t>8000A  1-SECTION SWGR - 13.8KV</t>
  </si>
  <si>
    <t>8000A SWGR - 13.8KV</t>
  </si>
  <si>
    <t>6000A 20-SECTION SWGR - 13.8KV</t>
  </si>
  <si>
    <t>6000A 19-SECTION SWGR - 13.8KV</t>
  </si>
  <si>
    <t>6000A 18-SECTION SWGR - 13.8KV</t>
  </si>
  <si>
    <t>6000A 17-SECTION SWGR - 13.8KV</t>
  </si>
  <si>
    <t>6000A 16-SECTION SWGR - 13.8KV</t>
  </si>
  <si>
    <t>6000A 15-SECTION SWGR - 13.8KV</t>
  </si>
  <si>
    <t>6000A 14-SECTION SWGR - 13.8KV</t>
  </si>
  <si>
    <t>6000A 13-SECTION SWGR - 13.8KV</t>
  </si>
  <si>
    <t>6000A 12-SECTION SWGR - 13.8KV</t>
  </si>
  <si>
    <t>6000A 11-SECTION SWGR - 13.8KV</t>
  </si>
  <si>
    <t>6000A 10-SECTION SWGR - 13.8KV</t>
  </si>
  <si>
    <t>6000A  9-SECTION SWGR - 13.8KV</t>
  </si>
  <si>
    <t>6000A  8-SECTION SWGR - 13.8KV</t>
  </si>
  <si>
    <t>6000A  7-SECTION SWGR - 13.8KV</t>
  </si>
  <si>
    <t>6000A  6-SECTION SWGR - 13.8KV</t>
  </si>
  <si>
    <t>6000A  5-SECTION SWGR - 13.8KV</t>
  </si>
  <si>
    <t>6000A  4-SECTION SWGR - 13.8KV</t>
  </si>
  <si>
    <t>6000A  3-SECTION SWGR - 13.8KV</t>
  </si>
  <si>
    <t>6000A  2-SECTION SWGR - 13.8KV</t>
  </si>
  <si>
    <t>6000A  1-SECTION SWGR - 13.8KV</t>
  </si>
  <si>
    <t>6000A SWGR - 13.8KV</t>
  </si>
  <si>
    <t>4000A 20-SECTION SWGR - 13.8KV</t>
  </si>
  <si>
    <t>4000A 19-SECTION SWGR - 13.8KV</t>
  </si>
  <si>
    <t>4000A 18-SECTION SWGR - 13.8KV</t>
  </si>
  <si>
    <t>4000A 17-SECTION SWGR - 13.8KV</t>
  </si>
  <si>
    <t>4000A 16-SECTION SWGR - 13.8KV</t>
  </si>
  <si>
    <t>4000A 15-SECTION SWGR - 13.8KV</t>
  </si>
  <si>
    <t>4000A 14-SECTION SWGR - 13.8KV</t>
  </si>
  <si>
    <t>4000A 13-SECTION SWGR - 13.8KV</t>
  </si>
  <si>
    <t>4000A 12-SECTION SWGR - 13.8KV</t>
  </si>
  <si>
    <t>4000A 11-SECTION SWGR - 13.8KV</t>
  </si>
  <si>
    <t>4000A 10-SECTION SWGR - 13.8KV</t>
  </si>
  <si>
    <t>4000A  9-SECTION SWGR - 13.8KV</t>
  </si>
  <si>
    <t>4000A  8-SECTION SWGR - 13.8KV</t>
  </si>
  <si>
    <t>4000A  7-SECTION SWGR - 13.8KV</t>
  </si>
  <si>
    <t>4000A  6-SECTION SWGR - 13.8KV</t>
  </si>
  <si>
    <t>4000A  5-SECTION SWGR - 13.8KV</t>
  </si>
  <si>
    <t>4000A  4-SECTION SWGR - 13.8KV</t>
  </si>
  <si>
    <t>4000A  3-SECTION SWGR - 13.8KV</t>
  </si>
  <si>
    <t>4000A  2-SECTION SWGR - 13.8KV</t>
  </si>
  <si>
    <t>4000A  1-SECTION SWGR - 13.8KV</t>
  </si>
  <si>
    <t>4000A SWGR - 13.8KV</t>
  </si>
  <si>
    <t>3500A 20-SECTION SWGR - 13.8KV</t>
  </si>
  <si>
    <t>3500A 19-SECTION SWGR - 13.8KV</t>
  </si>
  <si>
    <t>3500A 18-SECTION SWGR - 13.8KV</t>
  </si>
  <si>
    <t>3500A 17-SECTION SWGR - 13.8KV</t>
  </si>
  <si>
    <t>3500A 16-SECTION SWGR - 13.8KV</t>
  </si>
  <si>
    <t>3500A 15-SECTION SWGR - 13.8KV</t>
  </si>
  <si>
    <t>3500A 14-SECTION SWGR - 13.8KV</t>
  </si>
  <si>
    <t>3500A 13-SECTION SWGR - 13.8KV</t>
  </si>
  <si>
    <t>3500A 12-SECTION SWGR - 13.8KV</t>
  </si>
  <si>
    <t>3500A 11-SECTION SWGR - 13.8KV</t>
  </si>
  <si>
    <t>3500A 10-SECTION SWGR - 13.8KV</t>
  </si>
  <si>
    <t>3500A  9-SECTION SWGR - 13.8KV</t>
  </si>
  <si>
    <t>3500A  8-SECTION SWGR - 13.8KV</t>
  </si>
  <si>
    <t>3500A  7-SECTION SWGR - 13.8KV</t>
  </si>
  <si>
    <t>3500A  6-SECTION SWGR - 13.8KV</t>
  </si>
  <si>
    <t>3500A  5-SECTION SWGR - 13.8KV</t>
  </si>
  <si>
    <t>3500A  4-SECTION SWGR - 13.8KV</t>
  </si>
  <si>
    <t>3500A  3-SECTION SWGR - 13.8KV</t>
  </si>
  <si>
    <t>3500A  2-SECTION SWGR - 13.8KV</t>
  </si>
  <si>
    <t>3500A  1-SECTION SWGR - 13.8KV</t>
  </si>
  <si>
    <t>3500A SWGR - 13.8KV</t>
  </si>
  <si>
    <t>3000A 20-SECTION SWGR - 13.8KV</t>
  </si>
  <si>
    <t>3000A 19-SECTION SWGR - 13.8KV</t>
  </si>
  <si>
    <t>3000A 18-SECTION SWGR - 13.8KV</t>
  </si>
  <si>
    <t>3000A 17-SECTION SWGR - 13.8KV</t>
  </si>
  <si>
    <t>3000A 16-SECTION SWGR - 13.8KV</t>
  </si>
  <si>
    <t>3000A 15-SECTION SWGR - 13.8KV</t>
  </si>
  <si>
    <t>3000A 14-SECTION SWGR - 13.8KV</t>
  </si>
  <si>
    <t>3000A 13-SECTION SWGR - 13.8KV</t>
  </si>
  <si>
    <t>3000A 12-SECTION SWGR - 13.8KV</t>
  </si>
  <si>
    <t>3000A 11-SECTION SWGR - 13.8KV</t>
  </si>
  <si>
    <t>3000A 10-SECTION SWGR - 13.8KV</t>
  </si>
  <si>
    <t>3000A  9-SECTION SWGR - 13.8KV</t>
  </si>
  <si>
    <t>3000A  8-SECTION SWGR - 13.8KV</t>
  </si>
  <si>
    <t>3000A  7-SECTION SWGR - 13.8KV</t>
  </si>
  <si>
    <t>3000A  6-SECTION SWGR - 13.8KV</t>
  </si>
  <si>
    <t>3000A  5-SECTION SWGR - 13.8KV</t>
  </si>
  <si>
    <t>3000A  4-SECTION SWGR - 13.8KV</t>
  </si>
  <si>
    <t>3000A  3-SECTION SWGR - 13.8KV</t>
  </si>
  <si>
    <t>3000A  2-SECTION SWGR - 13.8KV</t>
  </si>
  <si>
    <t>3000A  1-SECTION SWGR - 13.8KV</t>
  </si>
  <si>
    <t>3000A SWGR - 13.8KV</t>
  </si>
  <si>
    <t>2500A 20-SECTION SWGR - 13.8KV</t>
  </si>
  <si>
    <t>2500A 19-SECTION SWGR - 13.8KV</t>
  </si>
  <si>
    <t>2500A 18-SECTION SWGR - 13.8KV</t>
  </si>
  <si>
    <t>2500A 17-SECTION SWGR - 13.8KV</t>
  </si>
  <si>
    <t>2500A 16-SECTION SWGR - 13.8KV</t>
  </si>
  <si>
    <t>2500A 15-SECTION SWGR - 13.8KV</t>
  </si>
  <si>
    <t>2500A 14-SECTION SWGR - 13.8KV</t>
  </si>
  <si>
    <t>2500A 13-SECTION SWGR - 13.8KV</t>
  </si>
  <si>
    <t>2500A 12-SECTION SWGR - 13.8KV</t>
  </si>
  <si>
    <t>2500A 11-SECTION SWGR - 13.8KV</t>
  </si>
  <si>
    <t>2500A 10-SECTION SWGR - 13.8KV</t>
  </si>
  <si>
    <t>2500A  9-SECTION SWGR - 13.8KV</t>
  </si>
  <si>
    <t>2500A  8-SECTION SWGR - 13.8KV</t>
  </si>
  <si>
    <t>2500A  7-SECTION SWGR - 13.8KV</t>
  </si>
  <si>
    <t>2500A  6-SECTION SWGR - 13.8KV</t>
  </si>
  <si>
    <t>2500A  5-SECTION SWGR - 13.8KV</t>
  </si>
  <si>
    <t>2500A  4-SECTION SWGR - 13.8KV</t>
  </si>
  <si>
    <t>2500A  3-SECTION SWGR - 13.8KV</t>
  </si>
  <si>
    <t>2500A  2-SECTION SWGR - 13.8KV</t>
  </si>
  <si>
    <t>2500A  1-SECTION SWGR - 13.8KV</t>
  </si>
  <si>
    <t>2500A SWGR - 13.8KV</t>
  </si>
  <si>
    <t>2000A 20-SECTION SWGR - 13.8KV</t>
  </si>
  <si>
    <t>2000A 19-SECTION SWGR - 13.8KV</t>
  </si>
  <si>
    <t>2000A 18-SECTION SWGR - 13.8KV</t>
  </si>
  <si>
    <t>2000A 17-SECTION SWGR - 13.8KV</t>
  </si>
  <si>
    <t>2000A 16-SECTION SWGR - 13.8KV</t>
  </si>
  <si>
    <t>2000A 15-SECTION SWGR - 13.8KV</t>
  </si>
  <si>
    <t>2000A 14-SECTION SWGR - 13.8KV</t>
  </si>
  <si>
    <t>2000A 13-SECTION SWGR - 13.8KV</t>
  </si>
  <si>
    <t>2000A 12-SECTION SWGR - 13.8KV</t>
  </si>
  <si>
    <t>2000A 11-SECTION SWGR - 13.8KV</t>
  </si>
  <si>
    <t>2000A 10-SECTION SWGR - 13.8KV</t>
  </si>
  <si>
    <t>2000A  9-SECTION SWGR - 13.8KV</t>
  </si>
  <si>
    <t>2000A  8-SECTION SWGR - 13.8KV</t>
  </si>
  <si>
    <t>2000A  7-SECTION SWGR - 13.8KV</t>
  </si>
  <si>
    <t>2000A  6-SECTION SWGR - 13.8KV</t>
  </si>
  <si>
    <t>2000A  5-SECTION SWGR - 13.8KV</t>
  </si>
  <si>
    <t>2000A  4-SECTION SWGR - 13.8KV</t>
  </si>
  <si>
    <t>2000A  3-SECTION SWGR - 13.8KV</t>
  </si>
  <si>
    <t>2000A  2-SECTION SWGR - 13.8KV</t>
  </si>
  <si>
    <t>2000A  1-SECTION SWGR - 13.8KV</t>
  </si>
  <si>
    <t>2000A SWGR - 13.8KV</t>
  </si>
  <si>
    <t>1600A 20-SECTION SWGR - 13.8KV</t>
  </si>
  <si>
    <t>1600A 19-SECTION SWGR - 13.8KV</t>
  </si>
  <si>
    <t>1600A 18-SECTION SWGR - 13.8KV</t>
  </si>
  <si>
    <t>1600A 17-SECTION SWGR - 13.8KV</t>
  </si>
  <si>
    <t>1600A 16-SECTION SWGR - 13.8KV</t>
  </si>
  <si>
    <t>1600A 15-SECTION SWGR - 13.8KV</t>
  </si>
  <si>
    <t>1600A 14-SECTION SWGR - 13.8KV</t>
  </si>
  <si>
    <t>1600A 13-SECTION SWGR - 13.8KV</t>
  </si>
  <si>
    <t>1600A 12-SECTION SWGR - 13.8KV</t>
  </si>
  <si>
    <t>1600A 11-SECTION SWGR - 13.8KV</t>
  </si>
  <si>
    <t>1600A 10-SECTION SWGR - 13.8KV</t>
  </si>
  <si>
    <t>1600A  9-SECTION SWGR - 13.8KV</t>
  </si>
  <si>
    <t>1600A  8-SECTION SWGR - 13.8KV</t>
  </si>
  <si>
    <t>1600A  7-SECTION SWGR - 13.8KV</t>
  </si>
  <si>
    <t>1600A  6-SECTION SWGR - 13.8KV</t>
  </si>
  <si>
    <t>1600A  5-SECTION SWGR - 13.8KV</t>
  </si>
  <si>
    <t>1600A  4-SECTION SWGR - 13.8KV</t>
  </si>
  <si>
    <t>1600A  3-SECTION SWGR - 13.8KV</t>
  </si>
  <si>
    <t>1600A  2-SECTION SWGR - 13.8KV</t>
  </si>
  <si>
    <t>1600A  1-SECTION SWGR - 13.8KV</t>
  </si>
  <si>
    <t>1600A SWGR - 13.8KV</t>
  </si>
  <si>
    <t>1200A 20-SECTION SWGR - 13.8KV</t>
  </si>
  <si>
    <t>1200A 19-SECTION SWGR - 13.8KV</t>
  </si>
  <si>
    <t>1200A 18-SECTION SWGR - 13.8KV</t>
  </si>
  <si>
    <t>1200A 17-SECTION SWGR - 13.8KV</t>
  </si>
  <si>
    <t>1200A 16-SECTION SWGR - 13.8KV</t>
  </si>
  <si>
    <t>1200A 15-SECTION SWGR - 13.8KV</t>
  </si>
  <si>
    <t>1200A 14-SECTION SWGR - 13.8KV</t>
  </si>
  <si>
    <t>1200A 13-SECTION SWGR - 13.8KV</t>
  </si>
  <si>
    <t>1200A 12-SECTION SWGR - 13.8KV</t>
  </si>
  <si>
    <t>1200A 11-SECTION SWGR - 13.8KV</t>
  </si>
  <si>
    <t>1200A 10-SECTION SWGR - 13.8KV</t>
  </si>
  <si>
    <t>1200A  9-SECTION SWGR - 13.8KV</t>
  </si>
  <si>
    <t>1200A  8-SECTION SWGR - 13.8KV</t>
  </si>
  <si>
    <t>1200A  7-SECTION SWGR - 13.8KV</t>
  </si>
  <si>
    <t>1200A  6-SECTION SWGR - 13.8KV</t>
  </si>
  <si>
    <t>1200A  5-SECTION SWGR - 13.8KV</t>
  </si>
  <si>
    <t>1200A  4-SECTION SWGR - 13.8KV</t>
  </si>
  <si>
    <t>1200A  3-SECTION SWGR - 13.8KV</t>
  </si>
  <si>
    <t>1200A  2-SECTION SWGR - 13.8KV</t>
  </si>
  <si>
    <t>1200A  1-SECTION SWGR - 13.8KV</t>
  </si>
  <si>
    <t>1200A SWGR - 13.8KV</t>
  </si>
  <si>
    <t>800A 20-SECTION SWGR - 13.8KV</t>
  </si>
  <si>
    <t>800A 19-SECTION SWGR - 13.8KV</t>
  </si>
  <si>
    <t>800A 18-SECTION SWGR - 13.8KV</t>
  </si>
  <si>
    <t>800A 17-SECTION SWGR - 13.8KV</t>
  </si>
  <si>
    <t>800A 16-SECTION SWGR - 13.8KV</t>
  </si>
  <si>
    <t>800A 15-SECTION SWGR - 13.8KV</t>
  </si>
  <si>
    <t>800A 14-SECTION SWGR - 13.8KV</t>
  </si>
  <si>
    <t>800A 13-SECTION SWGR - 13.8KV</t>
  </si>
  <si>
    <t>800A 12-SECTION SWGR - 13.8KV</t>
  </si>
  <si>
    <t>800A 11-SECTION SWGR - 13.8KV</t>
  </si>
  <si>
    <t>800A 10-SECTION SWGR - 13.8KV</t>
  </si>
  <si>
    <t>800A  9-SECTION SWGR - 13.8KV</t>
  </si>
  <si>
    <t>800A  8-SECTION SWGR - 13.8KV</t>
  </si>
  <si>
    <t>800A  7-SECTION SWGR - 13.8KV</t>
  </si>
  <si>
    <t>800A  6-SECTION SWGR - 13.8KV</t>
  </si>
  <si>
    <t>800A  5-SECTION SWGR - 13.8KV</t>
  </si>
  <si>
    <t>800A  4-SECTION SWGR - 13.8KV</t>
  </si>
  <si>
    <t>800A  3-SECTION SWGR - 13.8KV</t>
  </si>
  <si>
    <t>800A  2-SECTION SWGR - 13.8KV</t>
  </si>
  <si>
    <t>800A  1-SECTION SWGR - 13.8KV</t>
  </si>
  <si>
    <t>800A SWGR - 13.8KV</t>
  </si>
  <si>
    <t>600A 20-SECTION SWGR - 13.8KV</t>
  </si>
  <si>
    <t>600A 19-SECTION SWGR - 13.8KV</t>
  </si>
  <si>
    <t>600A 18-SECTION SWGR - 13.8KV</t>
  </si>
  <si>
    <t>600A 17-SECTION SWGR - 13.8KV</t>
  </si>
  <si>
    <t>600A 16-SECTION SWGR - 13.8KV</t>
  </si>
  <si>
    <t>600A 15-SECTION SWGR - 13.8KV</t>
  </si>
  <si>
    <t>600A 14-SECTION SWGR - 13.8KV</t>
  </si>
  <si>
    <t>600A 13-SECTION SWGR - 13.8KV</t>
  </si>
  <si>
    <t>600A 12-SECTION SWGR - 13.8KV</t>
  </si>
  <si>
    <t>600A 11-SECTION SWGR - 13.8KV</t>
  </si>
  <si>
    <t>600A 10-SECTION SWGR - 13.8KV</t>
  </si>
  <si>
    <t>600A  9-SECTION SWGR - 13.8KV</t>
  </si>
  <si>
    <t>600A  8-SECTION SWGR - 13.8KV</t>
  </si>
  <si>
    <t>600A  7-SECTION SWGR - 13.8KV</t>
  </si>
  <si>
    <t>600A  6-SECTION SWGR - 13.8KV</t>
  </si>
  <si>
    <t>600A  5-SECTION SWGR - 13.8KV</t>
  </si>
  <si>
    <t>600A  4-SECTION SWGR - 13.8KV</t>
  </si>
  <si>
    <t>600A  3-SECTION SWGR - 13.8KV</t>
  </si>
  <si>
    <t>600A  2-SECTION SWGR - 13.8KV</t>
  </si>
  <si>
    <t>600A  1-SECTION SWGR - 13.8KV</t>
  </si>
  <si>
    <t>600A SWGR - 13.8KV</t>
  </si>
  <si>
    <t>400A 20-SECTION SWGR - 13.8KV</t>
  </si>
  <si>
    <t>400A 19-SECTION SWGR - 13.8KV</t>
  </si>
  <si>
    <t>400A 18-SECTION SWGR - 13.8KV</t>
  </si>
  <si>
    <t>400A 17-SECTION SWGR - 13.8KV</t>
  </si>
  <si>
    <t>400A 16-SECTION SWGR - 13.8KV</t>
  </si>
  <si>
    <t>400A 15-SECTION SWGR - 13.8KV</t>
  </si>
  <si>
    <t>400A 14-SECTION SWGR - 13.8KV</t>
  </si>
  <si>
    <t>400A 13-SECTION SWGR - 13.8KV</t>
  </si>
  <si>
    <t>400A 12-SECTION SWGR - 13.8KV</t>
  </si>
  <si>
    <t>400A 11-SECTION SWGR - 13.8KV</t>
  </si>
  <si>
    <t>400A 10-SECTION SWGR - 13.8KV</t>
  </si>
  <si>
    <t>400A  9-SECTION SWGR - 13.8KV</t>
  </si>
  <si>
    <t>400A  8-SECTION SWGR - 13.8KV</t>
  </si>
  <si>
    <t>400A  7-SECTION SWGR - 13.8KV</t>
  </si>
  <si>
    <t>400A  6-SECTION SWGR - 13.8KV</t>
  </si>
  <si>
    <t>400A  5-SECTION SWGR - 13.8KV</t>
  </si>
  <si>
    <t>400A  4-SECTION SWGR - 13.8KV</t>
  </si>
  <si>
    <t>400A  3-SECTION SWGR - 13.8KV</t>
  </si>
  <si>
    <t>400A  2-SECTION SWGR - 13.8KV</t>
  </si>
  <si>
    <t>400A  1-SECTION SWGR - 13.8KV</t>
  </si>
  <si>
    <t>400A SWGR - 13.8KV</t>
  </si>
  <si>
    <t>200A 20-SECTION SWGR - 13.8KV</t>
  </si>
  <si>
    <t>200A 19-SECTION SWGR - 13.8KV</t>
  </si>
  <si>
    <t>200A 18-SECTION SWGR - 13.8KV</t>
  </si>
  <si>
    <t>200A 17-SECTION SWGR - 13.8KV</t>
  </si>
  <si>
    <t>200A 16-SECTION SWGR - 13.8KV</t>
  </si>
  <si>
    <t>200A 15-SECTION SWGR - 13.8KV</t>
  </si>
  <si>
    <t>200A 14-SECTION SWGR - 13.8KV</t>
  </si>
  <si>
    <t>200A 13-SECTION SWGR - 13.8KV</t>
  </si>
  <si>
    <t>200A 12-SECTION SWGR - 13.8KV</t>
  </si>
  <si>
    <t>200A 11-SECTION SWGR - 13.8KV</t>
  </si>
  <si>
    <t>200A 10-SECTION SWGR - 13.8KV</t>
  </si>
  <si>
    <t>200A  9-SECTION SWGR - 13.8KV</t>
  </si>
  <si>
    <t>200A  8-SECTION SWGR - 13.8KV</t>
  </si>
  <si>
    <t>200A  7-SECTION SWGR - 13.8KV</t>
  </si>
  <si>
    <t>200A  6-SECTION SWGR - 13.8KV</t>
  </si>
  <si>
    <t>200A  5-SECTION SWGR - 13.8KV</t>
  </si>
  <si>
    <t>200A  4-SECTION SWGR - 13.8KV</t>
  </si>
  <si>
    <t>200A  3-SECTION SWGR - 13.8KV</t>
  </si>
  <si>
    <t>200A  2-SECTION SWGR - 13.8KV</t>
  </si>
  <si>
    <t>200A  1-SECTION SWGR - 13.8KV</t>
  </si>
  <si>
    <t>200A SWGR - 13.8KV</t>
  </si>
  <si>
    <t>8000A 20-SECTION SWGR -  4.16KV</t>
  </si>
  <si>
    <t>8000A 19-SECTION SWGR -  4.16KV</t>
  </si>
  <si>
    <t>8000A 18-SECTION SWGR -  4.16KV</t>
  </si>
  <si>
    <t>8000A 17-SECTION SWGR -  4.16KV</t>
  </si>
  <si>
    <t>8000A 16-SECTION SWGR -  4.16KV</t>
  </si>
  <si>
    <t>8000A 15-SECTION SWGR -  4.16KV</t>
  </si>
  <si>
    <t>8000A 14-SECTION SWGR -  4.16KV</t>
  </si>
  <si>
    <t>8000A 13-SECTION SWGR -  4.16KV</t>
  </si>
  <si>
    <t>8000A 12-SECTION SWGR -  4.16KV</t>
  </si>
  <si>
    <t>8000A 11-SECTION SWGR -  4.16KV</t>
  </si>
  <si>
    <t>8000A 10-SECTION SWGR -  4.16KV</t>
  </si>
  <si>
    <t>8000A  9-SECTION SWGR -  4.16KV</t>
  </si>
  <si>
    <t>8000A  8-SECTION SWGR -  4.16KV</t>
  </si>
  <si>
    <t>8000A  7-SECTION SWGR -  4.16KV</t>
  </si>
  <si>
    <t>8000A  6-SECTION SWGR -  4.16KV</t>
  </si>
  <si>
    <t>8000A  5-SECTION SWGR -  4.16KV</t>
  </si>
  <si>
    <t>8000A  4-SECTION SWGR -  4.16KV</t>
  </si>
  <si>
    <t>8000A  3-SECTION SWGR -  4.16KV</t>
  </si>
  <si>
    <t>8000A  2-SECTION SWGR -  4.16KV</t>
  </si>
  <si>
    <t>8000A  1-SECTION SWGR -  4.16KV</t>
  </si>
  <si>
    <t>8000A SWGR -  4.16KV</t>
  </si>
  <si>
    <t>6000A 20-SECTION SWGR -  4.16KV</t>
  </si>
  <si>
    <t>6000A 19-SECTION SWGR -  4.16KV</t>
  </si>
  <si>
    <t>6000A 18-SECTION SWGR -  4.16KV</t>
  </si>
  <si>
    <t>6000A 17-SECTION SWGR -  4.16KV</t>
  </si>
  <si>
    <t>6000A 16-SECTION SWGR -  4.16KV</t>
  </si>
  <si>
    <t>6000A 15-SECTION SWGR -  4.16KV</t>
  </si>
  <si>
    <t>6000A 14-SECTION SWGR -  4.16KV</t>
  </si>
  <si>
    <t>6000A 13-SECTION SWGR -  4.16KV</t>
  </si>
  <si>
    <t>6000A 12-SECTION SWGR -  4.16KV</t>
  </si>
  <si>
    <t>6000A 11-SECTION SWGR -  4.16KV</t>
  </si>
  <si>
    <t>6000A 10-SECTION SWGR -  4.16KV</t>
  </si>
  <si>
    <t>6000A  9-SECTION SWGR -  4.16KV</t>
  </si>
  <si>
    <t>6000A  8-SECTION SWGR -  4.16KV</t>
  </si>
  <si>
    <t>6000A  7-SECTION SWGR -  4.16KV</t>
  </si>
  <si>
    <t>6000A  6-SECTION SWGR -  4.16KV</t>
  </si>
  <si>
    <t>6000A  5-SECTION SWGR -  4.16KV</t>
  </si>
  <si>
    <t>6000A  4-SECTION SWGR -  4.16KV</t>
  </si>
  <si>
    <t>6000A  3-SECTION SWGR -  4.16KV</t>
  </si>
  <si>
    <t>6000A  2-SECTION SWGR -  4.16KV</t>
  </si>
  <si>
    <t>6000A  1-SECTION SWGR -  4.16KV</t>
  </si>
  <si>
    <t>6000A SWGR -  4.16KV</t>
  </si>
  <si>
    <t>4000A 20-SECTION SWGR -  4.16KV</t>
  </si>
  <si>
    <t>4000A 19-SECTION SWGR -  4.16KV</t>
  </si>
  <si>
    <t>4000A 18-SECTION SWGR -  4.16KV</t>
  </si>
  <si>
    <t>4000A 17-SECTION SWGR -  4.16KV</t>
  </si>
  <si>
    <t>4000A 16-SECTION SWGR -  4.16KV</t>
  </si>
  <si>
    <t>4000A 15-SECTION SWGR -  4.16KV</t>
  </si>
  <si>
    <t>4000A 14-SECTION SWGR -  4.16KV</t>
  </si>
  <si>
    <t>4000A 13-SECTION SWGR -  4.16KV</t>
  </si>
  <si>
    <t>4000A 12-SECTION SWGR -  4.16KV</t>
  </si>
  <si>
    <t>4000A 11-SECTION SWGR -  4.16KV</t>
  </si>
  <si>
    <t>4000A 10-SECTION SWGR -  4.16KV</t>
  </si>
  <si>
    <t>4000A  9-SECTION SWGR -  4.16KV</t>
  </si>
  <si>
    <t>4000A  8-SECTION SWGR -  4.16KV</t>
  </si>
  <si>
    <t>4000A  7-SECTION SWGR -  4.16KV</t>
  </si>
  <si>
    <t>4000A  6-SECTION SWGR -  4.16KV</t>
  </si>
  <si>
    <t>4000A  5-SECTION SWGR -  4.16KV</t>
  </si>
  <si>
    <t>4000A  4-SECTION SWGR -  4.16KV</t>
  </si>
  <si>
    <t>4000A  3-SECTION SWGR -  4.16KV</t>
  </si>
  <si>
    <t>4000A  2-SECTION SWGR -  4.16KV</t>
  </si>
  <si>
    <t>4000A  1-SECTION SWGR -  4.16KV</t>
  </si>
  <si>
    <t>4000A SWGR -  4.16KV</t>
  </si>
  <si>
    <t>3500A 20-SECTION SWGR -  4.16KV</t>
  </si>
  <si>
    <t>3500A 19-SECTION SWGR -  4.16KV</t>
  </si>
  <si>
    <t>3500A 18-SECTION SWGR -  4.16KV</t>
  </si>
  <si>
    <t>3500A 17-SECTION SWGR -  4.16KV</t>
  </si>
  <si>
    <t>3500A 16-SECTION SWGR -  4.16KV</t>
  </si>
  <si>
    <t>3500A 15-SECTION SWGR -  4.16KV</t>
  </si>
  <si>
    <t>3500A 14-SECTION SWGR -  4.16KV</t>
  </si>
  <si>
    <t>3500A 13-SECTION SWGR -  4.16KV</t>
  </si>
  <si>
    <t>3500A 12-SECTION SWGR -  4.16KV</t>
  </si>
  <si>
    <t>3500A 11-SECTION SWGR -  4.16KV</t>
  </si>
  <si>
    <t>3500A 10-SECTION SWGR -  4.16KV</t>
  </si>
  <si>
    <t>3500A  9-SECTION SWGR -  4.16KV</t>
  </si>
  <si>
    <t>3500A  8-SECTION SWGR -  4.16KV</t>
  </si>
  <si>
    <t>3500A  7-SECTION SWGR -  4.16KV</t>
  </si>
  <si>
    <t>3500A  6-SECTION SWGR -  4.16KV</t>
  </si>
  <si>
    <t>3500A  5-SECTION SWGR -  4.16KV</t>
  </si>
  <si>
    <t>3500A  4-SECTION SWGR -  4.16KV</t>
  </si>
  <si>
    <t>3500A  3-SECTION SWGR -  4.16KV</t>
  </si>
  <si>
    <t>3500A  2-SECTION SWGR -  4.16KV</t>
  </si>
  <si>
    <t>3500A  1-SECTION SWGR -  4.16KV</t>
  </si>
  <si>
    <t>3500A SWGR -  4.16KV</t>
  </si>
  <si>
    <t>3000A 20-SECTION SWGR -  4.16KV</t>
  </si>
  <si>
    <t>3000A 19-SECTION SWGR -  4.16KV</t>
  </si>
  <si>
    <t>3000A 18-SECTION SWGR -  4.16KV</t>
  </si>
  <si>
    <t>3000A 17-SECTION SWGR -  4.16KV</t>
  </si>
  <si>
    <t>3000A 16-SECTION SWGR -  4.16KV</t>
  </si>
  <si>
    <t>3000A 15-SECTION SWGR -  4.16KV</t>
  </si>
  <si>
    <t>3000A 14-SECTION SWGR -  4.16KV</t>
  </si>
  <si>
    <t>3000A 13-SECTION SWGR -  4.16KV</t>
  </si>
  <si>
    <t>3000A 12-SECTION SWGR -  4.16KV</t>
  </si>
  <si>
    <t>3000A 11-SECTION SWGR -  4.16KV</t>
  </si>
  <si>
    <t>3000A 10-SECTION SWGR -  4.16KV</t>
  </si>
  <si>
    <t>3000A  9-SECTION SWGR -  4.16KV</t>
  </si>
  <si>
    <t>3000A  8-SECTION SWGR -  4.16KV</t>
  </si>
  <si>
    <t>3000A  7-SECTION SWGR -  4.16KV</t>
  </si>
  <si>
    <t>3000A  6-SECTION SWGR -  4.16KV</t>
  </si>
  <si>
    <t>3000A  5-SECTION SWGR -  4.16KV</t>
  </si>
  <si>
    <t>3000A  4-SECTION SWGR -  4.16KV</t>
  </si>
  <si>
    <t>3000A  3-SECTION SWGR -  4.16KV</t>
  </si>
  <si>
    <t>3000A  2-SECTION SWGR -  4.16KV</t>
  </si>
  <si>
    <t>3000A  1-SECTION SWGR -  4.16KV</t>
  </si>
  <si>
    <t>3000A SWGR -  4.16KV</t>
  </si>
  <si>
    <t>2500A 20-SECTION SWGR -  4.16KV</t>
  </si>
  <si>
    <t>2500A 19-SECTION SWGR -  4.16KV</t>
  </si>
  <si>
    <t>2500A 18-SECTION SWGR -  4.16KV</t>
  </si>
  <si>
    <t>2500A 17-SECTION SWGR -  4.16KV</t>
  </si>
  <si>
    <t>2500A 16-SECTION SWGR -  4.16KV</t>
  </si>
  <si>
    <t>2500A 15-SECTION SWGR -  4.16KV</t>
  </si>
  <si>
    <t>2500A 14-SECTION SWGR -  4.16KV</t>
  </si>
  <si>
    <t>2500A 13-SECTION SWGR -  4.16KV</t>
  </si>
  <si>
    <t>2500A 12-SECTION SWGR -  4.16KV</t>
  </si>
  <si>
    <t>2500A 11-SECTION SWGR -  4.16KV</t>
  </si>
  <si>
    <t>2500A 10-SECTION SWGR -  4.16KV</t>
  </si>
  <si>
    <t>2500A  9-SECTION SWGR -  4.16KV</t>
  </si>
  <si>
    <t>2500A  8-SECTION SWGR -  4.16KV</t>
  </si>
  <si>
    <t>2500A  7-SECTION SWGR -  4.16KV</t>
  </si>
  <si>
    <t>2500A  6-SECTION SWGR -  4.16KV</t>
  </si>
  <si>
    <t>2500A  5-SECTION SWGR -  4.16KV</t>
  </si>
  <si>
    <t>2500A  4-SECTION SWGR -  4.16KV</t>
  </si>
  <si>
    <t>2500A  3-SECTION SWGR -  4.16KV</t>
  </si>
  <si>
    <t>2500A  2-SECTION SWGR -  4.16KV</t>
  </si>
  <si>
    <t>2500A  1-SECTION SWGR -  4.16KV</t>
  </si>
  <si>
    <t>2500A  SWGR -  4.16KV</t>
  </si>
  <si>
    <t>2000A 20-SECTION SWGR -  4.16KV</t>
  </si>
  <si>
    <t>2000A 19-SECTION SWGR -  4.16KV</t>
  </si>
  <si>
    <t>2000A 18-SECTION SWGR -  4.16KV</t>
  </si>
  <si>
    <t>2000A 17-SECTION SWGR -  4.16KV</t>
  </si>
  <si>
    <t>2000A 16-SECTION SWGR -  4.16KV</t>
  </si>
  <si>
    <t>2000A 15-SECTION SWGR -  4.16KV</t>
  </si>
  <si>
    <t>2000A 14-SECTION SWGR -  4.16KV</t>
  </si>
  <si>
    <t>2000A 13-SECTION SWGR -  4.16KV</t>
  </si>
  <si>
    <t>2000A 12-SECTION SWGR -  4.16KV</t>
  </si>
  <si>
    <t>2000A 11-SECTION SWGR -  4.16KV</t>
  </si>
  <si>
    <t>2000A 10-SECTION SWGR -  4.16KV</t>
  </si>
  <si>
    <t>2000A  9-SECTION SWGR -  4.16KV</t>
  </si>
  <si>
    <t>2000A  8-SECTION SWGR -  4.16KV</t>
  </si>
  <si>
    <t>2000A  7-SECTION SWGR -  4.16KV</t>
  </si>
  <si>
    <t>2000A  6-SECTION SWGR -  4.16KV</t>
  </si>
  <si>
    <t>2000A  5-SECTION SWGR -  4.16KV</t>
  </si>
  <si>
    <t>2000A  4-SECTION SWGR -  4.16KV</t>
  </si>
  <si>
    <t>2000A  3-SECTION SWGR -  4.16KV</t>
  </si>
  <si>
    <t>2000A  2-SECTION SWGR -  4.16KV</t>
  </si>
  <si>
    <t>2000A  1-SECTION SWGR -  4.16KV</t>
  </si>
  <si>
    <t>2000A SWGR -  4.16KV</t>
  </si>
  <si>
    <t>1600A 20-SECTION SWGR -  4.16KV</t>
  </si>
  <si>
    <t>1600A 19-SECTION SWGR -  4.16KV</t>
  </si>
  <si>
    <t>1600A 18-SECTION SWGR -  4.16KV</t>
  </si>
  <si>
    <t>1600A 17-SECTION SWGR -  4.16KV</t>
  </si>
  <si>
    <t>1600A 16-SECTION SWGR -  4.16KV</t>
  </si>
  <si>
    <t>1600A 15-SECTION SWGR -  4.16KV</t>
  </si>
  <si>
    <t>1600A 14-SECTION SWGR -  4.16KV</t>
  </si>
  <si>
    <t>1600A 13-SECTION SWGR -  4.16KV</t>
  </si>
  <si>
    <t>1600A 12-SECTION SWGR -  4.16KV</t>
  </si>
  <si>
    <t>1600A 11-SECTION SWGR -  4.16KV</t>
  </si>
  <si>
    <t>1600A 10-SECTION SWGR -  4.16KV</t>
  </si>
  <si>
    <t>1600A  9-SECTION SWGR -  4.16KV</t>
  </si>
  <si>
    <t>1600A  8-SECTION SWGR -  4.16KV</t>
  </si>
  <si>
    <t>1600A  7-SECTION SWGR -  4.16KV</t>
  </si>
  <si>
    <t>1600A  6-SECTION SWGR -  4.16KV</t>
  </si>
  <si>
    <t>1600A  5-SECTION SWGR -  4.16KV</t>
  </si>
  <si>
    <t>1600A  4-SECTION SWGR -  4.16KV</t>
  </si>
  <si>
    <t>1600A  3-SECTION SWGR -  4.16KV</t>
  </si>
  <si>
    <t>1600A  2-SECTION SWGR -  4.16KV</t>
  </si>
  <si>
    <t>1600A  1-SECTION SWGR -  4.16KV</t>
  </si>
  <si>
    <t>1600A SWGR -  4.16KV</t>
  </si>
  <si>
    <t>1200A 12-SECTION SWGR -  4.16KV</t>
  </si>
  <si>
    <t>1200A 11-SECTION SWGR -  4.16KV</t>
  </si>
  <si>
    <t>1200A 10-SECTION SWGR -  4.16KV</t>
  </si>
  <si>
    <t>1200A  9-SECTION SWGR -  4.16KV</t>
  </si>
  <si>
    <t>1200A  8-SECTION SWGR -  4.16KV</t>
  </si>
  <si>
    <t>1200A  7-SECTION SWGR -  4.16KV</t>
  </si>
  <si>
    <t>1200A  6-SECTION SWGR -  4.16KV</t>
  </si>
  <si>
    <t>1200A  5-SECTION SWGR -  4.16KV</t>
  </si>
  <si>
    <t>1200A  4-SECTION SWGR -  4.16KV</t>
  </si>
  <si>
    <t>1200A  3-SECTION SWGR -  4.16KV</t>
  </si>
  <si>
    <t>1200A  2-SECTION SWGR -  4.16KV</t>
  </si>
  <si>
    <t>1200A  1-SECTION SWGR -  4.16KV</t>
  </si>
  <si>
    <t>1200A SWGR -  4.16KV</t>
  </si>
  <si>
    <t>800A 12-SECTION SWGR -  4.16KV</t>
  </si>
  <si>
    <t>800A 11-SECTION SWGR -  4.16KV</t>
  </si>
  <si>
    <t>800A 10-SECTION SWGR -  4.16KV</t>
  </si>
  <si>
    <t>800A  9-SECTION SWGR -  4.16KV</t>
  </si>
  <si>
    <t>800A  8-SECTION SWGR -  4.16KV</t>
  </si>
  <si>
    <t>800A  7-SECTION SWGR -  4.16KV</t>
  </si>
  <si>
    <t>800A  6-SECTION SWGR -  4.16KV</t>
  </si>
  <si>
    <t>800A  5-SECTION SWGR -  4.16KV</t>
  </si>
  <si>
    <t>800A  4-SECTION SWGR -  4.16KV</t>
  </si>
  <si>
    <t>800A  3-SECTION SWGR -  4.16KV</t>
  </si>
  <si>
    <t>800A  2-SECTION SWGR -  4.16KV</t>
  </si>
  <si>
    <t>800A  1-SECTION SWGR -  4.16KV</t>
  </si>
  <si>
    <t>800A SWGR -  4.16KV</t>
  </si>
  <si>
    <t>600A  6-SECTION SWGR -  4.16KV</t>
  </si>
  <si>
    <t>600A  5-SECTION SWGR -  4.16KV</t>
  </si>
  <si>
    <t>600A  4-SECTION SWGR -  4.16KV</t>
  </si>
  <si>
    <t>600A  3-SECTION SWGR -  4.16KV</t>
  </si>
  <si>
    <t>600A  2-SECTION SWGR -  4.16KV</t>
  </si>
  <si>
    <t>600A  1-SECTION SWGR -  4.16KV</t>
  </si>
  <si>
    <t>600A SWGR -  4.16KV</t>
  </si>
  <si>
    <t>400A  6-SECTION SWGR -  4.16KV</t>
  </si>
  <si>
    <t>400A  5-SECTION SWGR -  4.16KV</t>
  </si>
  <si>
    <t>400A  4-SECTION SWGR -  4.16KV</t>
  </si>
  <si>
    <t>400A  3-SECTION SWGR -  4.16KV</t>
  </si>
  <si>
    <t>400A  2-SECTION SWGR -  4.16KV</t>
  </si>
  <si>
    <t>400A  1-SECTION SWGR -  4.16KV</t>
  </si>
  <si>
    <t>400A SWGR -  4.16KV</t>
  </si>
  <si>
    <t>200A  6-SECTION SWGR -  4.16KV</t>
  </si>
  <si>
    <t>200A  5-SECTION SWGR -  4.16KV</t>
  </si>
  <si>
    <t>200A  4-SECTION SWGR -  4.16KV</t>
  </si>
  <si>
    <t>200A  3-SECTION SWGR -  4.16KV</t>
  </si>
  <si>
    <t>200A  2-SECTION SWGR -  4.16KV</t>
  </si>
  <si>
    <t>200A  1-SECTION SWGR -  4.16KV</t>
  </si>
  <si>
    <t>200A SWGR -  4.16KV</t>
  </si>
  <si>
    <t>4000A 20-SECTION DISTRIB SWBD</t>
  </si>
  <si>
    <t>4000A 19-SECTION DISTRIB SWBD</t>
  </si>
  <si>
    <t>4000A 18-SECTION DISTRIB SWBD</t>
  </si>
  <si>
    <t>4000A 17-SECTION DISTRIB SWBD</t>
  </si>
  <si>
    <t>4000A 16-SECTION DISTRIB SWBD</t>
  </si>
  <si>
    <t>4000A 15-SECTION DISTRIB SWBD</t>
  </si>
  <si>
    <t>4000A 14-SECTION DISTRIB SWBD</t>
  </si>
  <si>
    <t>4000A 13-SECTION DISTRIB SWBD</t>
  </si>
  <si>
    <t>4000A 12-SECTION DISTRIB SWBD</t>
  </si>
  <si>
    <t>4000A 11-SECTION DISTRIB SWBD</t>
  </si>
  <si>
    <t>4000A 10-SECTION DISTRIB SWBD</t>
  </si>
  <si>
    <t>4000A  9-SECTION DISTRIB SWBD</t>
  </si>
  <si>
    <t>4000A  8-SECTION DISTRIB SWBD</t>
  </si>
  <si>
    <t>4000A  7-SECTION DISTRIB SWBD</t>
  </si>
  <si>
    <t>4000A  6-SECTION DISTRIB SWBD</t>
  </si>
  <si>
    <t>4000A  5-SECTION DISTRIB SWBD</t>
  </si>
  <si>
    <t>4000A  4-SECTION DISTRIB SWBD</t>
  </si>
  <si>
    <t>4000A  3-SECTION DISTRIB SWBD</t>
  </si>
  <si>
    <t>4000A  1-SECTION DISTRIB SWBD</t>
  </si>
  <si>
    <t>4000A DISTRIB SWBD</t>
  </si>
  <si>
    <t>3000A 20-SECTION DISTRIB SWBD</t>
  </si>
  <si>
    <t>3000A 19-SECTION DISTRIB SWBD</t>
  </si>
  <si>
    <t>3000A 18-SECTION DISTRIB SWBD</t>
  </si>
  <si>
    <t>3000A 17-SECTION DISTRIB SWBD</t>
  </si>
  <si>
    <t>3000A 16-SECTION DISTRIB SWBD</t>
  </si>
  <si>
    <t>3000A 15-SECTION DISTRIB SWBD</t>
  </si>
  <si>
    <t>3000A 14-SECTION DISTRIB SWBD</t>
  </si>
  <si>
    <t>3000A 13-SECTION DISTRIB SWBD</t>
  </si>
  <si>
    <t>3000A 12-SECTION DISTRIB SWBD</t>
  </si>
  <si>
    <t>3000A 11-SECTION DISTRIB SWBD</t>
  </si>
  <si>
    <t>3000A 10-SECTION DISTRIB SWBD</t>
  </si>
  <si>
    <t>3000A  9-SECTION DISTRIB SWBD</t>
  </si>
  <si>
    <t>3000A  8-SECTION DISTRIB SWBD</t>
  </si>
  <si>
    <t>3000A  7-SECTION DISTRIB SWBD</t>
  </si>
  <si>
    <t>3000A  6-SECTION DISTRIB SWBD</t>
  </si>
  <si>
    <t>3000A  5-SECTION DISTRIB SWBD</t>
  </si>
  <si>
    <t>3000A  4-SECTION DISTRIB SWBD</t>
  </si>
  <si>
    <t>3000A  3-SECTION DISTRIB SWBD</t>
  </si>
  <si>
    <t>3000A  2-SECTION DISTRIB SWBD</t>
  </si>
  <si>
    <t>3000A  1-SECTION DISTRIB SWBD</t>
  </si>
  <si>
    <t>3000A DISTRIB SWBD</t>
  </si>
  <si>
    <t>2500A 20-SECTION DISTRIB SWBD</t>
  </si>
  <si>
    <t>2500A 19-SECTION DISTRIB SWBD</t>
  </si>
  <si>
    <t>2500A 18-SECTION DISTRIB SWBD</t>
  </si>
  <si>
    <t>2500A 17-SECTION DISTRIB SWBD</t>
  </si>
  <si>
    <t>2500A 16-SECTION DISTRIB SWBD</t>
  </si>
  <si>
    <t>2500A 15-SECTION DISTRIB SWBD</t>
  </si>
  <si>
    <t>2500A 14-SECTION DISTRIB SWBD</t>
  </si>
  <si>
    <t>2500A 13-SECTION DISTRIB SWBD</t>
  </si>
  <si>
    <t>2500A 12-SECTION DISTRIB SWBD</t>
  </si>
  <si>
    <t>2500A 11-SECTION DISTRIB SWBD</t>
  </si>
  <si>
    <t>2500A 10-SECTION DISTRIB SWBD</t>
  </si>
  <si>
    <t>2500A  9-SECTION DISTRIB SWBD</t>
  </si>
  <si>
    <t>2500A  8-SECTION DISTRIB SWBD</t>
  </si>
  <si>
    <t>2500A  7-SECTION DISTRIB SWBD</t>
  </si>
  <si>
    <t>2500A  6-SECTION DISTRIB SWBD</t>
  </si>
  <si>
    <t>2500A  5-SECTION DISTRIB SWBD</t>
  </si>
  <si>
    <t>2500A  4-SECTION DISTRIB SWBD</t>
  </si>
  <si>
    <t>2500A  3-SECTION DISTRIB SWBD</t>
  </si>
  <si>
    <t>2500A  2-SECTION DISTRIB SWBD</t>
  </si>
  <si>
    <t>2500A  1-SECTION DISTRIB SWBD</t>
  </si>
  <si>
    <t>2500A DISTRIB SWBD</t>
  </si>
  <si>
    <t>2000A 12-SECTION DISTRIB SWBD</t>
  </si>
  <si>
    <t>2000A 11-SECTION DISTRIB SWBD</t>
  </si>
  <si>
    <t>2000A 10-SECTION DISTRIB SWBD</t>
  </si>
  <si>
    <t>2000A  9-SECTION DISTRIB SWBD</t>
  </si>
  <si>
    <t>2000A  8-SECTION DISTRIB SWBD</t>
  </si>
  <si>
    <t>2000A  7-SECTION DISTRIB SWBD</t>
  </si>
  <si>
    <t>2000A  6-SECTION DISTRIB SWBD</t>
  </si>
  <si>
    <t>2000A  5-SECTION DISTRIB SWBD</t>
  </si>
  <si>
    <t>2000A  4-SECTION DISTRIB SWBD</t>
  </si>
  <si>
    <t>2000A  3-SECTION DISTRIB SWBD</t>
  </si>
  <si>
    <t>2000A  2-SECTION DISTRIB SWBD</t>
  </si>
  <si>
    <t>2000A  1-SECTION DISTRIB SWBD</t>
  </si>
  <si>
    <t>2000A DISTRIB SWBD</t>
  </si>
  <si>
    <t>1600A 12-SECTION DISTRIB SWBD</t>
  </si>
  <si>
    <t>1600A 11-SECTION DISTRIB SWBD</t>
  </si>
  <si>
    <t>1600A 10-SECTION DISTRIB SWBD</t>
  </si>
  <si>
    <t>1600A  9-SECTION DISTRIB SWBD</t>
  </si>
  <si>
    <t>1600A  8-SECTION DISTRIB SWBD</t>
  </si>
  <si>
    <t>1600A  7-SECTION DISTRIB SWBD</t>
  </si>
  <si>
    <t>1600A  6-SECTION DISTRIB SWBD</t>
  </si>
  <si>
    <t>1600A  5-SECTION DISTRIB SWBD</t>
  </si>
  <si>
    <t>1600A  4-SECTION DISTRIB SWBD</t>
  </si>
  <si>
    <t>1600A  3-SECTION DISTRIB SWBD</t>
  </si>
  <si>
    <t>1600A  2-SECTION DISTRIB SWBD</t>
  </si>
  <si>
    <t>1600A  1-SECTION DISTRIB SWBD</t>
  </si>
  <si>
    <t>1600A DISTRIB SWBD</t>
  </si>
  <si>
    <t>1200A 12-SECTION DISTRIB SWBD</t>
  </si>
  <si>
    <t>1200A 11-SECTION DISTRIB SWBD</t>
  </si>
  <si>
    <t>1200A 10-SECTION DISTRIB SWBD</t>
  </si>
  <si>
    <t>1200A  9-SECTION DISTRIB SWBD</t>
  </si>
  <si>
    <t>1200A  8-SECTION DISTRIB SWBD</t>
  </si>
  <si>
    <t>1200A  7-SECTION DISTRIB SWBD</t>
  </si>
  <si>
    <t>1200A  6-SECTION DISTRIB SWBD</t>
  </si>
  <si>
    <t>1200A  5-SECTION DISTRIB SWBD</t>
  </si>
  <si>
    <t>1200A  4-SECTION DISTRIB SWBD</t>
  </si>
  <si>
    <t>1200A  3-SECTION DISTRIB SWBD</t>
  </si>
  <si>
    <t>1200A  2-SECTION DISTRIB SWBD</t>
  </si>
  <si>
    <t>1200A  1-SECTION DISTRIB SWBD</t>
  </si>
  <si>
    <t>1200A DISTRIB SWBD</t>
  </si>
  <si>
    <t>800A  6-SECTION DISTRIB SWBD</t>
  </si>
  <si>
    <t>800A  5-SECTION DISTRIB SWBD</t>
  </si>
  <si>
    <t>800A  4-SECTION DISTRIB SWBD</t>
  </si>
  <si>
    <t>800A  3-SECTION DISTRIB SWBD</t>
  </si>
  <si>
    <t>800A  2-SECTION DISTRIB SWBD</t>
  </si>
  <si>
    <t>800A  1-SECTION DISTRIB SWBD</t>
  </si>
  <si>
    <t>800A DISTRIB SWBD</t>
  </si>
  <si>
    <t>600A  6-SECTION DISTRIB SWBD</t>
  </si>
  <si>
    <t>600A  5-SECTION DISTRIB SWBD</t>
  </si>
  <si>
    <t>600A  4-SECTION DISTRIB SWBD</t>
  </si>
  <si>
    <t>600A  3-SECTION DISTRIB SWBD</t>
  </si>
  <si>
    <t>600A  2-SECTION DISTRIB SWBD</t>
  </si>
  <si>
    <t>600A  1-SECTION DISTRIB SWBD</t>
  </si>
  <si>
    <t>600A DISTRIB SWBD</t>
  </si>
  <si>
    <t>400A  6-SECTION DISTRIB SWBD</t>
  </si>
  <si>
    <t>400A  5-SECTION DISTRIB SWBD</t>
  </si>
  <si>
    <t>400A  4-SECTION DISTRIB SWBD</t>
  </si>
  <si>
    <t>400A  3-SECTION DISTRIB SWBD</t>
  </si>
  <si>
    <t>400A  2-SECTION DISTRIB SWBD</t>
  </si>
  <si>
    <t>400A  1-SECTION DISTRIB SWBD</t>
  </si>
  <si>
    <t>400A DISTRIB SWBD</t>
  </si>
  <si>
    <t>200A  6-SECTION DISTRIB SWBD</t>
  </si>
  <si>
    <t>200A  5-SECTION DISTRIB SWBD</t>
  </si>
  <si>
    <t>200A  4-SECTION DISTRIB SWBD</t>
  </si>
  <si>
    <t>200A  3-SECTION DISTRIB SWBD</t>
  </si>
  <si>
    <t>200A  2-SECTION DISTRIB SWBD</t>
  </si>
  <si>
    <t>200A  1-SECTION DISTRIB SWBD</t>
  </si>
  <si>
    <t>200A DISTRIB SWBD</t>
  </si>
  <si>
    <t>4000A 20-SECTION MCC</t>
  </si>
  <si>
    <t>4000A 19-SECTION MCC</t>
  </si>
  <si>
    <t>4000A 18-SECTION MCC</t>
  </si>
  <si>
    <t>4000A 17-SECTION MCC</t>
  </si>
  <si>
    <t>4000A 16-SECTION MCC</t>
  </si>
  <si>
    <t>4000A 15-SECTION MCC</t>
  </si>
  <si>
    <t>4000A 14-SECTION MCC</t>
  </si>
  <si>
    <t>4000A 13-SECTION MCC</t>
  </si>
  <si>
    <t>4000A 12-SECTION MCC</t>
  </si>
  <si>
    <t>4000A 11-SECTION MCC</t>
  </si>
  <si>
    <t>4000A 10-SECTION MCC</t>
  </si>
  <si>
    <t>4000A  9-SECTION MCC</t>
  </si>
  <si>
    <t>4000A  8-SECTION MCC</t>
  </si>
  <si>
    <t>4000A  7-SECTION MCC</t>
  </si>
  <si>
    <t>4000A  6-SECTION MCC</t>
  </si>
  <si>
    <t>4000A  5-SECTION MCC</t>
  </si>
  <si>
    <t>4000A  4-SECTION MCC</t>
  </si>
  <si>
    <t>4000A  3-SECTION MCC</t>
  </si>
  <si>
    <t>4000A  2-SECTION MCC</t>
  </si>
  <si>
    <t>4000A  1-SECTION MCC</t>
  </si>
  <si>
    <t xml:space="preserve">4000A MCC </t>
  </si>
  <si>
    <t>3500A 20-SECTION MCC</t>
  </si>
  <si>
    <t>3500A 19-SECTION MCC</t>
  </si>
  <si>
    <t>3500A 18-SECTION MCC</t>
  </si>
  <si>
    <t>3500A 17-SECTION MCC</t>
  </si>
  <si>
    <t>3500A 16-SECTION MCC</t>
  </si>
  <si>
    <t>3500A 15-SECTION MCC</t>
  </si>
  <si>
    <t>3500A 14-SECTION MCC</t>
  </si>
  <si>
    <t>3500A 13-SECTION MCC</t>
  </si>
  <si>
    <t>3500A 12-SECTION MCC</t>
  </si>
  <si>
    <t>3500A 11-SECTION MCC</t>
  </si>
  <si>
    <t>3500A 10-SECTION MCC</t>
  </si>
  <si>
    <t>3500A  9-SECTION MCC</t>
  </si>
  <si>
    <t>3500A  8-SECTION MCC</t>
  </si>
  <si>
    <t>3500A  7-SECTION MCC</t>
  </si>
  <si>
    <t>3500A  6-SECTION MCC</t>
  </si>
  <si>
    <t>3500A  5-SECTION MCC</t>
  </si>
  <si>
    <t>3500A  4-SECTION MCC</t>
  </si>
  <si>
    <t>3500A  3-SECTION MCC</t>
  </si>
  <si>
    <t>3500A  2-SECTION MCC</t>
  </si>
  <si>
    <t>3500A  1-SECTION MCC</t>
  </si>
  <si>
    <t xml:space="preserve">3500A MCC </t>
  </si>
  <si>
    <t>3000A 20-SECTION MCC</t>
  </si>
  <si>
    <t>3000A 19-SECTION MCC</t>
  </si>
  <si>
    <t>3000A 18-SECTION MCC</t>
  </si>
  <si>
    <t>3000A 17-SECTION MCC</t>
  </si>
  <si>
    <t>3000A 16-SECTION MCC</t>
  </si>
  <si>
    <t>3000A 15-SECTION MCC</t>
  </si>
  <si>
    <t>3000A 14-SECTION MCC</t>
  </si>
  <si>
    <t>3000A 13-SECTION MCC</t>
  </si>
  <si>
    <t>3000A 12-SECTION MCC</t>
  </si>
  <si>
    <t>3000A 11-SECTION MCC</t>
  </si>
  <si>
    <t>3000A 10-SECTION MCC</t>
  </si>
  <si>
    <t>3000A  9-SECTION MCC</t>
  </si>
  <si>
    <t>3000A  8-SECTION MCC</t>
  </si>
  <si>
    <t>3000A  7-SECTION MCC</t>
  </si>
  <si>
    <t>3000A  6-SECTION MCC</t>
  </si>
  <si>
    <t>3000A  5-SECTION MCC</t>
  </si>
  <si>
    <t>3000A  4-SECTION MCC</t>
  </si>
  <si>
    <t>3000A  3-SECTION MCC</t>
  </si>
  <si>
    <t>3000A  2-SECTION MCC</t>
  </si>
  <si>
    <t>3000A  1-SECTION MCC</t>
  </si>
  <si>
    <t xml:space="preserve">3000A MCC </t>
  </si>
  <si>
    <t>2500A 20-SECTION MCC</t>
  </si>
  <si>
    <t>2500A 19-SECTION MCC</t>
  </si>
  <si>
    <t>2500A 18-SECTION MCC</t>
  </si>
  <si>
    <t>2500A 17-SECTION MCC</t>
  </si>
  <si>
    <t>2500A 16-SECTION MCC</t>
  </si>
  <si>
    <t>2500A 15-SECTION MCC</t>
  </si>
  <si>
    <t>2500A 14-SECTION MCC</t>
  </si>
  <si>
    <t>2500A 13-SECTION MCC</t>
  </si>
  <si>
    <t>2500A 12-SECTION MCC</t>
  </si>
  <si>
    <t>2500A 11-SECTION MCC</t>
  </si>
  <si>
    <t>2500A 10-SECTION MCC</t>
  </si>
  <si>
    <t>2500A  9-SECTION MCC</t>
  </si>
  <si>
    <t>2500A  8-SECTION MCC</t>
  </si>
  <si>
    <t>2500A  7-SECTION MCC</t>
  </si>
  <si>
    <t>2500A  6-SECTION MCC</t>
  </si>
  <si>
    <t>2500A  5-SECTION MCC</t>
  </si>
  <si>
    <t>2500A  4-SECTION MCC</t>
  </si>
  <si>
    <t>2500A  3-SECTION MCC</t>
  </si>
  <si>
    <t>2500A  2-SECTION MCC</t>
  </si>
  <si>
    <t>2500A  1-SECTION MCC</t>
  </si>
  <si>
    <t xml:space="preserve">2500A MCC </t>
  </si>
  <si>
    <t>2000A 12-SECTION MCC</t>
  </si>
  <si>
    <t>2000A 11-SECTION MCC</t>
  </si>
  <si>
    <t>2000A 10-SECTION MCC</t>
  </si>
  <si>
    <t>2000A  9-SECTION MCC</t>
  </si>
  <si>
    <t>2000A  8-SECTION MCC</t>
  </si>
  <si>
    <t>2000A  7-SECTION MCC</t>
  </si>
  <si>
    <t>2000A  6-SECTION MCC</t>
  </si>
  <si>
    <t>2000A  5-SECTION MCC</t>
  </si>
  <si>
    <t>2000A  4-SECTION MCC</t>
  </si>
  <si>
    <t>2000A  3-SECTION MCC</t>
  </si>
  <si>
    <t>2000A  2-SECTION MCC</t>
  </si>
  <si>
    <t>2000A  1-SECTION MCC</t>
  </si>
  <si>
    <t xml:space="preserve">2000A MCC </t>
  </si>
  <si>
    <t>1600A 12-SECTION MCC</t>
  </si>
  <si>
    <t>1600A 11-SECTION MCC</t>
  </si>
  <si>
    <t>1600A 10-SECTION MCC</t>
  </si>
  <si>
    <t>1600A  9-SECTION MCC</t>
  </si>
  <si>
    <t>1600A  8-SECTION MCC</t>
  </si>
  <si>
    <t>1600A  7-SECTION MCC</t>
  </si>
  <si>
    <t>1600A  6-SECTION MCC</t>
  </si>
  <si>
    <t>1600A  5-SECTION MCC</t>
  </si>
  <si>
    <t>1600A  4-SECTION MCC</t>
  </si>
  <si>
    <t>1600A  3-SECTION MCC</t>
  </si>
  <si>
    <t>1600A  2-SECTION MCC</t>
  </si>
  <si>
    <t>1600A  1-SECTION MCC</t>
  </si>
  <si>
    <t xml:space="preserve">1600A MCC </t>
  </si>
  <si>
    <t>1200A 12-SECTION MCC</t>
  </si>
  <si>
    <t>1200A 11-SECTION MCC</t>
  </si>
  <si>
    <t>1200A 10-SECTION MCC</t>
  </si>
  <si>
    <t>1200A  9-SECTION MCC</t>
  </si>
  <si>
    <t>1200A  8-SECTION MCC</t>
  </si>
  <si>
    <t>1200A  7-SECTION MCC</t>
  </si>
  <si>
    <t>1200A  6-SECTION MCC</t>
  </si>
  <si>
    <t>1200A  5-SECTION MCC</t>
  </si>
  <si>
    <t>1200A  4-SECTION MCC</t>
  </si>
  <si>
    <t>1200A  3-SECTION MCC</t>
  </si>
  <si>
    <t>1200A  2-SECTION MCC</t>
  </si>
  <si>
    <t>1200A  1-SECTION MCC</t>
  </si>
  <si>
    <t xml:space="preserve">1200A MCC </t>
  </si>
  <si>
    <t>800A  6-SECTION MCC</t>
  </si>
  <si>
    <t>800A  5-SECTION MCC</t>
  </si>
  <si>
    <t>800A  4-SECTION MCC</t>
  </si>
  <si>
    <t>800A  3-SECTION MCC</t>
  </si>
  <si>
    <t>800A  2-SECTION MCC</t>
  </si>
  <si>
    <t>800A  1-SECTION MCC</t>
  </si>
  <si>
    <t xml:space="preserve">800A MCC </t>
  </si>
  <si>
    <t>600A  6-SECTION MCC</t>
  </si>
  <si>
    <t>600A  5-SECTION MCC</t>
  </si>
  <si>
    <t>600A  4-SECTION MCC</t>
  </si>
  <si>
    <t>600A  3-SECTION MCC</t>
  </si>
  <si>
    <t>600A  2-SECTION MCC</t>
  </si>
  <si>
    <t>600A  1-SECTION MCC</t>
  </si>
  <si>
    <t xml:space="preserve">600A MCC </t>
  </si>
  <si>
    <t>400A  6-SECTION MCC</t>
  </si>
  <si>
    <t>400A  5-SECTION MCC</t>
  </si>
  <si>
    <t>400A  4-SECTION MCC</t>
  </si>
  <si>
    <t>400A  3-SECTION MCC</t>
  </si>
  <si>
    <t>400A  2-SECTION MCC</t>
  </si>
  <si>
    <t>400A  1-SECTION MCC</t>
  </si>
  <si>
    <t xml:space="preserve">400A MCC </t>
  </si>
  <si>
    <t>200A  6-SECTION MCC</t>
  </si>
  <si>
    <t>200A  5-SECTION MCC</t>
  </si>
  <si>
    <t>200A  4-SECTION MCC</t>
  </si>
  <si>
    <t>200A  3-SECTION MCC</t>
  </si>
  <si>
    <t>200A  2-SECTION MCC</t>
  </si>
  <si>
    <t>200A  1-SECTION MCC</t>
  </si>
  <si>
    <t xml:space="preserve">200A MCC </t>
  </si>
  <si>
    <t>100A  6-SECTION MCC</t>
  </si>
  <si>
    <t>100A  5-SECTION MCC</t>
  </si>
  <si>
    <t>100A  4-SECTION MCC</t>
  </si>
  <si>
    <t>100A  3-SECTION MCC</t>
  </si>
  <si>
    <t>100A  2-SECTION MCC</t>
  </si>
  <si>
    <t>100A  1-SECTION MCC</t>
  </si>
  <si>
    <t xml:space="preserve">100A MCC </t>
  </si>
  <si>
    <t>4000A 20-SECTION MCC -  4.16KV</t>
  </si>
  <si>
    <t>4000A 19-SECTION MCC -  4.16KV</t>
  </si>
  <si>
    <t>4000A 18-SECTION MCC -  4.16KV</t>
  </si>
  <si>
    <t>4000A 17-SECTION MCC -  4.16KV</t>
  </si>
  <si>
    <t>4000A 16-SECTION MCC -  4.16KV</t>
  </si>
  <si>
    <t>4000A 15-SECTION MCC -  4.16KV</t>
  </si>
  <si>
    <t>4000A 14-SECTION MCC -  4.16KV</t>
  </si>
  <si>
    <t>4000A 13-SECTION MCC -  4.16KV</t>
  </si>
  <si>
    <t>4000A 12-SECTION MCC -  4.16KV</t>
  </si>
  <si>
    <t>4000A 11-SECTION MCC -  4.16KV</t>
  </si>
  <si>
    <t>4000A 10-SECTION MCC -  4.16KV</t>
  </si>
  <si>
    <t>4000A  9-SECTION MCC -  4.16KV</t>
  </si>
  <si>
    <t>4000A  8-SECTION MCC -  4.16KV</t>
  </si>
  <si>
    <t>4000A  7-SECTION MCC -  4.16KV</t>
  </si>
  <si>
    <t>4000A  6-SECTION MCC -  4.16KV</t>
  </si>
  <si>
    <t>4000A  5-SECTION MCC -  4.16KV</t>
  </si>
  <si>
    <t>4000A  4-SECTION MCC -  4.16KV</t>
  </si>
  <si>
    <t>4000A  3-SECTION MCC -  4.16KV</t>
  </si>
  <si>
    <t>4000A  2-SECTION MCC -  4.16KV</t>
  </si>
  <si>
    <t>4000A  1-SECTION MCC -  4.16KV</t>
  </si>
  <si>
    <t>4000A MCC -  4.16KV</t>
  </si>
  <si>
    <t>3500A 20-SECTION MCC -  4.16KV</t>
  </si>
  <si>
    <t>3500A 19-SECTION MCC -  4.16KV</t>
  </si>
  <si>
    <t>3500A 18-SECTION MCC -  4.16KV</t>
  </si>
  <si>
    <t>3500A 17-SECTION MCC -  4.16KV</t>
  </si>
  <si>
    <t>3500A 16-SECTION MCC -  4.16KV</t>
  </si>
  <si>
    <t>3500A 15-SECTION MCC -  4.16KV</t>
  </si>
  <si>
    <t>3500A 14-SECTION MCC -  4.16KV</t>
  </si>
  <si>
    <t>3500A 13-SECTION MCC -  4.16KV</t>
  </si>
  <si>
    <t>3500A 12-SECTION MCC -  4.16KV</t>
  </si>
  <si>
    <t>3500A 11-SECTION MCC -  4.16KV</t>
  </si>
  <si>
    <t>3500A 10-SECTION MCC -  4.16KV</t>
  </si>
  <si>
    <t>3500A  9-SECTION MCC -  4.16KV</t>
  </si>
  <si>
    <t>3500A  8-SECTION MCC -  4.16KV</t>
  </si>
  <si>
    <t>3500A  7-SECTION MCC -  4.16KV</t>
  </si>
  <si>
    <t>3500A  6-SECTION MCC -  4.16KV</t>
  </si>
  <si>
    <t>3500A  5-SECTION MCC -  4.16KV</t>
  </si>
  <si>
    <t>3500A  4-SECTION MCC -  4.16KV</t>
  </si>
  <si>
    <t>3500A  3-SECTION MCC -  4.16KV</t>
  </si>
  <si>
    <t>3500A  2-SECTION MCC -  4.16KV</t>
  </si>
  <si>
    <t>3500A  1-SECTION MCC -  4.16KV</t>
  </si>
  <si>
    <t>3500A MCC -  4.16KV</t>
  </si>
  <si>
    <t>3000A 20-SECTION MCC -  4.16KV</t>
  </si>
  <si>
    <t>3000A 19-SECTION MCC -  4.16KV</t>
  </si>
  <si>
    <t>3000A 18-SECTION MCC -  4.16KV</t>
  </si>
  <si>
    <t>3000A 17-SECTION MCC -  4.16KV</t>
  </si>
  <si>
    <t>3000A 16-SECTION MCC -  4.16KV</t>
  </si>
  <si>
    <t>3000A 15-SECTION MCC -  4.16KV</t>
  </si>
  <si>
    <t>3000A 14-SECTION MCC -  4.16KV</t>
  </si>
  <si>
    <t>3000A 13-SECTION MCC -  4.16KV</t>
  </si>
  <si>
    <t>3000A 12-SECTION MCC -  4.16KV</t>
  </si>
  <si>
    <t>3000A 11-SECTION MCC -  4.16KV</t>
  </si>
  <si>
    <t>3000A 10-SECTION MCC -  4.16KV</t>
  </si>
  <si>
    <t>3000A  9-SECTION MCC -  4.16KV</t>
  </si>
  <si>
    <t>3000A  8-SECTION MCC -  4.16KV</t>
  </si>
  <si>
    <t>3000A  7-SECTION MCC -  4.16KV</t>
  </si>
  <si>
    <t>3000A  6-SECTION MCC -  4.16KV</t>
  </si>
  <si>
    <t>3000A  5-SECTION MCC -  4.16KV</t>
  </si>
  <si>
    <t>3000A  4-SECTION MCC -  4.16KV</t>
  </si>
  <si>
    <t>3000A  3-SECTION MCC -  4.16KV</t>
  </si>
  <si>
    <t>3000A  2-SECTION MCC -  4.16KV</t>
  </si>
  <si>
    <t>3000A  1-SECTION MCC -  4.16KV</t>
  </si>
  <si>
    <t>3000A MCC -  4.16KV</t>
  </si>
  <si>
    <t>2500A 20-SECTION MCC -  4.16KV</t>
  </si>
  <si>
    <t>2500A 19-SECTION MCC -  4.16KV</t>
  </si>
  <si>
    <t>2500A 18-SECTION MCC -  4.16KV</t>
  </si>
  <si>
    <t>2500A 17-SECTION MCC -  4.16KV</t>
  </si>
  <si>
    <t>2500A 16-SECTION MCC -  4.16KV</t>
  </si>
  <si>
    <t>2500A 15-SECTION MCC -  4.16KV</t>
  </si>
  <si>
    <t>2500A 14-SECTION MCC -  4.16KV</t>
  </si>
  <si>
    <t>2500A 13-SECTION MCC -  4.16KV</t>
  </si>
  <si>
    <t>2500A 12-SECTION MCC -  4.16KV</t>
  </si>
  <si>
    <t>2500A 11-SECTION MCC -  4.16KV</t>
  </si>
  <si>
    <t>2500A 10-SECTION MCC -  4.16KV</t>
  </si>
  <si>
    <t>2500A  9-SECTION MCC -  4.16KV</t>
  </si>
  <si>
    <t>2500A  8-SECTION MCC -  4.16KV</t>
  </si>
  <si>
    <t>2500A  7-SECTION MCC -  4.16KV</t>
  </si>
  <si>
    <t>2500A  6-SECTION MCC -  4.16KV</t>
  </si>
  <si>
    <t>2500A  5-SECTION MCC -  4.16KV</t>
  </si>
  <si>
    <t>2500A  4-SECTION MCC -  4.16KV</t>
  </si>
  <si>
    <t>2500A  3-SECTION MCC -  4.16KV</t>
  </si>
  <si>
    <t>2500A  2-SECTION MCC -  4.16KV</t>
  </si>
  <si>
    <t>2500A  1-SECTION MCC -  4.16KV</t>
  </si>
  <si>
    <t>2500A MCC -  4.16KV</t>
  </si>
  <si>
    <t>2000A 20-SECTION MCC -  4.16KV</t>
  </si>
  <si>
    <t>2000A 19-SECTION MCC -  4.16KV</t>
  </si>
  <si>
    <t>2000A 18-SECTION MCC -  4.16KV</t>
  </si>
  <si>
    <t>2000A 17-SECTION MCC -  4.16KV</t>
  </si>
  <si>
    <t>2000A 16-SECTION MCC -  4.16KV</t>
  </si>
  <si>
    <t>2000A 15-SECTION MCC -  4.16KV</t>
  </si>
  <si>
    <t>2000A 14-SECTION MCC -  4.16KV</t>
  </si>
  <si>
    <t>2000A 13-SECTION MCC -  4.16KV</t>
  </si>
  <si>
    <t>2000A 12-SECTION MCC -  4.16KV</t>
  </si>
  <si>
    <t>2000A 11-SECTION MCC -  4.16KV</t>
  </si>
  <si>
    <t>2000A 10-SECTION MCC -  4.16KV</t>
  </si>
  <si>
    <t>2000A  9-SECTION MCC -  4.16KV</t>
  </si>
  <si>
    <t>2000A  8-SECTION MCC -  4.16KV</t>
  </si>
  <si>
    <t>2000A  7-SECTION MCC -  4.16KV</t>
  </si>
  <si>
    <t>2000A  6-SECTION MCC -  4.16KV</t>
  </si>
  <si>
    <t>2000A  5-SECTION MCC -  4.16KV</t>
  </si>
  <si>
    <t>2000A  4-SECTION MCC -  4.16KV</t>
  </si>
  <si>
    <t>2000A  3-SECTION MCC -  4.16KV</t>
  </si>
  <si>
    <t>2000A  2-SECTION MCC -  4.16KV</t>
  </si>
  <si>
    <t>2000A  1-SECTION MCC -  4.16KV</t>
  </si>
  <si>
    <t>2000A MCC -  4.16KV</t>
  </si>
  <si>
    <t>1600A 20-SECTION MCC -  4.16KV</t>
  </si>
  <si>
    <t>1600A 19-SECTION MCC -  4.16KV</t>
  </si>
  <si>
    <t>1600A 18-SECTION MCC -  4.16KV</t>
  </si>
  <si>
    <t>1600A 17-SECTION MCC -  4.16KV</t>
  </si>
  <si>
    <t>1600A 16-SECTION MCC -  4.16KV</t>
  </si>
  <si>
    <t>1600A 15-SECTION MCC -  4.16KV</t>
  </si>
  <si>
    <t>1600A 14-SECTION MCC -  4.16KV</t>
  </si>
  <si>
    <t>1600A 13-SECTION MCC -  4.16KV</t>
  </si>
  <si>
    <t>1600A 12-SECTION MCC -  4.16KV</t>
  </si>
  <si>
    <t>1600A 11-SECTION MCC -  4.16KV</t>
  </si>
  <si>
    <t>1600A 10-SECTION MCC -  4.16KV</t>
  </si>
  <si>
    <t>1600A  9-SECTION MCC -  4.16KV</t>
  </si>
  <si>
    <t>1600A  8-SECTION MCC -  4.16KV</t>
  </si>
  <si>
    <t>1600A  7-SECTION MCC -  4.16KV</t>
  </si>
  <si>
    <t>1600A  6-SECTION MCC -  4.16KV</t>
  </si>
  <si>
    <t>1600A  5-SECTION MCC -  4.16KV</t>
  </si>
  <si>
    <t>1600A  4-SECTION MCC -  4.16KV</t>
  </si>
  <si>
    <t>1600A  3-SECTION MCC -  4.16KV</t>
  </si>
  <si>
    <t>1600A  2-SECTION MCC -  4.16KV</t>
  </si>
  <si>
    <t>1600A  1-SECTION MCC -  4.16KV</t>
  </si>
  <si>
    <t>1600A MCC -  4.16KV</t>
  </si>
  <si>
    <t>1200A 12-SECTION MCC -  4.16KV</t>
  </si>
  <si>
    <t>1200A 11-SECTION MCC -  4.16KV</t>
  </si>
  <si>
    <t>1200A 10-SECTION MCC -  4.16KV</t>
  </si>
  <si>
    <t>1200A  9-SECTION MCC -  4.16KV</t>
  </si>
  <si>
    <t>1200A  8-SECTION MCC -  4.16KV</t>
  </si>
  <si>
    <t>1200A  7-SECTION MCC -  4.16KV</t>
  </si>
  <si>
    <t>1200A  6-SECTION MCC -  4.16KV</t>
  </si>
  <si>
    <t>1200A  5-SECTION MCC -  4.16KV</t>
  </si>
  <si>
    <t>1200A  4-SECTION MCC -  4.16KV</t>
  </si>
  <si>
    <t>1200A  3-SECTION MCC -  4.16KV</t>
  </si>
  <si>
    <t>1200A  2-SECTION MCC -  4.16KV</t>
  </si>
  <si>
    <t>1200A  1-SECTION MCC -  4.16KV</t>
  </si>
  <si>
    <t>1200A MCC -  4.16KV</t>
  </si>
  <si>
    <t>800A 12-SECTION MCC -  4.16KV</t>
  </si>
  <si>
    <t>800A 11-SECTION MCC -  4.16KV</t>
  </si>
  <si>
    <t>800A 10-SECTION MCC -  4.16KV</t>
  </si>
  <si>
    <t>800A  9-SECTION MCC -  4.16KV</t>
  </si>
  <si>
    <t>800A  8-SECTION MCC -  4.16KV</t>
  </si>
  <si>
    <t>800A  7-SECTION MCC -  4.16KV</t>
  </si>
  <si>
    <t>800A  6-SECTION MCC -  4.16KV</t>
  </si>
  <si>
    <t>800A  5-SECTION MCC -  4.16KV</t>
  </si>
  <si>
    <t>800A  4-SECTION MCC -  4.16KV</t>
  </si>
  <si>
    <t>800A  3-SECTION MCC -  4.16KV</t>
  </si>
  <si>
    <t>800A  2-SECTION MCC -  4.16KV</t>
  </si>
  <si>
    <t>800A  1-SECTION MCC -  4.16KV</t>
  </si>
  <si>
    <t>800A MCC -  4.16KV</t>
  </si>
  <si>
    <t>600A  6-SECTION MCC -  4.16KV</t>
  </si>
  <si>
    <t>600A  5-SECTION MCC -  4.16KV</t>
  </si>
  <si>
    <t>600A  4-SECTION MCC -  4.16KV</t>
  </si>
  <si>
    <t>600A  3-SECTION MCC -  4.16KV</t>
  </si>
  <si>
    <t>600A  2-SECTION MCC -  4.16KV</t>
  </si>
  <si>
    <t>600A  1-SECTION MCC -  4.16KV</t>
  </si>
  <si>
    <t>600A MCC -  4.16KV</t>
  </si>
  <si>
    <t>400A  6-SECTION MCC -  4.16KV</t>
  </si>
  <si>
    <t>400A  5-SECTION MCC -  4.16KV</t>
  </si>
  <si>
    <t>400A  4-SECTION MCC -  4.16KV</t>
  </si>
  <si>
    <t>400A  3-SECTION MCC -  4.16KV</t>
  </si>
  <si>
    <t>400A  2-SECTION MCC -  4.16KV</t>
  </si>
  <si>
    <t>400A  1-SECTION MCC -  4.16KV</t>
  </si>
  <si>
    <t>400A MCC -  4.16KV</t>
  </si>
  <si>
    <t>200A  6-SECTION MCC -  4.16KV</t>
  </si>
  <si>
    <t>200A  5-SECTION MCC -  4.16KV</t>
  </si>
  <si>
    <t>200A  4-SECTION MCC -  4.16KV</t>
  </si>
  <si>
    <t>200A  3-SECTION MCC -  4.16KV</t>
  </si>
  <si>
    <t>200A  2-SECTION MCC -  4.16KV</t>
  </si>
  <si>
    <t>200A  1-SECTION MCC -  4.16KV</t>
  </si>
  <si>
    <t>200A MCC -  4.16KV</t>
  </si>
  <si>
    <t>100A  6-SECTION MCC -  4.16KV</t>
  </si>
  <si>
    <t>100A  5-SECTION MCC -  4.16KV</t>
  </si>
  <si>
    <t>100A  4-SECTION MCC -  4.16KV</t>
  </si>
  <si>
    <t>100A  3-SECTION MCC -  4.16KV</t>
  </si>
  <si>
    <t>100A  2-SECTION MCC -  4.16KV</t>
  </si>
  <si>
    <t>100A  1-SECTION MCC -  4.16KV</t>
  </si>
  <si>
    <t>100A MCC -  4.16KV</t>
  </si>
  <si>
    <t>6000A METERING SECTION - 13.8KV</t>
  </si>
  <si>
    <t>4000A METERING SECTION - 13.8KV</t>
  </si>
  <si>
    <t>3000A METERING SECTION - 13.8KV</t>
  </si>
  <si>
    <t>2000A METERING SECTION - 13.8KV</t>
  </si>
  <si>
    <t>1600A METERING SECTION - 13.8KV</t>
  </si>
  <si>
    <t>1200A METERING SECTION - 13.8KV</t>
  </si>
  <si>
    <t>1000A METERING SECTION - 13.8KV</t>
  </si>
  <si>
    <t>800A METERING SECTION - 13.8KV</t>
  </si>
  <si>
    <t>600A METERING SECTION - 13.8KV</t>
  </si>
  <si>
    <t>400A METERING SECTION - 13.8KV</t>
  </si>
  <si>
    <t>200A METERING SECTION - 13.8KV</t>
  </si>
  <si>
    <t>METERING SECTION  - 13.8KV</t>
  </si>
  <si>
    <t>6000A METERING SECTION -  4.16KV</t>
  </si>
  <si>
    <t>4000A METERING SECTION -  4.16KV</t>
  </si>
  <si>
    <t>3000A METERING SECTION -  4.16KV</t>
  </si>
  <si>
    <t>2000A METERING SECTION -  4.16KV</t>
  </si>
  <si>
    <t>1600A METERING SECTION -  4.16KV</t>
  </si>
  <si>
    <t>1200A METERING SECTION -  4.16KV</t>
  </si>
  <si>
    <t>1000A METERING SECTION -  4.16KV</t>
  </si>
  <si>
    <t>800A METERING SECTION -  4.16KV</t>
  </si>
  <si>
    <t>600A METERING SECTION -  4.16KV</t>
  </si>
  <si>
    <t>400A METERING SECTION -  4.16KV</t>
  </si>
  <si>
    <t>200A METERING SECTION -  4.16KV</t>
  </si>
  <si>
    <t>METERING SECTION  -  4.16KV</t>
  </si>
  <si>
    <t>6000A METERING SECTION</t>
  </si>
  <si>
    <t>4000A METERING SECTION</t>
  </si>
  <si>
    <t>3000A METERING SECTION</t>
  </si>
  <si>
    <t>2000A METERING SECTION</t>
  </si>
  <si>
    <t>1600A METERING SECTION</t>
  </si>
  <si>
    <t>1200A METERING SECTION</t>
  </si>
  <si>
    <t>1000A METERING SECTION</t>
  </si>
  <si>
    <t>800A METERING SECTION</t>
  </si>
  <si>
    <t>600A METERING SECTION</t>
  </si>
  <si>
    <t>400A METERING SECTION</t>
  </si>
  <si>
    <t>200A METERING SECTION</t>
  </si>
  <si>
    <t>METERING SECTION</t>
  </si>
  <si>
    <t>400A 3PH IN - 3PH OUT  2 METER STACK</t>
  </si>
  <si>
    <t>400A 3PH IN - 3PH OUT  1 METER STACK</t>
  </si>
  <si>
    <t>400A 3PH IN - 1PH OUT  2 METER STACK</t>
  </si>
  <si>
    <t>200A 3PH IN - 1PH OUT  8 METER STACK</t>
  </si>
  <si>
    <t>200A 3PH IN - 1PH OUT  6 METER STACK</t>
  </si>
  <si>
    <t>200A 3PH IN - 1PH OUT  4 METER STACK</t>
  </si>
  <si>
    <t>200A 3PH IN - 1PH OUT  3 METER STACK</t>
  </si>
  <si>
    <t>200A 3PH IN - 1PH OUT  2 METER STACK</t>
  </si>
  <si>
    <t>125A 3PH IN - 1PH OUT 10 METER STACK</t>
  </si>
  <si>
    <t>125A 3PH IN - 1PH OUT  8 METER STACK</t>
  </si>
  <si>
    <t>125A 3PH IN - 1PH OUT  6 METER STACK</t>
  </si>
  <si>
    <t>125A 3PH IN - 1PH OUT  5 METER STACK</t>
  </si>
  <si>
    <t>125A 3PH IN - 1PH OUT  4 METER STACK</t>
  </si>
  <si>
    <t>125A 3PH IN - 1PH OUT  3 METER STACK</t>
  </si>
  <si>
    <t>METER STACK</t>
  </si>
  <si>
    <t xml:space="preserve"> 6 REAR OUTLET HORIZONTAL</t>
  </si>
  <si>
    <t xml:space="preserve"> 6 FRONT OUTLET HORIZONTAL</t>
  </si>
  <si>
    <t>12 FRONT OULTET VERTICAL</t>
  </si>
  <si>
    <t>10 FRONT OUTLET VERTICAL</t>
  </si>
  <si>
    <t xml:space="preserve"> 6 FRONT OUTLET VERTICAL</t>
  </si>
  <si>
    <t>FRONT OUTLET VERTICAL</t>
  </si>
  <si>
    <t>8-OUTLET SURGE SUPPRESSOR</t>
  </si>
  <si>
    <t>6-OUTLET SURGE SUPPRESSOR</t>
  </si>
  <si>
    <t>4-OUTLET SURGE SUPPRESSOR</t>
  </si>
  <si>
    <t>OUTLET SURGE SUPPRESSOR</t>
  </si>
  <si>
    <t>3000va/2250W NETWORK UPS</t>
  </si>
  <si>
    <t>2200va/1600W NETWORK UPS</t>
  </si>
  <si>
    <t>1400va/ 950W NETWORK UPS</t>
  </si>
  <si>
    <t>1000va/ 670W NETWORK UPS</t>
  </si>
  <si>
    <t xml:space="preserve"> 700va/ 450W NETWORK UPS</t>
  </si>
  <si>
    <t xml:space="preserve"> 400va/ 250W NETWORK UPS</t>
  </si>
  <si>
    <t>NETWORK UPS</t>
  </si>
  <si>
    <t>1400va/950W WS UPS</t>
  </si>
  <si>
    <t>1000va/650W WS UPS</t>
  </si>
  <si>
    <t xml:space="preserve"> 650va/410W  WS UPS</t>
  </si>
  <si>
    <t xml:space="preserve"> 420va/260W  WS UPS</t>
  </si>
  <si>
    <t xml:space="preserve"> 280va/180W  WS UPS</t>
  </si>
  <si>
    <t xml:space="preserve"> 600va/400W PC UPS</t>
  </si>
  <si>
    <t xml:space="preserve"> 400va/250W PC UPS</t>
  </si>
  <si>
    <t xml:space="preserve"> 280va/180W PC UPS</t>
  </si>
  <si>
    <t xml:space="preserve"> 200va/130W PC UPS</t>
  </si>
  <si>
    <t>PC UPS</t>
  </si>
  <si>
    <t>UPS TRANSFER SWITCH</t>
  </si>
  <si>
    <t>BATTERY CHARGER</t>
  </si>
  <si>
    <t>BATTERY RACK</t>
  </si>
  <si>
    <t>120VDC BATTERY BANK</t>
  </si>
  <si>
    <t>24VDC  BATTERY BANK</t>
  </si>
  <si>
    <t>225KVA 3PH UPS</t>
  </si>
  <si>
    <t>150KVA 3PH UPS</t>
  </si>
  <si>
    <t>100KVA 3PH UPS</t>
  </si>
  <si>
    <t>75KVA 3PH UPS</t>
  </si>
  <si>
    <t>50KVA 3PH UPS</t>
  </si>
  <si>
    <t>25KVA 3PH UPS</t>
  </si>
  <si>
    <t>15KVA 3PH UPS</t>
  </si>
  <si>
    <t>10KVA 3PH UPS</t>
  </si>
  <si>
    <t>7.5KVA 3PH UPS</t>
  </si>
  <si>
    <t>5KVA 3PH UPS</t>
  </si>
  <si>
    <t>3KVA 3PH UPS</t>
  </si>
  <si>
    <t>3PH UPS</t>
  </si>
  <si>
    <t>2KVA 1PH UPS</t>
  </si>
  <si>
    <t>1.2KVA 1PH UPS</t>
  </si>
  <si>
    <t>O.6KVA 1PH UPS</t>
  </si>
  <si>
    <t>1PH UPS</t>
  </si>
  <si>
    <t>225KVA 3PH IN/1PH OUT COMPUTER PWR SUPPLY</t>
  </si>
  <si>
    <t>150KVA 3PH IN/1PH OUT COMPUTER PWR SUPPLY</t>
  </si>
  <si>
    <t>100KVA 3PH IN/1PH OUT COMPUTER PWR SUPPLY</t>
  </si>
  <si>
    <t>75KVA 3PH IN/1PH OUT COMPUTER PWR SUPPLY</t>
  </si>
  <si>
    <t>50KVA 3PH IN/1PH OUT COMPUTER PWR SUPPLY</t>
  </si>
  <si>
    <t>25KVA 3PH IN/1PH OUT COMPUTER PWR SUPPLY</t>
  </si>
  <si>
    <t>15KVA 3PH IN/1PH OUT COMPUTER PWR SUPPLY</t>
  </si>
  <si>
    <t>10KVA 3PH IN/1PH OUT COMPUTER PWR SUPPLY</t>
  </si>
  <si>
    <t>7.5KVA 3PH IN/1PH OUT COMPUTER PWR SUPPLY</t>
  </si>
  <si>
    <t>5KVA 3PH IN/1PH OUT COMPUTER PWR SUPPLY</t>
  </si>
  <si>
    <t>3KVA 3PH IN/1PH OUT COMPUTER PWR SUPPLY</t>
  </si>
  <si>
    <t>2KVA 1PH IN/1PH OUT COMPUTER PWR SUPPLY</t>
  </si>
  <si>
    <t>1.2KVA 1PH IN/1PH OUT COMPUTER PWR SUPPLY</t>
  </si>
  <si>
    <t>0.6KVA 1PH IN/1PH OUT COMPUTER PWR SUPPLY</t>
  </si>
  <si>
    <t>1PH COMPUTER PWR SUPPLY</t>
  </si>
  <si>
    <t>150KVA 1PH VOLTAGE REGULATOR</t>
  </si>
  <si>
    <t>100KVA 1PH VOLTAGE REGULATOR</t>
  </si>
  <si>
    <t>75KVA 1PH VOLTAGE REGULATOR</t>
  </si>
  <si>
    <t>50KVA 1PH VOLTAGE REGULATOR</t>
  </si>
  <si>
    <t>37KVA 1PH VOLTAGE REGULATOR</t>
  </si>
  <si>
    <t>25KVA 1PH VOLTAGE REGULATOR</t>
  </si>
  <si>
    <t>15KVA 1PH VOLTAGE REGULATOR</t>
  </si>
  <si>
    <t>10KVA 1PH VOLTAGE REGULATOR</t>
  </si>
  <si>
    <t>7.5KVA 1PH VOLTAGE REGULATOR</t>
  </si>
  <si>
    <t>5KVA 1PH VOLTAGE REGULATOR</t>
  </si>
  <si>
    <t>3KVA 1PH VOLTAGE REGULATOR</t>
  </si>
  <si>
    <t>2KVA 1PH VOLTAGE REGULATOR</t>
  </si>
  <si>
    <t>1KVA 1PH VOLTAGE REGULATOR</t>
  </si>
  <si>
    <t>1PH VOLTAGE REGULATOR</t>
  </si>
  <si>
    <t>225KVA 3PH COMPUTER PWR SUPPLY</t>
  </si>
  <si>
    <t>150KVA 3PH COMPUTER PWR SUPPLY</t>
  </si>
  <si>
    <t>100KVA 3PH COMPUTER PWR SUPPLY</t>
  </si>
  <si>
    <t>75KVA 3PH COMPUTER PWR SUPPLY</t>
  </si>
  <si>
    <t>50KVA 3PH COMPUTER PWR SUPPLY</t>
  </si>
  <si>
    <t>25KVA 3PH COMPUTER PWR SUPPLY</t>
  </si>
  <si>
    <t>15KVA 3PH COMPUTER PWR SUPPLY</t>
  </si>
  <si>
    <t>10KVA 3PH COMPUTER PWR SUPPLY</t>
  </si>
  <si>
    <t>3PH COMPUTER PWR SUPPLY</t>
  </si>
  <si>
    <t>500KVA 3PH VOLTAGE REGULATOR</t>
  </si>
  <si>
    <t>300KVA 3PH VOLTAGE REGULATOR</t>
  </si>
  <si>
    <t>225KVA 3PH VOLTAGE REGULATOR</t>
  </si>
  <si>
    <t>150KVA 3PH VOLTAGE REGULATOR</t>
  </si>
  <si>
    <t>112KVA 3PH VOLTAGE REGULATOR</t>
  </si>
  <si>
    <t>100KVA 3PH VOLTAGE REGULATOR</t>
  </si>
  <si>
    <t>75KVA 3PH VOLTAGE REGULATOR</t>
  </si>
  <si>
    <t>45KVA 3PH VOLTAGE REGULATOR</t>
  </si>
  <si>
    <t>30KVA 3PH VOLTAGE REGULATOR</t>
  </si>
  <si>
    <t>22KVA 3PH VOLTAGE REGULATOR</t>
  </si>
  <si>
    <t>15KVA 3PH VOLTAGE REGULATOR</t>
  </si>
  <si>
    <t>9KVA 3PH VOLTAGE REGULATOR</t>
  </si>
  <si>
    <t>6KVA 3PH VOLTAGE REGULATOR</t>
  </si>
  <si>
    <t>3KVA 3PH VOLTAGE REGULATOR</t>
  </si>
  <si>
    <t>1.5KVA 3PH VOLTAGE REGULATOR</t>
  </si>
  <si>
    <t>3PH VOLTAGE REGULATOR</t>
  </si>
  <si>
    <t>GROUNDING</t>
  </si>
  <si>
    <t>3/4"x10' Ground Rod</t>
  </si>
  <si>
    <t>3/4"x8' Ground Rod</t>
  </si>
  <si>
    <t>5/8"x10' Ground Rod</t>
  </si>
  <si>
    <t>5/8"x8' Ground Rod</t>
  </si>
  <si>
    <t>Ground Bus</t>
  </si>
  <si>
    <t>Neutral Bus</t>
  </si>
  <si>
    <t>Ground Bus Bar</t>
  </si>
  <si>
    <t>Test Well</t>
  </si>
  <si>
    <t>Weld Connection</t>
  </si>
  <si>
    <t>1"x10' Ground Rod</t>
  </si>
  <si>
    <t>20A 125V DUP REC - WP  GFCI IVY W/ AUDIBLE ALARM</t>
  </si>
  <si>
    <t xml:space="preserve">NM ACCESSORIES </t>
  </si>
  <si>
    <t xml:space="preserve">DSN SW FUSIBLE </t>
  </si>
  <si>
    <t>DSN SW NON-FUS</t>
  </si>
  <si>
    <t>NM BOX</t>
  </si>
  <si>
    <t xml:space="preserve"> BOX COMB KO</t>
  </si>
  <si>
    <t xml:space="preserve"> BOX COMB KO WITH SQ 1G PLSTR RING</t>
  </si>
  <si>
    <t>JUNCTION BOX</t>
  </si>
  <si>
    <t>JUNCTION BOX FOR CAMERA</t>
  </si>
  <si>
    <t>JUNCTION BOX WITH SQ 1G PLSTR RING</t>
  </si>
  <si>
    <t>2 GANG BOX</t>
  </si>
  <si>
    <t>4 11/16x 2 1/8" SQ BOX COMB KO WP</t>
  </si>
  <si>
    <t>SPECIALL RECEPTACLES TAMPER PROOF</t>
  </si>
  <si>
    <t>Duplex Receptacle, Tamper Resistant</t>
  </si>
  <si>
    <t>Duplex Receptacle GFI, Tamper Resistant</t>
  </si>
  <si>
    <t>ISOLATED  Tamper Resistant</t>
  </si>
  <si>
    <t xml:space="preserve">ISOLATED HOSPITALL GRID </t>
  </si>
  <si>
    <t xml:space="preserve">HOSPITALL GRID </t>
  </si>
  <si>
    <t xml:space="preserve">GFI HOSPITALL GRID </t>
  </si>
  <si>
    <t>Duplex Receptacle USB Type, Tamper Resistant</t>
  </si>
  <si>
    <t>CR 21 DUPLEX RECEPTACLE</t>
  </si>
  <si>
    <t xml:space="preserve">GF201A </t>
  </si>
  <si>
    <t>Quad Receptacle GFI, Tamper Resistant</t>
  </si>
  <si>
    <t>Duplex Receptacle USB Integral (Hospital Grade)</t>
  </si>
  <si>
    <t>20A 125V DUP REC - AFI</t>
  </si>
  <si>
    <t>20A 125V DUP REC - T-Slot</t>
  </si>
  <si>
    <t>20A 125V DUP REC - GFI T-Slot</t>
  </si>
  <si>
    <t xml:space="preserve">In Weatherproof Enclosure 2 GANG </t>
  </si>
  <si>
    <t xml:space="preserve">In Weatherproof Enclosure 1 GANG </t>
  </si>
  <si>
    <t>20A 125V DUP REC - 5-30R</t>
  </si>
  <si>
    <t>Grounding Screw #10, 32"X3/8" Slotted Hexagon Head, Washer face Screw</t>
  </si>
  <si>
    <t>Pig-tails To Connect Conductors To Device (Quantity Assumed)</t>
  </si>
  <si>
    <t>Wire Nut</t>
  </si>
  <si>
    <t>Special REC, Acceries ALL SINGLE ONLY</t>
  </si>
  <si>
    <t>QUAD Receptacle&amp; DATA OUTLET W/ Floor Box</t>
  </si>
  <si>
    <t>WP ACCESSORIES</t>
  </si>
  <si>
    <t>1 x 20A S/P SW FLUSH</t>
  </si>
  <si>
    <t xml:space="preserve">   </t>
  </si>
  <si>
    <t>Single Gang Plaster Ring</t>
  </si>
  <si>
    <t>1P/15A Breaker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</si>
</sst>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-* #,##0_-;\-* #,##0_-;_-* &quot;-&quot;_-;_-@_-"/>
    <numFmt numFmtId="165" formatCode="_-&quot;£&quot;* #,##0.00_-;\-&quot;£&quot;* #,##0.00_-;_-&quot;£&quot;* &quot;-&quot;??_-;_-@_-"/>
    <numFmt numFmtId="166" formatCode="_-[$$-409]* #,##0.00_ ;_-[$$-409]* \-#,##0.00\ ;_-[$$-409]* &quot;-&quot;??_ ;_-@_ "/>
    <numFmt numFmtId="167" formatCode="_-* #,##0.00_-;\-* #,##0.00_-;_-* &quot;-&quot;_-;_-@_-"/>
    <numFmt numFmtId="168" formatCode="_-[$$-409]* #,##0_ ;_-[$$-409]* \-#,##0\ ;_-[$$-409]* &quot;-&quot;??_ ;_-@_ "/>
    <numFmt numFmtId="169" formatCode="_(&quot;$&quot;* #,##0_);_(&quot;$&quot;* \(#,##0\);_(&quot;$&quot;* &quot;-&quot;??_);_(@_)"/>
  </numFmts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sz val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3" fillId="0" borderId="0"/>
    <xf numFmtId="44" fontId="6" fillId="0" borderId="0" applyFont="0" applyFill="0" applyBorder="0" applyAlignment="0" applyProtection="0"/>
    <xf numFmtId="0" fontId="6" fillId="0" borderId="0"/>
  </cellStyleXfs>
  <cellXfs count="26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4" fillId="2" borderId="1" xfId="3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6" fontId="0" fillId="0" borderId="1" xfId="0" applyNumberFormat="1" applyBorder="1" applyAlignment="1">
      <alignment vertical="center"/>
    </xf>
    <xf numFmtId="166" fontId="0" fillId="0" borderId="0" xfId="0" applyNumberFormat="1" applyAlignment="1">
      <alignment vertical="center"/>
    </xf>
    <xf numFmtId="166" fontId="0" fillId="0" borderId="1" xfId="0" applyNumberForma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167" fontId="0" fillId="0" borderId="1" xfId="1" applyNumberFormat="1" applyFont="1" applyBorder="1" applyAlignment="1">
      <alignment vertical="center"/>
    </xf>
    <xf numFmtId="166" fontId="0" fillId="0" borderId="1" xfId="1" applyNumberFormat="1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0" fillId="0" borderId="7" xfId="0" applyNumberFormat="1" applyBorder="1" applyAlignment="1">
      <alignment vertical="center"/>
    </xf>
    <xf numFmtId="167" fontId="0" fillId="0" borderId="0" xfId="1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7" fontId="15" fillId="0" borderId="1" xfId="1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/>
    </xf>
    <xf numFmtId="168" fontId="0" fillId="0" borderId="5" xfId="0" applyNumberFormat="1" applyBorder="1" applyAlignment="1">
      <alignment vertical="center"/>
    </xf>
    <xf numFmtId="168" fontId="0" fillId="0" borderId="0" xfId="0" applyNumberFormat="1" applyAlignment="1">
      <alignment vertical="center"/>
    </xf>
    <xf numFmtId="167" fontId="0" fillId="0" borderId="1" xfId="1" applyNumberFormat="1" applyFont="1" applyBorder="1" applyAlignment="1">
      <alignment horizontal="center" vertical="center" wrapText="1"/>
    </xf>
    <xf numFmtId="167" fontId="0" fillId="0" borderId="7" xfId="1" applyNumberFormat="1" applyFont="1" applyBorder="1" applyAlignment="1">
      <alignment vertical="center"/>
    </xf>
    <xf numFmtId="167" fontId="0" fillId="0" borderId="0" xfId="1" applyNumberFormat="1" applyFont="1" applyAlignment="1">
      <alignment vertical="center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vertical="center" wrapText="1"/>
    </xf>
    <xf numFmtId="0" fontId="0" fillId="0" borderId="5" xfId="0" applyBorder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166" fontId="15" fillId="0" borderId="10" xfId="0" applyNumberFormat="1" applyFont="1" applyBorder="1" applyAlignment="1">
      <alignment horizontal="center" vertical="center" wrapText="1"/>
    </xf>
    <xf numFmtId="167" fontId="15" fillId="0" borderId="10" xfId="1" applyNumberFormat="1" applyFont="1" applyBorder="1" applyAlignment="1">
      <alignment horizontal="center" vertical="center" wrapText="1"/>
    </xf>
    <xf numFmtId="168" fontId="15" fillId="0" borderId="1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9" fontId="0" fillId="0" borderId="7" xfId="2" applyFont="1" applyBorder="1" applyAlignment="1">
      <alignment horizontal="center" vertical="center"/>
    </xf>
    <xf numFmtId="0" fontId="14" fillId="2" borderId="7" xfId="3" applyFont="1" applyFill="1" applyBorder="1" applyAlignment="1">
      <alignment horizontal="center" vertical="center"/>
    </xf>
    <xf numFmtId="167" fontId="0" fillId="0" borderId="0" xfId="1" applyNumberFormat="1" applyFont="1"/>
    <xf numFmtId="0" fontId="0" fillId="0" borderId="1" xfId="0" applyBorder="1"/>
    <xf numFmtId="0" fontId="0" fillId="0" borderId="1" xfId="0" applyBorder="1" applyAlignment="1">
      <alignment horizontal="center"/>
    </xf>
    <xf numFmtId="167" fontId="0" fillId="0" borderId="1" xfId="1" applyNumberFormat="1" applyFont="1" applyBorder="1"/>
    <xf numFmtId="0" fontId="0" fillId="0" borderId="5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167" fontId="0" fillId="0" borderId="7" xfId="1" applyNumberFormat="1" applyFont="1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66" fontId="0" fillId="0" borderId="1" xfId="0" applyNumberFormat="1" applyBorder="1"/>
    <xf numFmtId="166" fontId="0" fillId="0" borderId="7" xfId="0" applyNumberFormat="1" applyBorder="1"/>
    <xf numFmtId="166" fontId="0" fillId="0" borderId="0" xfId="0" applyNumberFormat="1"/>
    <xf numFmtId="166" fontId="14" fillId="0" borderId="1" xfId="4" applyNumberFormat="1" applyFont="1" applyFill="1" applyBorder="1" applyAlignment="1">
      <alignment horizontal="right" vertical="center" wrapText="1"/>
    </xf>
    <xf numFmtId="168" fontId="14" fillId="0" borderId="1" xfId="4" applyNumberFormat="1" applyFont="1" applyFill="1" applyBorder="1" applyAlignment="1">
      <alignment horizontal="right" vertical="center" wrapText="1"/>
    </xf>
    <xf numFmtId="168" fontId="15" fillId="0" borderId="1" xfId="0" applyNumberFormat="1" applyFont="1" applyBorder="1" applyAlignment="1">
      <alignment horizontal="center" vertical="center" wrapText="1"/>
    </xf>
    <xf numFmtId="2" fontId="14" fillId="0" borderId="1" xfId="4" applyNumberFormat="1" applyFont="1" applyFill="1" applyBorder="1" applyAlignment="1">
      <alignment horizontal="right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166" fontId="17" fillId="3" borderId="12" xfId="0" applyNumberFormat="1" applyFont="1" applyFill="1" applyBorder="1" applyAlignment="1">
      <alignment horizontal="center" vertical="center" wrapText="1"/>
    </xf>
    <xf numFmtId="44" fontId="17" fillId="3" borderId="13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44" fontId="17" fillId="3" borderId="12" xfId="0" applyNumberFormat="1" applyFont="1" applyFill="1" applyBorder="1" applyAlignment="1">
      <alignment horizontal="center" vertical="center" wrapText="1"/>
    </xf>
    <xf numFmtId="166" fontId="17" fillId="3" borderId="13" xfId="0" applyNumberFormat="1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168" fontId="15" fillId="0" borderId="10" xfId="0" applyNumberFormat="1" applyFont="1" applyBorder="1" applyAlignment="1">
      <alignment horizontal="center" vertical="center" wrapText="1"/>
    </xf>
    <xf numFmtId="166" fontId="17" fillId="3" borderId="15" xfId="0" applyNumberFormat="1" applyFont="1" applyFill="1" applyBorder="1" applyAlignment="1">
      <alignment horizontal="center" vertical="center" wrapText="1"/>
    </xf>
    <xf numFmtId="167" fontId="15" fillId="0" borderId="11" xfId="1" applyNumberFormat="1" applyFont="1" applyBorder="1" applyAlignment="1">
      <alignment horizontal="center" vertical="center" wrapText="1"/>
    </xf>
    <xf numFmtId="167" fontId="15" fillId="0" borderId="5" xfId="1" applyNumberFormat="1" applyFont="1" applyBorder="1" applyAlignment="1">
      <alignment horizontal="center" vertical="center" wrapText="1"/>
    </xf>
    <xf numFmtId="167" fontId="0" fillId="0" borderId="5" xfId="1" applyNumberFormat="1" applyFont="1" applyBorder="1" applyAlignment="1">
      <alignment vertical="center"/>
    </xf>
    <xf numFmtId="0" fontId="0" fillId="0" borderId="19" xfId="0" applyBorder="1" applyAlignment="1">
      <alignment vertical="center"/>
    </xf>
    <xf numFmtId="168" fontId="15" fillId="0" borderId="2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166" fontId="0" fillId="0" borderId="10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9" fontId="18" fillId="4" borderId="13" xfId="4" applyNumberFormat="1" applyFont="1" applyFill="1" applyBorder="1" applyAlignment="1">
      <alignment horizontal="center" vertical="center"/>
    </xf>
    <xf numFmtId="44" fontId="17" fillId="3" borderId="23" xfId="0" applyNumberFormat="1" applyFont="1" applyFill="1" applyBorder="1" applyAlignment="1">
      <alignment horizontal="center" vertical="center" wrapText="1"/>
    </xf>
    <xf numFmtId="169" fontId="0" fillId="2" borderId="1" xfId="4" applyNumberFormat="1" applyFont="1" applyFill="1" applyBorder="1" applyAlignment="1">
      <alignment horizontal="center" vertical="center"/>
    </xf>
    <xf numFmtId="168" fontId="14" fillId="0" borderId="5" xfId="4" applyNumberFormat="1" applyFont="1" applyFill="1" applyBorder="1" applyAlignment="1">
      <alignment horizontal="right" vertical="center" wrapText="1"/>
    </xf>
    <xf numFmtId="0" fontId="0" fillId="0" borderId="24" xfId="0" applyBorder="1" applyAlignment="1">
      <alignment horizontal="center" vertical="center"/>
    </xf>
    <xf numFmtId="166" fontId="14" fillId="0" borderId="7" xfId="4" applyNumberFormat="1" applyFont="1" applyFill="1" applyBorder="1" applyAlignment="1">
      <alignment horizontal="right" vertical="center" wrapText="1"/>
    </xf>
    <xf numFmtId="168" fontId="14" fillId="0" borderId="7" xfId="4" applyNumberFormat="1" applyFont="1" applyFill="1" applyBorder="1" applyAlignment="1">
      <alignment horizontal="right" vertical="center" wrapText="1"/>
    </xf>
    <xf numFmtId="169" fontId="0" fillId="2" borderId="7" xfId="4" applyNumberFormat="1" applyFont="1" applyFill="1" applyBorder="1" applyAlignment="1">
      <alignment horizontal="center" vertical="center"/>
    </xf>
    <xf numFmtId="2" fontId="14" fillId="0" borderId="7" xfId="4" applyNumberFormat="1" applyFont="1" applyFill="1" applyBorder="1" applyAlignment="1">
      <alignment horizontal="right" vertical="center" wrapText="1"/>
    </xf>
    <xf numFmtId="166" fontId="15" fillId="0" borderId="5" xfId="0" applyNumberFormat="1" applyFont="1" applyBorder="1" applyAlignment="1">
      <alignment horizontal="center" vertical="center" wrapText="1"/>
    </xf>
    <xf numFmtId="0" fontId="15" fillId="5" borderId="13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15" fillId="5" borderId="13" xfId="0" applyFont="1" applyFill="1" applyBorder="1" applyAlignment="1">
      <alignment horizontal="left"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4" xfId="0" applyBorder="1" applyAlignment="1">
      <alignment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168" fontId="14" fillId="0" borderId="8" xfId="4" applyNumberFormat="1" applyFont="1" applyFill="1" applyBorder="1" applyAlignment="1">
      <alignment horizontal="right" vertical="center" wrapText="1"/>
    </xf>
    <xf numFmtId="0" fontId="0" fillId="0" borderId="29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28" xfId="0" applyBorder="1" applyAlignment="1">
      <alignment vertical="center"/>
    </xf>
    <xf numFmtId="167" fontId="15" fillId="0" borderId="14" xfId="1" applyNumberFormat="1" applyFont="1" applyBorder="1" applyAlignment="1">
      <alignment horizontal="center" vertical="center" wrapText="1"/>
    </xf>
    <xf numFmtId="0" fontId="0" fillId="0" borderId="30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/>
    <xf numFmtId="0" fontId="0" fillId="0" borderId="35" xfId="0" applyBorder="1"/>
    <xf numFmtId="0" fontId="15" fillId="5" borderId="13" xfId="0" applyFont="1" applyFill="1" applyBorder="1" applyAlignment="1">
      <alignment horizontal="left" vertical="center" wrapText="1"/>
    </xf>
    <xf numFmtId="166" fontId="14" fillId="2" borderId="1" xfId="4" applyNumberFormat="1" applyFont="1" applyFill="1" applyBorder="1" applyAlignment="1">
      <alignment horizontal="right" vertical="center" wrapText="1"/>
    </xf>
    <xf numFmtId="166" fontId="14" fillId="0" borderId="1" xfId="5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14" fillId="2" borderId="1" xfId="2" applyFont="1" applyFill="1" applyBorder="1" applyAlignment="1">
      <alignment horizontal="center" vertical="center"/>
    </xf>
    <xf numFmtId="1" fontId="14" fillId="2" borderId="1" xfId="3" applyNumberFormat="1" applyFont="1" applyFill="1" applyBorder="1" applyAlignment="1">
      <alignment horizontal="center" vertical="center"/>
    </xf>
    <xf numFmtId="168" fontId="0" fillId="0" borderId="1" xfId="1" applyNumberFormat="1" applyFont="1" applyBorder="1" applyAlignment="1">
      <alignment vertical="center"/>
    </xf>
    <xf numFmtId="0" fontId="12" fillId="0" borderId="1" xfId="6" applyBorder="1" applyAlignment="1">
      <alignment horizontal="center" vertical="center"/>
    </xf>
    <xf numFmtId="0" fontId="5" fillId="0" borderId="4" xfId="6" applyFont="1" applyBorder="1" applyAlignment="1">
      <alignment horizontal="center" vertical="center"/>
    </xf>
    <xf numFmtId="9" fontId="0" fillId="0" borderId="1" xfId="7" applyFont="1" applyBorder="1" applyAlignment="1">
      <alignment horizontal="center" vertical="center"/>
    </xf>
    <xf numFmtId="0" fontId="14" fillId="2" borderId="1" xfId="8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center" vertical="center"/>
    </xf>
    <xf numFmtId="166" fontId="14" fillId="0" borderId="1" xfId="9" applyNumberFormat="1" applyFont="1" applyFill="1" applyBorder="1" applyAlignment="1">
      <alignment horizontal="right" vertical="center" wrapText="1"/>
    </xf>
    <xf numFmtId="0" fontId="6" fillId="0" borderId="1" xfId="10" applyBorder="1" applyAlignment="1">
      <alignment horizontal="center" vertical="center"/>
    </xf>
    <xf numFmtId="168" fontId="14" fillId="0" borderId="1" xfId="5" applyNumberFormat="1" applyFont="1" applyFill="1" applyBorder="1" applyAlignment="1">
      <alignment horizontal="right" vertical="center" wrapText="1"/>
    </xf>
    <xf numFmtId="169" fontId="0" fillId="2" borderId="1" xfId="5" applyNumberFormat="1" applyFont="1" applyFill="1" applyBorder="1" applyAlignment="1">
      <alignment horizontal="center" vertical="center"/>
    </xf>
    <xf numFmtId="0" fontId="12" fillId="0" borderId="1" xfId="6" applyBorder="1" applyAlignment="1">
      <alignment vertical="center"/>
    </xf>
    <xf numFmtId="2" fontId="14" fillId="0" borderId="1" xfId="5" applyNumberFormat="1" applyFont="1" applyFill="1" applyBorder="1" applyAlignment="1">
      <alignment horizontal="right" vertical="center" wrapText="1"/>
    </xf>
    <xf numFmtId="168" fontId="14" fillId="0" borderId="5" xfId="5" applyNumberFormat="1" applyFont="1" applyFill="1" applyBorder="1" applyAlignment="1">
      <alignment horizontal="right" vertical="center" wrapText="1"/>
    </xf>
    <xf numFmtId="0" fontId="12" fillId="0" borderId="5" xfId="6" applyBorder="1" applyAlignment="1">
      <alignment vertical="center"/>
    </xf>
    <xf numFmtId="0" fontId="12" fillId="0" borderId="0" xfId="6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/>
    </xf>
    <xf numFmtId="44" fontId="17" fillId="6" borderId="23" xfId="0" applyNumberFormat="1" applyFont="1" applyFill="1" applyBorder="1" applyAlignment="1">
      <alignment horizontal="center" vertical="center" wrapText="1"/>
    </xf>
    <xf numFmtId="0" fontId="0" fillId="6" borderId="28" xfId="0" applyFill="1" applyBorder="1" applyAlignment="1">
      <alignment vertical="center"/>
    </xf>
    <xf numFmtId="0" fontId="0" fillId="6" borderId="14" xfId="0" applyFill="1" applyBorder="1" applyAlignment="1">
      <alignment vertical="center"/>
    </xf>
    <xf numFmtId="0" fontId="0" fillId="6" borderId="19" xfId="0" applyFill="1" applyBorder="1" applyAlignment="1">
      <alignment vertical="center"/>
    </xf>
    <xf numFmtId="0" fontId="4" fillId="0" borderId="36" xfId="6" applyFont="1" applyBorder="1" applyAlignment="1">
      <alignment horizontal="center" vertical="center"/>
    </xf>
    <xf numFmtId="0" fontId="12" fillId="0" borderId="14" xfId="6" applyBorder="1" applyAlignment="1">
      <alignment horizontal="center" vertical="center"/>
    </xf>
    <xf numFmtId="0" fontId="4" fillId="2" borderId="1" xfId="6" applyFont="1" applyFill="1" applyBorder="1" applyAlignment="1">
      <alignment horizontal="center" vertical="center"/>
    </xf>
    <xf numFmtId="0" fontId="4" fillId="0" borderId="4" xfId="6" applyFont="1" applyBorder="1" applyAlignment="1">
      <alignment horizontal="center" vertical="center"/>
    </xf>
    <xf numFmtId="0" fontId="12" fillId="0" borderId="26" xfId="6" applyBorder="1" applyAlignment="1">
      <alignment horizontal="left" vertical="center" wrapText="1"/>
    </xf>
    <xf numFmtId="0" fontId="17" fillId="6" borderId="12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6" borderId="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2" borderId="1" xfId="6" applyFont="1" applyFill="1" applyBorder="1" applyAlignment="1">
      <alignment horizontal="center" vertical="center"/>
    </xf>
    <xf numFmtId="0" fontId="3" fillId="0" borderId="36" xfId="6" applyFont="1" applyBorder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168" fontId="14" fillId="0" borderId="25" xfId="4" applyNumberFormat="1" applyFont="1" applyFill="1" applyBorder="1" applyAlignment="1">
      <alignment horizontal="right" vertical="center" wrapText="1"/>
    </xf>
    <xf numFmtId="168" fontId="14" fillId="0" borderId="25" xfId="5" applyNumberFormat="1" applyFont="1" applyFill="1" applyBorder="1" applyAlignment="1">
      <alignment horizontal="right" vertical="center" wrapText="1"/>
    </xf>
    <xf numFmtId="167" fontId="0" fillId="0" borderId="5" xfId="1" applyNumberFormat="1" applyFont="1" applyFill="1" applyBorder="1" applyAlignment="1">
      <alignment vertical="center"/>
    </xf>
    <xf numFmtId="167" fontId="0" fillId="0" borderId="1" xfId="1" applyNumberFormat="1" applyFont="1" applyFill="1" applyBorder="1" applyAlignment="1">
      <alignment vertical="center"/>
    </xf>
    <xf numFmtId="167" fontId="15" fillId="0" borderId="11" xfId="1" applyNumberFormat="1" applyFont="1" applyFill="1" applyBorder="1" applyAlignment="1">
      <alignment horizontal="center" vertical="center" wrapText="1"/>
    </xf>
    <xf numFmtId="167" fontId="15" fillId="0" borderId="10" xfId="1" applyNumberFormat="1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168" fontId="15" fillId="0" borderId="40" xfId="0" applyNumberFormat="1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5" fillId="6" borderId="13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1" fillId="0" borderId="36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0" fillId="6" borderId="13" xfId="0" applyFont="1" applyFill="1" applyBorder="1" applyAlignment="1">
      <alignment horizontal="left" vertical="center" wrapText="1"/>
    </xf>
    <xf numFmtId="0" fontId="15" fillId="6" borderId="13" xfId="0" applyFont="1" applyFill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0" fillId="0" borderId="10" xfId="0" applyBorder="1"/>
    <xf numFmtId="0" fontId="15" fillId="6" borderId="13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6" xfId="0" applyBorder="1"/>
    <xf numFmtId="1" fontId="11" fillId="0" borderId="1" xfId="0" applyNumberFormat="1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7" borderId="0" xfId="0" applyFill="1" applyAlignment="1">
      <alignment vertical="center"/>
    </xf>
    <xf numFmtId="44" fontId="17" fillId="7" borderId="13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7" xfId="0" applyFill="1" applyBorder="1" applyAlignment="1">
      <alignment vertical="center"/>
    </xf>
    <xf numFmtId="0" fontId="15" fillId="0" borderId="42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2" fillId="0" borderId="9" xfId="6" applyFont="1" applyBorder="1" applyAlignment="1">
      <alignment horizontal="center" vertical="center"/>
    </xf>
    <xf numFmtId="0" fontId="18" fillId="8" borderId="13" xfId="6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2" fillId="0" borderId="36" xfId="0" applyFont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2" fillId="0" borderId="4" xfId="6" applyFont="1" applyBorder="1" applyAlignment="1">
      <alignment horizontal="center" vertical="center"/>
    </xf>
    <xf numFmtId="0" fontId="12" fillId="0" borderId="42" xfId="6" applyBorder="1" applyAlignment="1">
      <alignment horizontal="left" vertical="center" wrapText="1"/>
    </xf>
    <xf numFmtId="0" fontId="0" fillId="0" borderId="1" xfId="6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15" fillId="6" borderId="43" xfId="0" applyFont="1" applyFill="1" applyBorder="1" applyAlignment="1">
      <alignment vertical="center" wrapText="1"/>
    </xf>
    <xf numFmtId="0" fontId="15" fillId="6" borderId="34" xfId="0" applyFont="1" applyFill="1" applyBorder="1" applyAlignment="1">
      <alignment vertical="center" wrapText="1"/>
    </xf>
    <xf numFmtId="0" fontId="15" fillId="6" borderId="35" xfId="0" applyFont="1" applyFill="1" applyBorder="1" applyAlignment="1">
      <alignment vertical="center" wrapText="1"/>
    </xf>
    <xf numFmtId="0" fontId="12" fillId="0" borderId="10" xfId="6" applyBorder="1" applyAlignment="1">
      <alignment horizontal="left" vertical="center" wrapText="1"/>
    </xf>
    <xf numFmtId="0" fontId="2" fillId="2" borderId="1" xfId="6" applyFont="1" applyFill="1" applyBorder="1" applyAlignment="1">
      <alignment horizontal="center" vertical="center"/>
    </xf>
    <xf numFmtId="0" fontId="19" fillId="8" borderId="13" xfId="6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/>
    </xf>
    <xf numFmtId="0" fontId="18" fillId="3" borderId="23" xfId="0" applyFont="1" applyFill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0" fontId="14" fillId="2" borderId="10" xfId="3" applyFont="1" applyFill="1" applyBorder="1" applyAlignment="1">
      <alignment horizontal="center" vertical="center"/>
    </xf>
    <xf numFmtId="166" fontId="14" fillId="0" borderId="10" xfId="4" applyNumberFormat="1" applyFont="1" applyFill="1" applyBorder="1" applyAlignment="1">
      <alignment horizontal="right" vertical="center" wrapText="1"/>
    </xf>
    <xf numFmtId="168" fontId="14" fillId="0" borderId="10" xfId="4" applyNumberFormat="1" applyFont="1" applyFill="1" applyBorder="1" applyAlignment="1">
      <alignment horizontal="right" vertical="center" wrapText="1"/>
    </xf>
    <xf numFmtId="169" fontId="0" fillId="2" borderId="10" xfId="4" applyNumberFormat="1" applyFont="1" applyFill="1" applyBorder="1" applyAlignment="1">
      <alignment horizontal="center" vertical="center"/>
    </xf>
    <xf numFmtId="2" fontId="14" fillId="0" borderId="10" xfId="4" applyNumberFormat="1" applyFont="1" applyFill="1" applyBorder="1" applyAlignment="1">
      <alignment horizontal="right" vertical="center" wrapText="1"/>
    </xf>
  </cellXfs>
  <cellStyles count="11">
    <cellStyle name="Comma [0]" xfId="1" builtinId="6"/>
    <cellStyle name="Currency" xfId="4" builtinId="4"/>
    <cellStyle name="Currency 2" xfId="5" xr:uid="{CBE1B192-CAC0-4373-BD2E-41FA58F0479C}"/>
    <cellStyle name="Currency 3" xfId="9" xr:uid="{7E6D8117-2BDE-4352-9ED5-0D98123D99FD}"/>
    <cellStyle name="Normal" xfId="0" builtinId="0"/>
    <cellStyle name="Normal 2" xfId="3" xr:uid="{00000000-0005-0000-0000-000003000000}"/>
    <cellStyle name="Normal 2 2" xfId="6" xr:uid="{5FBCB731-74DE-48EE-AC49-9D5AFFE4880D}"/>
    <cellStyle name="Normal 2 2 2" xfId="8" xr:uid="{AD22C3F0-39EE-4E6C-843B-94CF0F1D48C6}"/>
    <cellStyle name="Normal 3" xfId="10" xr:uid="{897D3657-1F37-4940-9CB3-C8A8624E9422}"/>
    <cellStyle name="Percent" xfId="2" builtinId="5"/>
    <cellStyle name="Percent 2" xfId="7" xr:uid="{C54BE7DD-3BDA-4207-9458-3B61EB5294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B71A-FA00-47A9-A9A9-BFECD177D689}">
  <sheetPr>
    <pageSetUpPr fitToPage="1"/>
  </sheetPr>
  <dimension ref="A3:O250"/>
  <sheetViews>
    <sheetView view="pageBreakPreview" topLeftCell="A64" zoomScale="90" zoomScaleNormal="85" zoomScaleSheetLayoutView="90" workbookViewId="0">
      <selection activeCell="A71" sqref="A71:XFD71"/>
    </sheetView>
  </sheetViews>
  <sheetFormatPr defaultColWidth="9.140625" defaultRowHeight="15" x14ac:dyDescent="0.25"/>
  <cols>
    <col min="1" max="1" width="5.7109375" style="2" customWidth="1"/>
    <col min="2" max="2" width="60.28515625" style="1" customWidth="1"/>
    <col min="3" max="3" width="10" style="2" bestFit="1" customWidth="1"/>
    <col min="4" max="5" width="9.85546875" style="2" bestFit="1" customWidth="1"/>
    <col min="6" max="6" width="5.42578125" style="2" bestFit="1" customWidth="1"/>
    <col min="7" max="7" width="9.140625" style="10" bestFit="1" customWidth="1"/>
    <col min="8" max="8" width="5.28515625" style="2" bestFit="1" customWidth="1"/>
    <col min="9" max="9" width="10.42578125" style="10" bestFit="1" customWidth="1"/>
    <col min="10" max="10" width="7.42578125" style="10" bestFit="1" customWidth="1"/>
    <col min="11" max="11" width="7.42578125" style="46" bestFit="1" customWidth="1"/>
    <col min="12" max="12" width="5.85546875" style="2" bestFit="1" customWidth="1"/>
    <col min="13" max="13" width="7.28515625" style="46" bestFit="1" customWidth="1"/>
    <col min="14" max="14" width="8.140625" style="1" bestFit="1" customWidth="1"/>
    <col min="15" max="15" width="8.42578125" style="1" bestFit="1" customWidth="1"/>
    <col min="16" max="16384" width="9.140625" style="1"/>
  </cols>
  <sheetData>
    <row r="3" spans="1:15" ht="15.75" thickBot="1" x14ac:dyDescent="0.3"/>
    <row r="4" spans="1:15" ht="16.5" thickBot="1" x14ac:dyDescent="0.3">
      <c r="D4" s="1"/>
      <c r="E4" s="1"/>
      <c r="F4" s="1"/>
      <c r="I4" s="43"/>
      <c r="J4" s="1"/>
      <c r="K4" s="1"/>
      <c r="M4" s="253" t="s">
        <v>1199</v>
      </c>
      <c r="N4" s="254"/>
      <c r="O4" s="108">
        <v>75</v>
      </c>
    </row>
    <row r="5" spans="1:15" ht="41.1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285</v>
      </c>
      <c r="L5" s="82" t="s">
        <v>284</v>
      </c>
      <c r="M5" s="81" t="s">
        <v>286</v>
      </c>
      <c r="N5" s="83" t="s">
        <v>871</v>
      </c>
      <c r="O5" s="84" t="s">
        <v>872</v>
      </c>
    </row>
    <row r="6" spans="1:15" ht="15.75" thickBot="1" x14ac:dyDescent="0.3">
      <c r="A6" s="53"/>
      <c r="B6" s="54"/>
      <c r="C6" s="55"/>
      <c r="D6" s="55"/>
      <c r="E6" s="55"/>
      <c r="F6" s="55"/>
      <c r="G6" s="56"/>
      <c r="H6" s="56"/>
      <c r="I6" s="56"/>
      <c r="J6" s="56"/>
      <c r="K6" s="57"/>
      <c r="L6" s="55"/>
      <c r="M6" s="57"/>
      <c r="N6" s="56"/>
      <c r="O6" s="95"/>
    </row>
    <row r="7" spans="1:15" ht="15.75" thickBot="1" x14ac:dyDescent="0.3">
      <c r="A7" s="60"/>
      <c r="B7" s="120" t="s">
        <v>1475</v>
      </c>
      <c r="C7" s="5"/>
      <c r="D7" s="7"/>
      <c r="E7" s="3"/>
      <c r="F7" s="3"/>
      <c r="G7" s="9"/>
      <c r="H7" s="5"/>
      <c r="I7" s="9"/>
      <c r="J7" s="9"/>
      <c r="K7" s="15"/>
      <c r="L7" s="5"/>
      <c r="M7" s="15"/>
      <c r="N7" s="4"/>
      <c r="O7" s="4"/>
    </row>
    <row r="8" spans="1:15" x14ac:dyDescent="0.25">
      <c r="A8" s="31">
        <v>1</v>
      </c>
      <c r="B8" s="4" t="s">
        <v>1474</v>
      </c>
      <c r="C8" s="5">
        <v>1</v>
      </c>
      <c r="D8" s="7">
        <v>0</v>
      </c>
      <c r="E8" s="3">
        <f t="shared" ref="E8:E30" si="0">C8+(C8*D8)</f>
        <v>1</v>
      </c>
      <c r="F8" s="3" t="s">
        <v>867</v>
      </c>
      <c r="G8" s="77"/>
      <c r="H8" s="5" t="s">
        <v>1</v>
      </c>
      <c r="I8" s="78">
        <f t="shared" ref="I8:I30" si="1">IF(H8="C",(G8/100)*E8,IF(H8="M",(G8/1000)*E8,G8*E8))</f>
        <v>0</v>
      </c>
      <c r="J8" s="110">
        <f t="shared" ref="J8:J30" si="2">$O$4</f>
        <v>75</v>
      </c>
      <c r="K8" s="4">
        <v>0.3</v>
      </c>
      <c r="L8" s="5" t="s">
        <v>1</v>
      </c>
      <c r="M8" s="80">
        <f t="shared" ref="M8:M30" si="3">IF(L8="C",(K8/100)*E8,IF(L8="M",(K8/1000)*E8,K8*E8))</f>
        <v>0.3</v>
      </c>
      <c r="N8" s="78">
        <f t="shared" ref="N8:N30" si="4">M8*J8</f>
        <v>22.5</v>
      </c>
      <c r="O8" s="78">
        <f t="shared" ref="O8:O30" si="5">N8+I8</f>
        <v>22.5</v>
      </c>
    </row>
    <row r="9" spans="1:15" x14ac:dyDescent="0.25">
      <c r="A9" s="31">
        <v>2</v>
      </c>
      <c r="B9" s="4" t="s">
        <v>1473</v>
      </c>
      <c r="C9" s="5">
        <v>1</v>
      </c>
      <c r="D9" s="7">
        <v>0</v>
      </c>
      <c r="E9" s="3">
        <f t="shared" si="0"/>
        <v>1</v>
      </c>
      <c r="F9" s="3" t="s">
        <v>867</v>
      </c>
      <c r="G9" s="77"/>
      <c r="H9" s="5" t="s">
        <v>1</v>
      </c>
      <c r="I9" s="78">
        <f t="shared" si="1"/>
        <v>0</v>
      </c>
      <c r="J9" s="110">
        <f t="shared" si="2"/>
        <v>75</v>
      </c>
      <c r="K9" s="4">
        <v>0.3</v>
      </c>
      <c r="L9" s="5" t="s">
        <v>1</v>
      </c>
      <c r="M9" s="80">
        <f t="shared" si="3"/>
        <v>0.3</v>
      </c>
      <c r="N9" s="78">
        <f t="shared" si="4"/>
        <v>22.5</v>
      </c>
      <c r="O9" s="78">
        <f t="shared" si="5"/>
        <v>22.5</v>
      </c>
    </row>
    <row r="10" spans="1:15" x14ac:dyDescent="0.25">
      <c r="A10" s="31">
        <v>3</v>
      </c>
      <c r="B10" s="4" t="s">
        <v>1472</v>
      </c>
      <c r="C10" s="5">
        <v>1</v>
      </c>
      <c r="D10" s="7">
        <v>0</v>
      </c>
      <c r="E10" s="3">
        <f t="shared" si="0"/>
        <v>1</v>
      </c>
      <c r="F10" s="3" t="s">
        <v>867</v>
      </c>
      <c r="G10" s="77"/>
      <c r="H10" s="5" t="s">
        <v>1</v>
      </c>
      <c r="I10" s="78">
        <f t="shared" si="1"/>
        <v>0</v>
      </c>
      <c r="J10" s="110">
        <f t="shared" si="2"/>
        <v>75</v>
      </c>
      <c r="K10" s="4">
        <v>0.3</v>
      </c>
      <c r="L10" s="5" t="s">
        <v>1</v>
      </c>
      <c r="M10" s="80">
        <f t="shared" si="3"/>
        <v>0.3</v>
      </c>
      <c r="N10" s="78">
        <f t="shared" si="4"/>
        <v>22.5</v>
      </c>
      <c r="O10" s="78">
        <f t="shared" si="5"/>
        <v>22.5</v>
      </c>
    </row>
    <row r="11" spans="1:15" x14ac:dyDescent="0.25">
      <c r="A11" s="31">
        <v>4</v>
      </c>
      <c r="B11" s="4" t="s">
        <v>1471</v>
      </c>
      <c r="C11" s="5">
        <v>1</v>
      </c>
      <c r="D11" s="7">
        <v>0</v>
      </c>
      <c r="E11" s="3">
        <f t="shared" si="0"/>
        <v>1</v>
      </c>
      <c r="F11" s="3" t="s">
        <v>867</v>
      </c>
      <c r="G11" s="77"/>
      <c r="H11" s="5" t="s">
        <v>1</v>
      </c>
      <c r="I11" s="78">
        <f t="shared" si="1"/>
        <v>0</v>
      </c>
      <c r="J11" s="110">
        <f t="shared" si="2"/>
        <v>75</v>
      </c>
      <c r="K11" s="4">
        <v>0.3</v>
      </c>
      <c r="L11" s="5" t="s">
        <v>1</v>
      </c>
      <c r="M11" s="80">
        <f t="shared" si="3"/>
        <v>0.3</v>
      </c>
      <c r="N11" s="78">
        <f t="shared" si="4"/>
        <v>22.5</v>
      </c>
      <c r="O11" s="78">
        <f t="shared" si="5"/>
        <v>22.5</v>
      </c>
    </row>
    <row r="12" spans="1:15" x14ac:dyDescent="0.25">
      <c r="A12" s="31">
        <v>5</v>
      </c>
      <c r="B12" s="4" t="s">
        <v>1470</v>
      </c>
      <c r="C12" s="5">
        <v>1</v>
      </c>
      <c r="D12" s="7">
        <v>0</v>
      </c>
      <c r="E12" s="3">
        <f t="shared" si="0"/>
        <v>1</v>
      </c>
      <c r="F12" s="3" t="s">
        <v>867</v>
      </c>
      <c r="G12" s="77"/>
      <c r="H12" s="5" t="s">
        <v>1</v>
      </c>
      <c r="I12" s="78">
        <f t="shared" si="1"/>
        <v>0</v>
      </c>
      <c r="J12" s="110">
        <f t="shared" si="2"/>
        <v>75</v>
      </c>
      <c r="K12" s="4">
        <v>0.3</v>
      </c>
      <c r="L12" s="5" t="s">
        <v>1</v>
      </c>
      <c r="M12" s="80">
        <f t="shared" si="3"/>
        <v>0.3</v>
      </c>
      <c r="N12" s="78">
        <f t="shared" si="4"/>
        <v>22.5</v>
      </c>
      <c r="O12" s="78">
        <f t="shared" si="5"/>
        <v>22.5</v>
      </c>
    </row>
    <row r="13" spans="1:15" x14ac:dyDescent="0.25">
      <c r="A13" s="31">
        <v>6</v>
      </c>
      <c r="B13" s="4" t="s">
        <v>1469</v>
      </c>
      <c r="C13" s="5">
        <v>1</v>
      </c>
      <c r="D13" s="7">
        <v>0</v>
      </c>
      <c r="E13" s="3">
        <f t="shared" si="0"/>
        <v>1</v>
      </c>
      <c r="F13" s="3" t="s">
        <v>867</v>
      </c>
      <c r="G13" s="77"/>
      <c r="H13" s="5" t="s">
        <v>1</v>
      </c>
      <c r="I13" s="78">
        <f t="shared" si="1"/>
        <v>0</v>
      </c>
      <c r="J13" s="110">
        <f t="shared" si="2"/>
        <v>75</v>
      </c>
      <c r="K13" s="4">
        <v>0.3</v>
      </c>
      <c r="L13" s="5" t="s">
        <v>1</v>
      </c>
      <c r="M13" s="80">
        <f t="shared" si="3"/>
        <v>0.3</v>
      </c>
      <c r="N13" s="78">
        <f t="shared" si="4"/>
        <v>22.5</v>
      </c>
      <c r="O13" s="78">
        <f t="shared" si="5"/>
        <v>22.5</v>
      </c>
    </row>
    <row r="14" spans="1:15" x14ac:dyDescent="0.25">
      <c r="A14" s="31">
        <v>7</v>
      </c>
      <c r="B14" s="4" t="s">
        <v>1468</v>
      </c>
      <c r="C14" s="5">
        <v>1</v>
      </c>
      <c r="D14" s="7">
        <v>0</v>
      </c>
      <c r="E14" s="3">
        <f t="shared" si="0"/>
        <v>1</v>
      </c>
      <c r="F14" s="3" t="s">
        <v>867</v>
      </c>
      <c r="G14" s="77"/>
      <c r="H14" s="5" t="s">
        <v>1</v>
      </c>
      <c r="I14" s="78">
        <f t="shared" si="1"/>
        <v>0</v>
      </c>
      <c r="J14" s="110">
        <f t="shared" si="2"/>
        <v>75</v>
      </c>
      <c r="K14" s="4">
        <v>0.3</v>
      </c>
      <c r="L14" s="5" t="s">
        <v>1</v>
      </c>
      <c r="M14" s="80">
        <f t="shared" si="3"/>
        <v>0.3</v>
      </c>
      <c r="N14" s="78">
        <f t="shared" si="4"/>
        <v>22.5</v>
      </c>
      <c r="O14" s="78">
        <f t="shared" si="5"/>
        <v>22.5</v>
      </c>
    </row>
    <row r="15" spans="1:15" x14ac:dyDescent="0.25">
      <c r="A15" s="31">
        <v>8</v>
      </c>
      <c r="B15" s="4" t="s">
        <v>1467</v>
      </c>
      <c r="C15" s="5">
        <v>1</v>
      </c>
      <c r="D15" s="7">
        <v>0</v>
      </c>
      <c r="E15" s="3">
        <f t="shared" si="0"/>
        <v>1</v>
      </c>
      <c r="F15" s="3" t="s">
        <v>867</v>
      </c>
      <c r="G15" s="77"/>
      <c r="H15" s="5" t="s">
        <v>1</v>
      </c>
      <c r="I15" s="78">
        <f t="shared" si="1"/>
        <v>0</v>
      </c>
      <c r="J15" s="110">
        <f t="shared" si="2"/>
        <v>75</v>
      </c>
      <c r="K15" s="4">
        <v>0.3</v>
      </c>
      <c r="L15" s="5" t="s">
        <v>1</v>
      </c>
      <c r="M15" s="80">
        <f t="shared" si="3"/>
        <v>0.3</v>
      </c>
      <c r="N15" s="78">
        <f t="shared" si="4"/>
        <v>22.5</v>
      </c>
      <c r="O15" s="78">
        <f t="shared" si="5"/>
        <v>22.5</v>
      </c>
    </row>
    <row r="16" spans="1:15" x14ac:dyDescent="0.25">
      <c r="A16" s="31">
        <v>9</v>
      </c>
      <c r="B16" s="4" t="s">
        <v>1466</v>
      </c>
      <c r="C16" s="5">
        <v>1</v>
      </c>
      <c r="D16" s="7">
        <v>0</v>
      </c>
      <c r="E16" s="3">
        <f t="shared" si="0"/>
        <v>1</v>
      </c>
      <c r="F16" s="3" t="s">
        <v>867</v>
      </c>
      <c r="G16" s="77"/>
      <c r="H16" s="5" t="s">
        <v>1</v>
      </c>
      <c r="I16" s="78">
        <f t="shared" si="1"/>
        <v>0</v>
      </c>
      <c r="J16" s="110">
        <f t="shared" si="2"/>
        <v>75</v>
      </c>
      <c r="K16" s="4">
        <v>0.4</v>
      </c>
      <c r="L16" s="5" t="s">
        <v>1</v>
      </c>
      <c r="M16" s="80">
        <f t="shared" si="3"/>
        <v>0.4</v>
      </c>
      <c r="N16" s="78">
        <f t="shared" si="4"/>
        <v>30</v>
      </c>
      <c r="O16" s="78">
        <f t="shared" si="5"/>
        <v>30</v>
      </c>
    </row>
    <row r="17" spans="1:15" x14ac:dyDescent="0.25">
      <c r="A17" s="31">
        <v>10</v>
      </c>
      <c r="B17" s="4" t="s">
        <v>1465</v>
      </c>
      <c r="C17" s="5">
        <v>1</v>
      </c>
      <c r="D17" s="7">
        <v>0</v>
      </c>
      <c r="E17" s="3">
        <f t="shared" si="0"/>
        <v>1</v>
      </c>
      <c r="F17" s="3" t="s">
        <v>867</v>
      </c>
      <c r="G17" s="77"/>
      <c r="H17" s="5" t="s">
        <v>1</v>
      </c>
      <c r="I17" s="78">
        <f t="shared" si="1"/>
        <v>0</v>
      </c>
      <c r="J17" s="110">
        <f t="shared" si="2"/>
        <v>75</v>
      </c>
      <c r="K17" s="4">
        <v>0.3</v>
      </c>
      <c r="L17" s="5" t="s">
        <v>1</v>
      </c>
      <c r="M17" s="80">
        <f t="shared" si="3"/>
        <v>0.3</v>
      </c>
      <c r="N17" s="78">
        <f t="shared" si="4"/>
        <v>22.5</v>
      </c>
      <c r="O17" s="78">
        <f t="shared" si="5"/>
        <v>22.5</v>
      </c>
    </row>
    <row r="18" spans="1:15" x14ac:dyDescent="0.25">
      <c r="A18" s="31">
        <v>11</v>
      </c>
      <c r="B18" s="4" t="s">
        <v>1464</v>
      </c>
      <c r="C18" s="5">
        <v>1</v>
      </c>
      <c r="D18" s="7">
        <v>0</v>
      </c>
      <c r="E18" s="3">
        <f t="shared" si="0"/>
        <v>1</v>
      </c>
      <c r="F18" s="3" t="s">
        <v>867</v>
      </c>
      <c r="G18" s="77"/>
      <c r="H18" s="5" t="s">
        <v>1</v>
      </c>
      <c r="I18" s="78">
        <f t="shared" si="1"/>
        <v>0</v>
      </c>
      <c r="J18" s="110">
        <f t="shared" si="2"/>
        <v>75</v>
      </c>
      <c r="K18" s="4">
        <v>0.4</v>
      </c>
      <c r="L18" s="5" t="s">
        <v>1</v>
      </c>
      <c r="M18" s="80">
        <f t="shared" si="3"/>
        <v>0.4</v>
      </c>
      <c r="N18" s="78">
        <f t="shared" si="4"/>
        <v>30</v>
      </c>
      <c r="O18" s="78">
        <f t="shared" si="5"/>
        <v>30</v>
      </c>
    </row>
    <row r="19" spans="1:15" x14ac:dyDescent="0.25">
      <c r="A19" s="31">
        <v>12</v>
      </c>
      <c r="B19" s="4" t="s">
        <v>1463</v>
      </c>
      <c r="C19" s="5">
        <v>1</v>
      </c>
      <c r="D19" s="7">
        <v>0</v>
      </c>
      <c r="E19" s="3">
        <f t="shared" si="0"/>
        <v>1</v>
      </c>
      <c r="F19" s="3" t="s">
        <v>867</v>
      </c>
      <c r="G19" s="77"/>
      <c r="H19" s="5" t="s">
        <v>1</v>
      </c>
      <c r="I19" s="78">
        <f t="shared" si="1"/>
        <v>0</v>
      </c>
      <c r="J19" s="110">
        <f t="shared" si="2"/>
        <v>75</v>
      </c>
      <c r="K19" s="4">
        <v>0.3</v>
      </c>
      <c r="L19" s="5" t="s">
        <v>1</v>
      </c>
      <c r="M19" s="80">
        <f t="shared" si="3"/>
        <v>0.3</v>
      </c>
      <c r="N19" s="78">
        <f t="shared" si="4"/>
        <v>22.5</v>
      </c>
      <c r="O19" s="78">
        <f t="shared" si="5"/>
        <v>22.5</v>
      </c>
    </row>
    <row r="20" spans="1:15" x14ac:dyDescent="0.25">
      <c r="A20" s="31">
        <v>13</v>
      </c>
      <c r="B20" s="4" t="s">
        <v>1462</v>
      </c>
      <c r="C20" s="5">
        <v>1</v>
      </c>
      <c r="D20" s="7">
        <v>0</v>
      </c>
      <c r="E20" s="3">
        <f t="shared" si="0"/>
        <v>1</v>
      </c>
      <c r="F20" s="3" t="s">
        <v>867</v>
      </c>
      <c r="G20" s="77"/>
      <c r="H20" s="5" t="s">
        <v>1</v>
      </c>
      <c r="I20" s="78">
        <f t="shared" si="1"/>
        <v>0</v>
      </c>
      <c r="J20" s="110">
        <f t="shared" si="2"/>
        <v>75</v>
      </c>
      <c r="K20" s="4">
        <v>0.3</v>
      </c>
      <c r="L20" s="5" t="s">
        <v>1</v>
      </c>
      <c r="M20" s="80">
        <f t="shared" si="3"/>
        <v>0.3</v>
      </c>
      <c r="N20" s="78">
        <f t="shared" si="4"/>
        <v>22.5</v>
      </c>
      <c r="O20" s="78">
        <f t="shared" si="5"/>
        <v>22.5</v>
      </c>
    </row>
    <row r="21" spans="1:15" x14ac:dyDescent="0.25">
      <c r="A21" s="31">
        <v>14</v>
      </c>
      <c r="B21" s="8" t="s">
        <v>1461</v>
      </c>
      <c r="C21" s="5">
        <v>1</v>
      </c>
      <c r="D21" s="7">
        <v>0</v>
      </c>
      <c r="E21" s="3">
        <f t="shared" si="0"/>
        <v>1</v>
      </c>
      <c r="F21" s="3" t="s">
        <v>867</v>
      </c>
      <c r="G21" s="77"/>
      <c r="H21" s="5" t="s">
        <v>1</v>
      </c>
      <c r="I21" s="78">
        <f t="shared" si="1"/>
        <v>0</v>
      </c>
      <c r="J21" s="110">
        <f t="shared" si="2"/>
        <v>75</v>
      </c>
      <c r="K21" s="4">
        <v>0.3</v>
      </c>
      <c r="L21" s="5" t="s">
        <v>1</v>
      </c>
      <c r="M21" s="80">
        <f t="shared" si="3"/>
        <v>0.3</v>
      </c>
      <c r="N21" s="78">
        <f t="shared" si="4"/>
        <v>22.5</v>
      </c>
      <c r="O21" s="78">
        <f t="shared" si="5"/>
        <v>22.5</v>
      </c>
    </row>
    <row r="22" spans="1:15" x14ac:dyDescent="0.25">
      <c r="A22" s="31">
        <v>15</v>
      </c>
      <c r="B22" s="4" t="s">
        <v>1460</v>
      </c>
      <c r="C22" s="5">
        <v>1</v>
      </c>
      <c r="D22" s="7">
        <v>0</v>
      </c>
      <c r="E22" s="3">
        <f t="shared" si="0"/>
        <v>1</v>
      </c>
      <c r="F22" s="3" t="s">
        <v>867</v>
      </c>
      <c r="G22" s="77"/>
      <c r="H22" s="5" t="s">
        <v>1</v>
      </c>
      <c r="I22" s="78">
        <f t="shared" si="1"/>
        <v>0</v>
      </c>
      <c r="J22" s="110">
        <f t="shared" si="2"/>
        <v>75</v>
      </c>
      <c r="K22" s="4">
        <v>0.3</v>
      </c>
      <c r="L22" s="5" t="s">
        <v>1</v>
      </c>
      <c r="M22" s="80">
        <f t="shared" si="3"/>
        <v>0.3</v>
      </c>
      <c r="N22" s="78">
        <f t="shared" si="4"/>
        <v>22.5</v>
      </c>
      <c r="O22" s="78">
        <f t="shared" si="5"/>
        <v>22.5</v>
      </c>
    </row>
    <row r="23" spans="1:15" x14ac:dyDescent="0.25">
      <c r="A23" s="31">
        <v>16</v>
      </c>
      <c r="B23" s="4" t="s">
        <v>1459</v>
      </c>
      <c r="C23" s="5">
        <v>1</v>
      </c>
      <c r="D23" s="7">
        <v>0</v>
      </c>
      <c r="E23" s="3">
        <f t="shared" si="0"/>
        <v>1</v>
      </c>
      <c r="F23" s="3" t="s">
        <v>867</v>
      </c>
      <c r="G23" s="77"/>
      <c r="H23" s="5" t="s">
        <v>1</v>
      </c>
      <c r="I23" s="78">
        <f t="shared" si="1"/>
        <v>0</v>
      </c>
      <c r="J23" s="110">
        <f t="shared" si="2"/>
        <v>75</v>
      </c>
      <c r="K23" s="4">
        <v>0.3</v>
      </c>
      <c r="L23" s="5" t="s">
        <v>1</v>
      </c>
      <c r="M23" s="80">
        <f t="shared" si="3"/>
        <v>0.3</v>
      </c>
      <c r="N23" s="78">
        <f t="shared" si="4"/>
        <v>22.5</v>
      </c>
      <c r="O23" s="78">
        <f t="shared" si="5"/>
        <v>22.5</v>
      </c>
    </row>
    <row r="24" spans="1:15" x14ac:dyDescent="0.25">
      <c r="A24" s="31">
        <v>17</v>
      </c>
      <c r="B24" s="4" t="s">
        <v>1458</v>
      </c>
      <c r="C24" s="5">
        <v>1</v>
      </c>
      <c r="D24" s="7">
        <v>0</v>
      </c>
      <c r="E24" s="3">
        <f t="shared" si="0"/>
        <v>1</v>
      </c>
      <c r="F24" s="3" t="s">
        <v>867</v>
      </c>
      <c r="G24" s="77"/>
      <c r="H24" s="5" t="s">
        <v>1</v>
      </c>
      <c r="I24" s="78">
        <f t="shared" si="1"/>
        <v>0</v>
      </c>
      <c r="J24" s="110">
        <f t="shared" si="2"/>
        <v>75</v>
      </c>
      <c r="K24" s="4">
        <v>0.3</v>
      </c>
      <c r="L24" s="5" t="s">
        <v>1</v>
      </c>
      <c r="M24" s="80">
        <f t="shared" si="3"/>
        <v>0.3</v>
      </c>
      <c r="N24" s="78">
        <f t="shared" si="4"/>
        <v>22.5</v>
      </c>
      <c r="O24" s="78">
        <f t="shared" si="5"/>
        <v>22.5</v>
      </c>
    </row>
    <row r="25" spans="1:15" x14ac:dyDescent="0.25">
      <c r="A25" s="31">
        <v>18</v>
      </c>
      <c r="B25" s="4" t="s">
        <v>1457</v>
      </c>
      <c r="C25" s="5">
        <v>1</v>
      </c>
      <c r="D25" s="7">
        <v>0</v>
      </c>
      <c r="E25" s="3">
        <f t="shared" si="0"/>
        <v>1</v>
      </c>
      <c r="F25" s="3" t="s">
        <v>867</v>
      </c>
      <c r="G25" s="77"/>
      <c r="H25" s="5" t="s">
        <v>1</v>
      </c>
      <c r="I25" s="78">
        <f t="shared" si="1"/>
        <v>0</v>
      </c>
      <c r="J25" s="110">
        <f t="shared" si="2"/>
        <v>75</v>
      </c>
      <c r="K25" s="4">
        <v>0.3</v>
      </c>
      <c r="L25" s="5" t="s">
        <v>1</v>
      </c>
      <c r="M25" s="80">
        <f t="shared" si="3"/>
        <v>0.3</v>
      </c>
      <c r="N25" s="78">
        <f t="shared" si="4"/>
        <v>22.5</v>
      </c>
      <c r="O25" s="78">
        <f t="shared" si="5"/>
        <v>22.5</v>
      </c>
    </row>
    <row r="26" spans="1:15" x14ac:dyDescent="0.25">
      <c r="A26" s="31">
        <v>19</v>
      </c>
      <c r="B26" s="4" t="s">
        <v>1456</v>
      </c>
      <c r="C26" s="5">
        <v>1</v>
      </c>
      <c r="D26" s="7">
        <v>0</v>
      </c>
      <c r="E26" s="3">
        <f t="shared" si="0"/>
        <v>1</v>
      </c>
      <c r="F26" s="3" t="s">
        <v>867</v>
      </c>
      <c r="G26" s="77"/>
      <c r="H26" s="5" t="s">
        <v>1</v>
      </c>
      <c r="I26" s="78">
        <f t="shared" si="1"/>
        <v>0</v>
      </c>
      <c r="J26" s="110">
        <f t="shared" si="2"/>
        <v>75</v>
      </c>
      <c r="K26" s="4">
        <v>0.3</v>
      </c>
      <c r="L26" s="5" t="s">
        <v>1</v>
      </c>
      <c r="M26" s="80">
        <f t="shared" si="3"/>
        <v>0.3</v>
      </c>
      <c r="N26" s="78">
        <f t="shared" si="4"/>
        <v>22.5</v>
      </c>
      <c r="O26" s="78">
        <f t="shared" si="5"/>
        <v>22.5</v>
      </c>
    </row>
    <row r="27" spans="1:15" x14ac:dyDescent="0.25">
      <c r="A27" s="31">
        <v>20</v>
      </c>
      <c r="B27" s="4" t="s">
        <v>1455</v>
      </c>
      <c r="C27" s="5">
        <v>1</v>
      </c>
      <c r="D27" s="7">
        <v>0</v>
      </c>
      <c r="E27" s="3">
        <f t="shared" si="0"/>
        <v>1</v>
      </c>
      <c r="F27" s="3" t="s">
        <v>867</v>
      </c>
      <c r="G27" s="77"/>
      <c r="H27" s="5" t="s">
        <v>1</v>
      </c>
      <c r="I27" s="78">
        <f t="shared" si="1"/>
        <v>0</v>
      </c>
      <c r="J27" s="110">
        <f t="shared" si="2"/>
        <v>75</v>
      </c>
      <c r="K27" s="4">
        <v>0.3</v>
      </c>
      <c r="L27" s="5" t="s">
        <v>1</v>
      </c>
      <c r="M27" s="80">
        <f t="shared" si="3"/>
        <v>0.3</v>
      </c>
      <c r="N27" s="78">
        <f t="shared" si="4"/>
        <v>22.5</v>
      </c>
      <c r="O27" s="78">
        <f t="shared" si="5"/>
        <v>22.5</v>
      </c>
    </row>
    <row r="28" spans="1:15" x14ac:dyDescent="0.25">
      <c r="A28" s="31">
        <v>21</v>
      </c>
      <c r="B28" s="4" t="s">
        <v>1454</v>
      </c>
      <c r="C28" s="5">
        <v>1</v>
      </c>
      <c r="D28" s="7">
        <v>0</v>
      </c>
      <c r="E28" s="3">
        <f t="shared" si="0"/>
        <v>1</v>
      </c>
      <c r="F28" s="3" t="s">
        <v>867</v>
      </c>
      <c r="G28" s="77"/>
      <c r="H28" s="5" t="s">
        <v>1</v>
      </c>
      <c r="I28" s="78">
        <f t="shared" si="1"/>
        <v>0</v>
      </c>
      <c r="J28" s="110">
        <f t="shared" si="2"/>
        <v>75</v>
      </c>
      <c r="K28" s="4">
        <v>0.3</v>
      </c>
      <c r="L28" s="5" t="s">
        <v>1</v>
      </c>
      <c r="M28" s="80">
        <f t="shared" si="3"/>
        <v>0.3</v>
      </c>
      <c r="N28" s="78">
        <f t="shared" si="4"/>
        <v>22.5</v>
      </c>
      <c r="O28" s="78">
        <f t="shared" si="5"/>
        <v>22.5</v>
      </c>
    </row>
    <row r="29" spans="1:15" x14ac:dyDescent="0.25">
      <c r="A29" s="31">
        <v>22</v>
      </c>
      <c r="B29" s="4" t="s">
        <v>1453</v>
      </c>
      <c r="C29" s="5">
        <v>1</v>
      </c>
      <c r="D29" s="7">
        <v>0</v>
      </c>
      <c r="E29" s="3">
        <f t="shared" si="0"/>
        <v>1</v>
      </c>
      <c r="F29" s="3" t="s">
        <v>867</v>
      </c>
      <c r="G29" s="77"/>
      <c r="H29" s="5" t="s">
        <v>1</v>
      </c>
      <c r="I29" s="78">
        <f t="shared" si="1"/>
        <v>0</v>
      </c>
      <c r="J29" s="110">
        <f t="shared" si="2"/>
        <v>75</v>
      </c>
      <c r="K29" s="4">
        <v>0.2</v>
      </c>
      <c r="L29" s="5" t="s">
        <v>1</v>
      </c>
      <c r="M29" s="80">
        <f t="shared" si="3"/>
        <v>0.2</v>
      </c>
      <c r="N29" s="78">
        <f t="shared" si="4"/>
        <v>15</v>
      </c>
      <c r="O29" s="78">
        <f t="shared" si="5"/>
        <v>15</v>
      </c>
    </row>
    <row r="30" spans="1:15" ht="15" customHeight="1" x14ac:dyDescent="0.25">
      <c r="A30" s="31">
        <v>23</v>
      </c>
      <c r="B30" s="8" t="s">
        <v>1452</v>
      </c>
      <c r="C30" s="5">
        <v>1</v>
      </c>
      <c r="D30" s="7">
        <v>0</v>
      </c>
      <c r="E30" s="3">
        <f t="shared" si="0"/>
        <v>1</v>
      </c>
      <c r="F30" s="3" t="s">
        <v>867</v>
      </c>
      <c r="G30" s="77"/>
      <c r="H30" s="5" t="s">
        <v>1</v>
      </c>
      <c r="I30" s="78">
        <f t="shared" si="1"/>
        <v>0</v>
      </c>
      <c r="J30" s="110">
        <f t="shared" si="2"/>
        <v>75</v>
      </c>
      <c r="K30" s="4">
        <v>0.4</v>
      </c>
      <c r="L30" s="5" t="s">
        <v>1</v>
      </c>
      <c r="M30" s="80">
        <f t="shared" si="3"/>
        <v>0.4</v>
      </c>
      <c r="N30" s="78">
        <f t="shared" si="4"/>
        <v>30</v>
      </c>
      <c r="O30" s="78">
        <f t="shared" si="5"/>
        <v>30</v>
      </c>
    </row>
    <row r="31" spans="1:15" ht="15.75" thickBot="1" x14ac:dyDescent="0.3">
      <c r="A31" s="31"/>
      <c r="B31" s="255"/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7"/>
    </row>
    <row r="32" spans="1:15" ht="15.75" thickBot="1" x14ac:dyDescent="0.3">
      <c r="A32" s="60"/>
      <c r="B32" s="120" t="s">
        <v>1451</v>
      </c>
      <c r="C32" s="5"/>
      <c r="D32" s="7"/>
      <c r="E32" s="3"/>
      <c r="F32" s="3"/>
      <c r="G32" s="9"/>
      <c r="H32" s="5"/>
      <c r="I32" s="9"/>
      <c r="J32" s="9"/>
      <c r="K32" s="15"/>
      <c r="L32" s="5"/>
      <c r="M32" s="15"/>
      <c r="N32" s="4"/>
      <c r="O32" s="4"/>
    </row>
    <row r="33" spans="1:15" x14ac:dyDescent="0.25">
      <c r="A33" s="31">
        <v>1</v>
      </c>
      <c r="B33" s="4" t="s">
        <v>1450</v>
      </c>
      <c r="C33" s="5">
        <v>1</v>
      </c>
      <c r="D33" s="7">
        <v>0</v>
      </c>
      <c r="E33" s="3">
        <f>C33+(C33*D33)</f>
        <v>1</v>
      </c>
      <c r="F33" s="3" t="s">
        <v>867</v>
      </c>
      <c r="G33" s="77"/>
      <c r="H33" s="5" t="s">
        <v>1</v>
      </c>
      <c r="I33" s="78">
        <f>IF(H33="C",(G33/100)*E33,IF(H33="M",(G33/1000)*E33,G33*E33))</f>
        <v>0</v>
      </c>
      <c r="J33" s="110">
        <f>$O$4</f>
        <v>75</v>
      </c>
      <c r="K33" s="4">
        <v>0.3</v>
      </c>
      <c r="L33" s="5" t="s">
        <v>1</v>
      </c>
      <c r="M33" s="80">
        <f>IF(L33="C",(K33/100)*E33,IF(L33="M",(K33/1000)*E33,K33*E33))</f>
        <v>0.3</v>
      </c>
      <c r="N33" s="78">
        <f>M33*J33</f>
        <v>22.5</v>
      </c>
      <c r="O33" s="78">
        <f>N33+I33</f>
        <v>22.5</v>
      </c>
    </row>
    <row r="34" spans="1:15" x14ac:dyDescent="0.25">
      <c r="A34" s="31">
        <v>2</v>
      </c>
      <c r="B34" s="4" t="s">
        <v>1449</v>
      </c>
      <c r="C34" s="5">
        <v>1</v>
      </c>
      <c r="D34" s="7">
        <v>0</v>
      </c>
      <c r="E34" s="3">
        <f>C34+(C34*D34)</f>
        <v>1</v>
      </c>
      <c r="F34" s="3" t="s">
        <v>867</v>
      </c>
      <c r="G34" s="77"/>
      <c r="H34" s="5" t="s">
        <v>1</v>
      </c>
      <c r="I34" s="78">
        <f>IF(H34="C",(G34/100)*E34,IF(H34="M",(G34/1000)*E34,G34*E34))</f>
        <v>0</v>
      </c>
      <c r="J34" s="110">
        <f>$O$4</f>
        <v>75</v>
      </c>
      <c r="K34" s="4">
        <v>0.25</v>
      </c>
      <c r="L34" s="5" t="s">
        <v>1</v>
      </c>
      <c r="M34" s="80">
        <f>IF(L34="C",(K34/100)*E34,IF(L34="M",(K34/1000)*E34,K34*E34))</f>
        <v>0.25</v>
      </c>
      <c r="N34" s="78">
        <f>M34*J34</f>
        <v>18.75</v>
      </c>
      <c r="O34" s="78">
        <f>N34+I34</f>
        <v>18.75</v>
      </c>
    </row>
    <row r="35" spans="1:15" ht="15.75" thickBot="1" x14ac:dyDescent="0.3">
      <c r="A35" s="31"/>
      <c r="B35" s="255"/>
      <c r="C35" s="256"/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</row>
    <row r="36" spans="1:15" ht="15.75" thickBot="1" x14ac:dyDescent="0.3">
      <c r="A36" s="60"/>
      <c r="B36" s="120" t="s">
        <v>1448</v>
      </c>
      <c r="C36" s="5"/>
      <c r="D36" s="7"/>
      <c r="E36" s="3"/>
      <c r="F36" s="3"/>
      <c r="G36" s="9"/>
      <c r="H36" s="5"/>
      <c r="I36" s="9"/>
      <c r="J36" s="9"/>
      <c r="K36" s="15"/>
      <c r="L36" s="5"/>
      <c r="M36" s="15"/>
      <c r="N36" s="4"/>
      <c r="O36" s="4"/>
    </row>
    <row r="37" spans="1:15" x14ac:dyDescent="0.25">
      <c r="A37" s="31">
        <v>1</v>
      </c>
      <c r="B37" s="4" t="s">
        <v>1447</v>
      </c>
      <c r="C37" s="5">
        <v>1</v>
      </c>
      <c r="D37" s="7">
        <v>0</v>
      </c>
      <c r="E37" s="3">
        <f t="shared" ref="E37:E46" si="6">C37+(C37*D37)</f>
        <v>1</v>
      </c>
      <c r="F37" s="3" t="s">
        <v>867</v>
      </c>
      <c r="G37" s="77"/>
      <c r="H37" s="5" t="s">
        <v>1</v>
      </c>
      <c r="I37" s="78">
        <f t="shared" ref="I37:I46" si="7">IF(H37="C",(G37/100)*E37,IF(H37="M",(G37/1000)*E37,G37*E37))</f>
        <v>0</v>
      </c>
      <c r="J37" s="110">
        <f t="shared" ref="J37:J46" si="8">$O$4</f>
        <v>75</v>
      </c>
      <c r="K37" s="4">
        <v>0.25</v>
      </c>
      <c r="L37" s="5" t="s">
        <v>1</v>
      </c>
      <c r="M37" s="80">
        <f t="shared" ref="M37:M46" si="9">IF(L37="C",(K37/100)*E37,IF(L37="M",(K37/1000)*E37,K37*E37))</f>
        <v>0.25</v>
      </c>
      <c r="N37" s="78">
        <f t="shared" ref="N37:N46" si="10">M37*J37</f>
        <v>18.75</v>
      </c>
      <c r="O37" s="78">
        <f t="shared" ref="O37:O46" si="11">N37+I37</f>
        <v>18.75</v>
      </c>
    </row>
    <row r="38" spans="1:15" x14ac:dyDescent="0.25">
      <c r="A38" s="31">
        <v>2</v>
      </c>
      <c r="B38" s="4" t="s">
        <v>1446</v>
      </c>
      <c r="C38" s="5">
        <v>1</v>
      </c>
      <c r="D38" s="7">
        <v>0</v>
      </c>
      <c r="E38" s="3">
        <f t="shared" si="6"/>
        <v>1</v>
      </c>
      <c r="F38" s="3" t="s">
        <v>867</v>
      </c>
      <c r="G38" s="77"/>
      <c r="H38" s="5" t="s">
        <v>1</v>
      </c>
      <c r="I38" s="78">
        <f t="shared" si="7"/>
        <v>0</v>
      </c>
      <c r="J38" s="110">
        <f t="shared" si="8"/>
        <v>75</v>
      </c>
      <c r="K38" s="4">
        <v>0.3</v>
      </c>
      <c r="L38" s="5" t="s">
        <v>1</v>
      </c>
      <c r="M38" s="80">
        <f t="shared" si="9"/>
        <v>0.3</v>
      </c>
      <c r="N38" s="78">
        <f t="shared" si="10"/>
        <v>22.5</v>
      </c>
      <c r="O38" s="78">
        <f t="shared" si="11"/>
        <v>22.5</v>
      </c>
    </row>
    <row r="39" spans="1:15" x14ac:dyDescent="0.25">
      <c r="A39" s="31">
        <v>3</v>
      </c>
      <c r="B39" s="4" t="s">
        <v>1445</v>
      </c>
      <c r="C39" s="5">
        <v>1</v>
      </c>
      <c r="D39" s="7">
        <v>0</v>
      </c>
      <c r="E39" s="3">
        <f t="shared" si="6"/>
        <v>1</v>
      </c>
      <c r="F39" s="3" t="s">
        <v>867</v>
      </c>
      <c r="G39" s="77"/>
      <c r="H39" s="5" t="s">
        <v>1</v>
      </c>
      <c r="I39" s="78">
        <f t="shared" si="7"/>
        <v>0</v>
      </c>
      <c r="J39" s="110">
        <f t="shared" si="8"/>
        <v>75</v>
      </c>
      <c r="K39" s="4">
        <v>0.3</v>
      </c>
      <c r="L39" s="5" t="s">
        <v>1</v>
      </c>
      <c r="M39" s="80">
        <f t="shared" si="9"/>
        <v>0.3</v>
      </c>
      <c r="N39" s="78">
        <f t="shared" si="10"/>
        <v>22.5</v>
      </c>
      <c r="O39" s="78">
        <f t="shared" si="11"/>
        <v>22.5</v>
      </c>
    </row>
    <row r="40" spans="1:15" x14ac:dyDescent="0.25">
      <c r="A40" s="31">
        <v>4</v>
      </c>
      <c r="B40" s="4" t="s">
        <v>1444</v>
      </c>
      <c r="C40" s="5">
        <v>1</v>
      </c>
      <c r="D40" s="7">
        <v>0</v>
      </c>
      <c r="E40" s="3">
        <f t="shared" si="6"/>
        <v>1</v>
      </c>
      <c r="F40" s="3" t="s">
        <v>867</v>
      </c>
      <c r="G40" s="77"/>
      <c r="H40" s="5" t="s">
        <v>1</v>
      </c>
      <c r="I40" s="78">
        <f t="shared" si="7"/>
        <v>0</v>
      </c>
      <c r="J40" s="110">
        <f t="shared" si="8"/>
        <v>75</v>
      </c>
      <c r="K40" s="4">
        <v>0.25</v>
      </c>
      <c r="L40" s="5" t="s">
        <v>1</v>
      </c>
      <c r="M40" s="80">
        <f t="shared" si="9"/>
        <v>0.25</v>
      </c>
      <c r="N40" s="78">
        <f t="shared" si="10"/>
        <v>18.75</v>
      </c>
      <c r="O40" s="78">
        <f t="shared" si="11"/>
        <v>18.75</v>
      </c>
    </row>
    <row r="41" spans="1:15" x14ac:dyDescent="0.25">
      <c r="A41" s="31">
        <v>5</v>
      </c>
      <c r="B41" s="4" t="s">
        <v>1443</v>
      </c>
      <c r="C41" s="5">
        <v>1</v>
      </c>
      <c r="D41" s="7">
        <v>0</v>
      </c>
      <c r="E41" s="3">
        <f t="shared" si="6"/>
        <v>1</v>
      </c>
      <c r="F41" s="3" t="s">
        <v>867</v>
      </c>
      <c r="G41" s="77"/>
      <c r="H41" s="5" t="s">
        <v>1</v>
      </c>
      <c r="I41" s="78">
        <f t="shared" si="7"/>
        <v>0</v>
      </c>
      <c r="J41" s="110">
        <f t="shared" si="8"/>
        <v>75</v>
      </c>
      <c r="K41" s="4">
        <v>0.25</v>
      </c>
      <c r="L41" s="5" t="s">
        <v>1</v>
      </c>
      <c r="M41" s="80">
        <f t="shared" si="9"/>
        <v>0.25</v>
      </c>
      <c r="N41" s="78">
        <f t="shared" si="10"/>
        <v>18.75</v>
      </c>
      <c r="O41" s="78">
        <f t="shared" si="11"/>
        <v>18.75</v>
      </c>
    </row>
    <row r="42" spans="1:15" x14ac:dyDescent="0.25">
      <c r="A42" s="31">
        <v>6</v>
      </c>
      <c r="B42" s="4" t="s">
        <v>1442</v>
      </c>
      <c r="C42" s="5">
        <v>1</v>
      </c>
      <c r="D42" s="7">
        <v>0</v>
      </c>
      <c r="E42" s="3">
        <f t="shared" si="6"/>
        <v>1</v>
      </c>
      <c r="F42" s="3" t="s">
        <v>867</v>
      </c>
      <c r="G42" s="77"/>
      <c r="H42" s="5" t="s">
        <v>1</v>
      </c>
      <c r="I42" s="78">
        <f t="shared" si="7"/>
        <v>0</v>
      </c>
      <c r="J42" s="110">
        <f t="shared" si="8"/>
        <v>75</v>
      </c>
      <c r="K42" s="4">
        <v>0.5</v>
      </c>
      <c r="L42" s="5" t="s">
        <v>1</v>
      </c>
      <c r="M42" s="80">
        <f t="shared" si="9"/>
        <v>0.5</v>
      </c>
      <c r="N42" s="78">
        <f t="shared" si="10"/>
        <v>37.5</v>
      </c>
      <c r="O42" s="78">
        <f t="shared" si="11"/>
        <v>37.5</v>
      </c>
    </row>
    <row r="43" spans="1:15" x14ac:dyDescent="0.25">
      <c r="A43" s="31">
        <v>7</v>
      </c>
      <c r="B43" s="4" t="s">
        <v>1441</v>
      </c>
      <c r="C43" s="5">
        <v>1</v>
      </c>
      <c r="D43" s="7">
        <v>0</v>
      </c>
      <c r="E43" s="3">
        <f t="shared" si="6"/>
        <v>1</v>
      </c>
      <c r="F43" s="3" t="s">
        <v>867</v>
      </c>
      <c r="G43" s="77"/>
      <c r="H43" s="5" t="s">
        <v>1</v>
      </c>
      <c r="I43" s="78">
        <f t="shared" si="7"/>
        <v>0</v>
      </c>
      <c r="J43" s="110">
        <f t="shared" si="8"/>
        <v>75</v>
      </c>
      <c r="K43" s="4">
        <v>0.3</v>
      </c>
      <c r="L43" s="5" t="s">
        <v>1</v>
      </c>
      <c r="M43" s="80">
        <f t="shared" si="9"/>
        <v>0.3</v>
      </c>
      <c r="N43" s="78">
        <f t="shared" si="10"/>
        <v>22.5</v>
      </c>
      <c r="O43" s="78">
        <f t="shared" si="11"/>
        <v>22.5</v>
      </c>
    </row>
    <row r="44" spans="1:15" x14ac:dyDescent="0.25">
      <c r="A44" s="31">
        <v>8</v>
      </c>
      <c r="B44" s="4" t="s">
        <v>1440</v>
      </c>
      <c r="C44" s="5">
        <v>1</v>
      </c>
      <c r="D44" s="7">
        <v>0</v>
      </c>
      <c r="E44" s="3">
        <f t="shared" si="6"/>
        <v>1</v>
      </c>
      <c r="F44" s="3" t="s">
        <v>867</v>
      </c>
      <c r="G44" s="77"/>
      <c r="H44" s="5" t="s">
        <v>1</v>
      </c>
      <c r="I44" s="78">
        <f t="shared" si="7"/>
        <v>0</v>
      </c>
      <c r="J44" s="110">
        <f t="shared" si="8"/>
        <v>75</v>
      </c>
      <c r="K44" s="4">
        <v>0.15</v>
      </c>
      <c r="L44" s="5" t="s">
        <v>1</v>
      </c>
      <c r="M44" s="80">
        <f t="shared" si="9"/>
        <v>0.15</v>
      </c>
      <c r="N44" s="78">
        <f t="shared" si="10"/>
        <v>11.25</v>
      </c>
      <c r="O44" s="78">
        <f t="shared" si="11"/>
        <v>11.25</v>
      </c>
    </row>
    <row r="45" spans="1:15" x14ac:dyDescent="0.25">
      <c r="A45" s="31">
        <v>9</v>
      </c>
      <c r="B45" s="4" t="s">
        <v>1439</v>
      </c>
      <c r="C45" s="5">
        <v>1</v>
      </c>
      <c r="D45" s="7">
        <v>0</v>
      </c>
      <c r="E45" s="3">
        <f t="shared" si="6"/>
        <v>1</v>
      </c>
      <c r="F45" s="3" t="s">
        <v>867</v>
      </c>
      <c r="G45" s="77"/>
      <c r="H45" s="5" t="s">
        <v>1</v>
      </c>
      <c r="I45" s="78">
        <f t="shared" si="7"/>
        <v>0</v>
      </c>
      <c r="J45" s="110">
        <f t="shared" si="8"/>
        <v>75</v>
      </c>
      <c r="K45" s="4">
        <v>0.1</v>
      </c>
      <c r="L45" s="5" t="s">
        <v>1</v>
      </c>
      <c r="M45" s="80">
        <f t="shared" si="9"/>
        <v>0.1</v>
      </c>
      <c r="N45" s="78">
        <f t="shared" si="10"/>
        <v>7.5</v>
      </c>
      <c r="O45" s="78">
        <f t="shared" si="11"/>
        <v>7.5</v>
      </c>
    </row>
    <row r="46" spans="1:15" x14ac:dyDescent="0.25">
      <c r="A46" s="31">
        <v>10</v>
      </c>
      <c r="B46" s="4" t="s">
        <v>1438</v>
      </c>
      <c r="C46" s="5">
        <v>1</v>
      </c>
      <c r="D46" s="7">
        <v>0</v>
      </c>
      <c r="E46" s="3">
        <f t="shared" si="6"/>
        <v>1</v>
      </c>
      <c r="F46" s="3" t="s">
        <v>867</v>
      </c>
      <c r="G46" s="77"/>
      <c r="H46" s="5" t="s">
        <v>1</v>
      </c>
      <c r="I46" s="78">
        <f t="shared" si="7"/>
        <v>0</v>
      </c>
      <c r="J46" s="110">
        <f t="shared" si="8"/>
        <v>75</v>
      </c>
      <c r="K46" s="4">
        <v>0.5</v>
      </c>
      <c r="L46" s="5" t="s">
        <v>1</v>
      </c>
      <c r="M46" s="80">
        <f t="shared" si="9"/>
        <v>0.5</v>
      </c>
      <c r="N46" s="78">
        <f t="shared" si="10"/>
        <v>37.5</v>
      </c>
      <c r="O46" s="78">
        <f t="shared" si="11"/>
        <v>37.5</v>
      </c>
    </row>
    <row r="47" spans="1:15" ht="15.75" thickBot="1" x14ac:dyDescent="0.3">
      <c r="A47" s="31"/>
      <c r="B47" s="255"/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7"/>
    </row>
    <row r="48" spans="1:15" ht="15.75" thickBot="1" x14ac:dyDescent="0.3">
      <c r="A48" s="60"/>
      <c r="B48" s="120" t="s">
        <v>1437</v>
      </c>
      <c r="C48" s="5"/>
      <c r="D48" s="7"/>
      <c r="E48" s="3"/>
      <c r="F48" s="3"/>
      <c r="G48" s="9"/>
      <c r="H48" s="5"/>
      <c r="I48" s="9"/>
      <c r="J48" s="9"/>
      <c r="K48" s="15"/>
      <c r="L48" s="5"/>
      <c r="M48" s="15"/>
      <c r="N48" s="4"/>
      <c r="O48" s="4"/>
    </row>
    <row r="49" spans="1:15" x14ac:dyDescent="0.25">
      <c r="A49" s="31">
        <v>1</v>
      </c>
      <c r="B49" s="4" t="s">
        <v>1436</v>
      </c>
      <c r="C49" s="5">
        <v>1</v>
      </c>
      <c r="D49" s="7">
        <v>0</v>
      </c>
      <c r="E49" s="3">
        <f t="shared" ref="E49:E54" si="12">C49+(C49*D49)</f>
        <v>1</v>
      </c>
      <c r="F49" s="3" t="s">
        <v>867</v>
      </c>
      <c r="G49" s="77"/>
      <c r="H49" s="5" t="s">
        <v>1</v>
      </c>
      <c r="I49" s="78">
        <f t="shared" ref="I49:I54" si="13">IF(H49="C",(G49/100)*E49,IF(H49="M",(G49/1000)*E49,G49*E49))</f>
        <v>0</v>
      </c>
      <c r="J49" s="110">
        <f t="shared" ref="J49:J54" si="14">$O$4</f>
        <v>75</v>
      </c>
      <c r="K49" s="4">
        <v>0.25</v>
      </c>
      <c r="L49" s="5" t="s">
        <v>1</v>
      </c>
      <c r="M49" s="80">
        <f t="shared" ref="M49:M54" si="15">IF(L49="C",(K49/100)*E49,IF(L49="M",(K49/1000)*E49,K49*E49))</f>
        <v>0.25</v>
      </c>
      <c r="N49" s="78">
        <f t="shared" ref="N49:N54" si="16">M49*J49</f>
        <v>18.75</v>
      </c>
      <c r="O49" s="78">
        <f t="shared" ref="O49:O54" si="17">N49+I49</f>
        <v>18.75</v>
      </c>
    </row>
    <row r="50" spans="1:15" x14ac:dyDescent="0.25">
      <c r="A50" s="31">
        <v>2</v>
      </c>
      <c r="B50" s="4" t="s">
        <v>1435</v>
      </c>
      <c r="C50" s="5">
        <v>1</v>
      </c>
      <c r="D50" s="7">
        <v>0</v>
      </c>
      <c r="E50" s="3">
        <f t="shared" si="12"/>
        <v>1</v>
      </c>
      <c r="F50" s="3" t="s">
        <v>867</v>
      </c>
      <c r="G50" s="77"/>
      <c r="H50" s="5" t="s">
        <v>1</v>
      </c>
      <c r="I50" s="78">
        <f t="shared" si="13"/>
        <v>0</v>
      </c>
      <c r="J50" s="110">
        <f t="shared" si="14"/>
        <v>75</v>
      </c>
      <c r="K50" s="4">
        <v>0.25</v>
      </c>
      <c r="L50" s="5" t="s">
        <v>1</v>
      </c>
      <c r="M50" s="80">
        <f t="shared" si="15"/>
        <v>0.25</v>
      </c>
      <c r="N50" s="78">
        <f t="shared" si="16"/>
        <v>18.75</v>
      </c>
      <c r="O50" s="78">
        <f t="shared" si="17"/>
        <v>18.75</v>
      </c>
    </row>
    <row r="51" spans="1:15" x14ac:dyDescent="0.25">
      <c r="A51" s="31">
        <v>3</v>
      </c>
      <c r="B51" s="4" t="s">
        <v>1434</v>
      </c>
      <c r="C51" s="5">
        <v>1</v>
      </c>
      <c r="D51" s="7">
        <v>0</v>
      </c>
      <c r="E51" s="3">
        <f t="shared" si="12"/>
        <v>1</v>
      </c>
      <c r="F51" s="3" t="s">
        <v>867</v>
      </c>
      <c r="G51" s="77"/>
      <c r="H51" s="5" t="s">
        <v>1</v>
      </c>
      <c r="I51" s="78">
        <f t="shared" si="13"/>
        <v>0</v>
      </c>
      <c r="J51" s="110">
        <f t="shared" si="14"/>
        <v>75</v>
      </c>
      <c r="K51" s="4">
        <v>1</v>
      </c>
      <c r="L51" s="5" t="s">
        <v>1</v>
      </c>
      <c r="M51" s="80">
        <f t="shared" si="15"/>
        <v>1</v>
      </c>
      <c r="N51" s="78">
        <f t="shared" si="16"/>
        <v>75</v>
      </c>
      <c r="O51" s="78">
        <f t="shared" si="17"/>
        <v>75</v>
      </c>
    </row>
    <row r="52" spans="1:15" x14ac:dyDescent="0.25">
      <c r="A52" s="31">
        <v>4</v>
      </c>
      <c r="B52" s="4" t="s">
        <v>1433</v>
      </c>
      <c r="C52" s="5">
        <v>1</v>
      </c>
      <c r="D52" s="7">
        <v>0</v>
      </c>
      <c r="E52" s="3">
        <f t="shared" si="12"/>
        <v>1</v>
      </c>
      <c r="F52" s="3" t="s">
        <v>867</v>
      </c>
      <c r="G52" s="77"/>
      <c r="H52" s="5" t="s">
        <v>1</v>
      </c>
      <c r="I52" s="78">
        <f t="shared" si="13"/>
        <v>0</v>
      </c>
      <c r="J52" s="110">
        <f t="shared" si="14"/>
        <v>75</v>
      </c>
      <c r="K52" s="4">
        <v>0.25</v>
      </c>
      <c r="L52" s="5" t="s">
        <v>1</v>
      </c>
      <c r="M52" s="80">
        <f t="shared" si="15"/>
        <v>0.25</v>
      </c>
      <c r="N52" s="78">
        <f t="shared" si="16"/>
        <v>18.75</v>
      </c>
      <c r="O52" s="78">
        <f t="shared" si="17"/>
        <v>18.75</v>
      </c>
    </row>
    <row r="53" spans="1:15" x14ac:dyDescent="0.25">
      <c r="A53" s="31">
        <v>5</v>
      </c>
      <c r="B53" s="4" t="s">
        <v>1432</v>
      </c>
      <c r="C53" s="5">
        <v>1</v>
      </c>
      <c r="D53" s="7">
        <v>0</v>
      </c>
      <c r="E53" s="3">
        <f t="shared" si="12"/>
        <v>1</v>
      </c>
      <c r="F53" s="3" t="s">
        <v>867</v>
      </c>
      <c r="G53" s="77"/>
      <c r="H53" s="5" t="s">
        <v>1</v>
      </c>
      <c r="I53" s="78">
        <f t="shared" si="13"/>
        <v>0</v>
      </c>
      <c r="J53" s="110">
        <f t="shared" si="14"/>
        <v>75</v>
      </c>
      <c r="K53" s="4">
        <v>0.25</v>
      </c>
      <c r="L53" s="5" t="s">
        <v>1</v>
      </c>
      <c r="M53" s="80">
        <f t="shared" si="15"/>
        <v>0.25</v>
      </c>
      <c r="N53" s="78">
        <f t="shared" si="16"/>
        <v>18.75</v>
      </c>
      <c r="O53" s="78">
        <f t="shared" si="17"/>
        <v>18.75</v>
      </c>
    </row>
    <row r="54" spans="1:15" x14ac:dyDescent="0.25">
      <c r="A54" s="31">
        <v>6</v>
      </c>
      <c r="B54" s="4" t="s">
        <v>1431</v>
      </c>
      <c r="C54" s="5">
        <v>1</v>
      </c>
      <c r="D54" s="7">
        <v>0</v>
      </c>
      <c r="E54" s="3">
        <f t="shared" si="12"/>
        <v>1</v>
      </c>
      <c r="F54" s="3" t="s">
        <v>867</v>
      </c>
      <c r="G54" s="77"/>
      <c r="H54" s="5" t="s">
        <v>1</v>
      </c>
      <c r="I54" s="78">
        <f t="shared" si="13"/>
        <v>0</v>
      </c>
      <c r="J54" s="110">
        <f t="shared" si="14"/>
        <v>75</v>
      </c>
      <c r="K54" s="4">
        <v>1.5</v>
      </c>
      <c r="L54" s="5" t="s">
        <v>1</v>
      </c>
      <c r="M54" s="80">
        <f t="shared" si="15"/>
        <v>1.5</v>
      </c>
      <c r="N54" s="78">
        <f t="shared" si="16"/>
        <v>112.5</v>
      </c>
      <c r="O54" s="78">
        <f t="shared" si="17"/>
        <v>112.5</v>
      </c>
    </row>
    <row r="55" spans="1:15" ht="15.75" thickBot="1" x14ac:dyDescent="0.3">
      <c r="A55" s="31"/>
      <c r="B55" s="255"/>
      <c r="C55" s="256"/>
      <c r="D55" s="256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7"/>
    </row>
    <row r="56" spans="1:15" ht="15.75" thickBot="1" x14ac:dyDescent="0.3">
      <c r="A56" s="60"/>
      <c r="B56" s="120" t="s">
        <v>1430</v>
      </c>
      <c r="C56" s="5"/>
      <c r="D56" s="7"/>
      <c r="E56" s="3"/>
      <c r="F56" s="3"/>
      <c r="G56" s="9"/>
      <c r="H56" s="5"/>
      <c r="I56" s="9"/>
      <c r="J56" s="9"/>
      <c r="K56" s="15"/>
      <c r="L56" s="5"/>
      <c r="M56" s="15"/>
      <c r="N56" s="4"/>
      <c r="O56" s="4"/>
    </row>
    <row r="57" spans="1:15" x14ac:dyDescent="0.25">
      <c r="A57" s="31">
        <v>1</v>
      </c>
      <c r="B57" s="4" t="s">
        <v>1429</v>
      </c>
      <c r="C57" s="5">
        <v>1</v>
      </c>
      <c r="D57" s="7">
        <v>0</v>
      </c>
      <c r="E57" s="3">
        <f t="shared" ref="E57:E65" si="18">C57+(C57*D57)</f>
        <v>1</v>
      </c>
      <c r="F57" s="3" t="s">
        <v>867</v>
      </c>
      <c r="G57" s="77"/>
      <c r="H57" s="5" t="s">
        <v>1</v>
      </c>
      <c r="I57" s="78">
        <f t="shared" ref="I57:I65" si="19">IF(H57="C",(G57/100)*E57,IF(H57="M",(G57/1000)*E57,G57*E57))</f>
        <v>0</v>
      </c>
      <c r="J57" s="110">
        <f t="shared" ref="J57:J65" si="20">$O$4</f>
        <v>75</v>
      </c>
      <c r="K57" s="4">
        <v>0.2</v>
      </c>
      <c r="L57" s="5" t="s">
        <v>1</v>
      </c>
      <c r="M57" s="80">
        <f t="shared" ref="M57:M65" si="21">IF(L57="C",(K57/100)*E57,IF(L57="M",(K57/1000)*E57,K57*E57))</f>
        <v>0.2</v>
      </c>
      <c r="N57" s="78">
        <f t="shared" ref="N57:N65" si="22">M57*J57</f>
        <v>15</v>
      </c>
      <c r="O57" s="78">
        <f t="shared" ref="O57:O65" si="23">N57+I57</f>
        <v>15</v>
      </c>
    </row>
    <row r="58" spans="1:15" x14ac:dyDescent="0.25">
      <c r="A58" s="31">
        <v>2</v>
      </c>
      <c r="B58" s="4" t="s">
        <v>1428</v>
      </c>
      <c r="C58" s="5">
        <v>1</v>
      </c>
      <c r="D58" s="7">
        <v>0</v>
      </c>
      <c r="E58" s="3">
        <f t="shared" si="18"/>
        <v>1</v>
      </c>
      <c r="F58" s="3" t="s">
        <v>867</v>
      </c>
      <c r="G58" s="77"/>
      <c r="H58" s="5" t="s">
        <v>1</v>
      </c>
      <c r="I58" s="78">
        <f t="shared" si="19"/>
        <v>0</v>
      </c>
      <c r="J58" s="110">
        <f t="shared" si="20"/>
        <v>75</v>
      </c>
      <c r="K58" s="4">
        <v>0.23</v>
      </c>
      <c r="L58" s="5" t="s">
        <v>1</v>
      </c>
      <c r="M58" s="80">
        <f t="shared" si="21"/>
        <v>0.23</v>
      </c>
      <c r="N58" s="78">
        <f t="shared" si="22"/>
        <v>17.25</v>
      </c>
      <c r="O58" s="78">
        <f t="shared" si="23"/>
        <v>17.25</v>
      </c>
    </row>
    <row r="59" spans="1:15" x14ac:dyDescent="0.25">
      <c r="A59" s="31">
        <v>3</v>
      </c>
      <c r="B59" s="4" t="s">
        <v>1427</v>
      </c>
      <c r="C59" s="5">
        <v>1</v>
      </c>
      <c r="D59" s="7">
        <v>0</v>
      </c>
      <c r="E59" s="3">
        <f t="shared" si="18"/>
        <v>1</v>
      </c>
      <c r="F59" s="3" t="s">
        <v>867</v>
      </c>
      <c r="G59" s="77"/>
      <c r="H59" s="5" t="s">
        <v>1</v>
      </c>
      <c r="I59" s="78">
        <f t="shared" si="19"/>
        <v>0</v>
      </c>
      <c r="J59" s="110">
        <f t="shared" si="20"/>
        <v>75</v>
      </c>
      <c r="K59" s="4">
        <v>0.25</v>
      </c>
      <c r="L59" s="5" t="s">
        <v>1</v>
      </c>
      <c r="M59" s="80">
        <f t="shared" si="21"/>
        <v>0.25</v>
      </c>
      <c r="N59" s="78">
        <f t="shared" si="22"/>
        <v>18.75</v>
      </c>
      <c r="O59" s="78">
        <f t="shared" si="23"/>
        <v>18.75</v>
      </c>
    </row>
    <row r="60" spans="1:15" x14ac:dyDescent="0.25">
      <c r="A60" s="31">
        <v>4</v>
      </c>
      <c r="B60" s="4" t="s">
        <v>1426</v>
      </c>
      <c r="C60" s="5">
        <v>1</v>
      </c>
      <c r="D60" s="7">
        <v>0</v>
      </c>
      <c r="E60" s="3">
        <f t="shared" si="18"/>
        <v>1</v>
      </c>
      <c r="F60" s="3" t="s">
        <v>867</v>
      </c>
      <c r="G60" s="77"/>
      <c r="H60" s="5" t="s">
        <v>1</v>
      </c>
      <c r="I60" s="78">
        <f t="shared" si="19"/>
        <v>0</v>
      </c>
      <c r="J60" s="110">
        <f t="shared" si="20"/>
        <v>75</v>
      </c>
      <c r="K60" s="4">
        <v>0.28000000000000003</v>
      </c>
      <c r="L60" s="5" t="s">
        <v>1</v>
      </c>
      <c r="M60" s="80">
        <f t="shared" si="21"/>
        <v>0.28000000000000003</v>
      </c>
      <c r="N60" s="78">
        <f t="shared" si="22"/>
        <v>21.000000000000004</v>
      </c>
      <c r="O60" s="78">
        <f t="shared" si="23"/>
        <v>21.000000000000004</v>
      </c>
    </row>
    <row r="61" spans="1:15" x14ac:dyDescent="0.25">
      <c r="A61" s="31">
        <v>5</v>
      </c>
      <c r="B61" s="4" t="s">
        <v>1425</v>
      </c>
      <c r="C61" s="5">
        <v>1</v>
      </c>
      <c r="D61" s="7">
        <v>0</v>
      </c>
      <c r="E61" s="3">
        <f t="shared" si="18"/>
        <v>1</v>
      </c>
      <c r="F61" s="3" t="s">
        <v>867</v>
      </c>
      <c r="G61" s="77"/>
      <c r="H61" s="5" t="s">
        <v>1</v>
      </c>
      <c r="I61" s="78">
        <f t="shared" si="19"/>
        <v>0</v>
      </c>
      <c r="J61" s="110">
        <f t="shared" si="20"/>
        <v>75</v>
      </c>
      <c r="K61" s="4">
        <v>0.4</v>
      </c>
      <c r="L61" s="5" t="s">
        <v>1</v>
      </c>
      <c r="M61" s="80">
        <f t="shared" si="21"/>
        <v>0.4</v>
      </c>
      <c r="N61" s="78">
        <f t="shared" si="22"/>
        <v>30</v>
      </c>
      <c r="O61" s="78">
        <f t="shared" si="23"/>
        <v>30</v>
      </c>
    </row>
    <row r="62" spans="1:15" x14ac:dyDescent="0.25">
      <c r="A62" s="31">
        <v>6</v>
      </c>
      <c r="B62" s="4" t="s">
        <v>1424</v>
      </c>
      <c r="C62" s="5">
        <v>1</v>
      </c>
      <c r="D62" s="7">
        <v>0</v>
      </c>
      <c r="E62" s="3">
        <f t="shared" si="18"/>
        <v>1</v>
      </c>
      <c r="F62" s="3" t="s">
        <v>867</v>
      </c>
      <c r="G62" s="77"/>
      <c r="H62" s="5" t="s">
        <v>1</v>
      </c>
      <c r="I62" s="78">
        <f t="shared" si="19"/>
        <v>0</v>
      </c>
      <c r="J62" s="110">
        <f t="shared" si="20"/>
        <v>75</v>
      </c>
      <c r="K62" s="4">
        <v>0.5</v>
      </c>
      <c r="L62" s="5" t="s">
        <v>1</v>
      </c>
      <c r="M62" s="80">
        <f t="shared" si="21"/>
        <v>0.5</v>
      </c>
      <c r="N62" s="78">
        <f t="shared" si="22"/>
        <v>37.5</v>
      </c>
      <c r="O62" s="78">
        <f t="shared" si="23"/>
        <v>37.5</v>
      </c>
    </row>
    <row r="63" spans="1:15" x14ac:dyDescent="0.25">
      <c r="A63" s="31">
        <v>7</v>
      </c>
      <c r="B63" s="4" t="s">
        <v>1423</v>
      </c>
      <c r="C63" s="5">
        <v>1</v>
      </c>
      <c r="D63" s="7">
        <v>0</v>
      </c>
      <c r="E63" s="3">
        <f t="shared" si="18"/>
        <v>1</v>
      </c>
      <c r="F63" s="3" t="s">
        <v>867</v>
      </c>
      <c r="G63" s="77"/>
      <c r="H63" s="5" t="s">
        <v>1</v>
      </c>
      <c r="I63" s="78">
        <f t="shared" si="19"/>
        <v>0</v>
      </c>
      <c r="J63" s="110">
        <f t="shared" si="20"/>
        <v>75</v>
      </c>
      <c r="K63" s="4">
        <v>0.75</v>
      </c>
      <c r="L63" s="5" t="s">
        <v>1</v>
      </c>
      <c r="M63" s="80">
        <f t="shared" si="21"/>
        <v>0.75</v>
      </c>
      <c r="N63" s="78">
        <f t="shared" si="22"/>
        <v>56.25</v>
      </c>
      <c r="O63" s="78">
        <f t="shared" si="23"/>
        <v>56.25</v>
      </c>
    </row>
    <row r="64" spans="1:15" x14ac:dyDescent="0.25">
      <c r="A64" s="31">
        <v>8</v>
      </c>
      <c r="B64" s="4" t="s">
        <v>1422</v>
      </c>
      <c r="C64" s="5">
        <v>1</v>
      </c>
      <c r="D64" s="7">
        <v>0</v>
      </c>
      <c r="E64" s="3">
        <f t="shared" si="18"/>
        <v>1</v>
      </c>
      <c r="F64" s="3" t="s">
        <v>867</v>
      </c>
      <c r="G64" s="77"/>
      <c r="H64" s="5" t="s">
        <v>1</v>
      </c>
      <c r="I64" s="78">
        <f t="shared" si="19"/>
        <v>0</v>
      </c>
      <c r="J64" s="110">
        <f t="shared" si="20"/>
        <v>75</v>
      </c>
      <c r="K64" s="4">
        <v>0.75</v>
      </c>
      <c r="L64" s="5" t="s">
        <v>1</v>
      </c>
      <c r="M64" s="80">
        <f t="shared" si="21"/>
        <v>0.75</v>
      </c>
      <c r="N64" s="78">
        <f t="shared" si="22"/>
        <v>56.25</v>
      </c>
      <c r="O64" s="78">
        <f t="shared" si="23"/>
        <v>56.25</v>
      </c>
    </row>
    <row r="65" spans="1:15" x14ac:dyDescent="0.25">
      <c r="A65" s="31">
        <v>9</v>
      </c>
      <c r="B65" s="4" t="s">
        <v>1421</v>
      </c>
      <c r="C65" s="5">
        <v>1</v>
      </c>
      <c r="D65" s="7">
        <v>0</v>
      </c>
      <c r="E65" s="3">
        <f t="shared" si="18"/>
        <v>1</v>
      </c>
      <c r="F65" s="3" t="s">
        <v>867</v>
      </c>
      <c r="G65" s="77"/>
      <c r="H65" s="5" t="s">
        <v>1</v>
      </c>
      <c r="I65" s="78">
        <f t="shared" si="19"/>
        <v>0</v>
      </c>
      <c r="J65" s="110">
        <f t="shared" si="20"/>
        <v>75</v>
      </c>
      <c r="K65" s="4">
        <v>1.5</v>
      </c>
      <c r="L65" s="5" t="s">
        <v>1</v>
      </c>
      <c r="M65" s="80">
        <f t="shared" si="21"/>
        <v>1.5</v>
      </c>
      <c r="N65" s="78">
        <f t="shared" si="22"/>
        <v>112.5</v>
      </c>
      <c r="O65" s="78">
        <f t="shared" si="23"/>
        <v>112.5</v>
      </c>
    </row>
    <row r="66" spans="1:15" ht="15.75" thickBot="1" x14ac:dyDescent="0.3">
      <c r="A66" s="31"/>
      <c r="B66" s="255"/>
      <c r="C66" s="256"/>
      <c r="D66" s="256"/>
      <c r="E66" s="256"/>
      <c r="F66" s="256"/>
      <c r="G66" s="256"/>
      <c r="H66" s="256"/>
      <c r="I66" s="256"/>
      <c r="J66" s="256"/>
      <c r="K66" s="256"/>
      <c r="L66" s="256"/>
      <c r="M66" s="256"/>
      <c r="N66" s="256"/>
      <c r="O66" s="257"/>
    </row>
    <row r="67" spans="1:15" ht="15.75" thickBot="1" x14ac:dyDescent="0.3">
      <c r="A67" s="60" t="s">
        <v>1262</v>
      </c>
      <c r="B67" s="120" t="s">
        <v>1420</v>
      </c>
      <c r="C67" s="5"/>
      <c r="D67" s="7"/>
      <c r="E67" s="3"/>
      <c r="F67" s="3"/>
      <c r="G67" s="9"/>
      <c r="H67" s="5"/>
      <c r="I67" s="9"/>
      <c r="J67" s="9"/>
      <c r="K67" s="15"/>
      <c r="L67" s="5"/>
      <c r="M67" s="15"/>
      <c r="N67" s="4"/>
      <c r="O67" s="4"/>
    </row>
    <row r="68" spans="1:15" x14ac:dyDescent="0.25">
      <c r="A68" s="60">
        <v>1</v>
      </c>
      <c r="B68" s="8" t="s">
        <v>1419</v>
      </c>
      <c r="C68" s="5">
        <v>1</v>
      </c>
      <c r="D68" s="7">
        <v>0</v>
      </c>
      <c r="E68" s="3">
        <f t="shared" ref="E68:E77" si="24">C68+(C68*D68)</f>
        <v>1</v>
      </c>
      <c r="F68" s="3" t="s">
        <v>867</v>
      </c>
      <c r="G68" s="77"/>
      <c r="H68" s="5" t="s">
        <v>1</v>
      </c>
      <c r="I68" s="78">
        <f t="shared" ref="I68:I77" si="25">IF(H68="C",(G68/100)*E68,IF(H68="M",(G68/1000)*E68,G68*E68))</f>
        <v>0</v>
      </c>
      <c r="J68" s="110">
        <f t="shared" ref="J68:J77" si="26">$O$4</f>
        <v>75</v>
      </c>
      <c r="K68" s="4">
        <v>2.5</v>
      </c>
      <c r="L68" s="5" t="s">
        <v>0</v>
      </c>
      <c r="M68" s="80">
        <f t="shared" ref="M68:M77" si="27">IF(L68="C",(K68/100)*E68,IF(L68="M",(K68/1000)*E68,K68*E68))</f>
        <v>2.5000000000000001E-2</v>
      </c>
      <c r="N68" s="78">
        <f t="shared" ref="N68:N77" si="28">M68*J68</f>
        <v>1.875</v>
      </c>
      <c r="O68" s="78">
        <f t="shared" ref="O68:O77" si="29">N68+I68</f>
        <v>1.875</v>
      </c>
    </row>
    <row r="69" spans="1:15" x14ac:dyDescent="0.25">
      <c r="A69" s="31">
        <v>2</v>
      </c>
      <c r="B69" s="4" t="s">
        <v>1418</v>
      </c>
      <c r="C69" s="5">
        <v>1</v>
      </c>
      <c r="D69" s="7">
        <v>0</v>
      </c>
      <c r="E69" s="3">
        <f t="shared" si="24"/>
        <v>1</v>
      </c>
      <c r="F69" s="3" t="s">
        <v>867</v>
      </c>
      <c r="G69" s="77"/>
      <c r="H69" s="5" t="s">
        <v>1</v>
      </c>
      <c r="I69" s="78">
        <f t="shared" si="25"/>
        <v>0</v>
      </c>
      <c r="J69" s="110">
        <f t="shared" si="26"/>
        <v>75</v>
      </c>
      <c r="K69" s="4">
        <v>3</v>
      </c>
      <c r="L69" s="5" t="s">
        <v>0</v>
      </c>
      <c r="M69" s="80">
        <f t="shared" si="27"/>
        <v>0.03</v>
      </c>
      <c r="N69" s="78">
        <f t="shared" si="28"/>
        <v>2.25</v>
      </c>
      <c r="O69" s="78">
        <f t="shared" si="29"/>
        <v>2.25</v>
      </c>
    </row>
    <row r="70" spans="1:15" x14ac:dyDescent="0.25">
      <c r="A70" s="60">
        <v>3</v>
      </c>
      <c r="B70" s="4" t="s">
        <v>1417</v>
      </c>
      <c r="C70" s="5">
        <v>1</v>
      </c>
      <c r="D70" s="7">
        <v>0</v>
      </c>
      <c r="E70" s="3">
        <f t="shared" si="24"/>
        <v>1</v>
      </c>
      <c r="F70" s="3" t="s">
        <v>867</v>
      </c>
      <c r="G70" s="77"/>
      <c r="H70" s="5" t="s">
        <v>1</v>
      </c>
      <c r="I70" s="78">
        <f t="shared" si="25"/>
        <v>0</v>
      </c>
      <c r="J70" s="110">
        <f t="shared" si="26"/>
        <v>75</v>
      </c>
      <c r="K70" s="4">
        <v>4</v>
      </c>
      <c r="L70" s="5" t="s">
        <v>0</v>
      </c>
      <c r="M70" s="80">
        <f t="shared" si="27"/>
        <v>0.04</v>
      </c>
      <c r="N70" s="78">
        <f t="shared" si="28"/>
        <v>3</v>
      </c>
      <c r="O70" s="78">
        <f t="shared" si="29"/>
        <v>3</v>
      </c>
    </row>
    <row r="71" spans="1:15" x14ac:dyDescent="0.25">
      <c r="A71" s="31">
        <v>4</v>
      </c>
      <c r="B71" s="4" t="s">
        <v>1416</v>
      </c>
      <c r="C71" s="5">
        <v>1</v>
      </c>
      <c r="D71" s="7">
        <v>0</v>
      </c>
      <c r="E71" s="3">
        <f t="shared" si="24"/>
        <v>1</v>
      </c>
      <c r="F71" s="3" t="s">
        <v>867</v>
      </c>
      <c r="G71" s="77"/>
      <c r="H71" s="5" t="s">
        <v>1</v>
      </c>
      <c r="I71" s="78">
        <f t="shared" si="25"/>
        <v>0</v>
      </c>
      <c r="J71" s="110">
        <f t="shared" si="26"/>
        <v>75</v>
      </c>
      <c r="K71" s="4">
        <v>5</v>
      </c>
      <c r="L71" s="5" t="s">
        <v>0</v>
      </c>
      <c r="M71" s="80">
        <f t="shared" si="27"/>
        <v>0.05</v>
      </c>
      <c r="N71" s="78">
        <f t="shared" si="28"/>
        <v>3.75</v>
      </c>
      <c r="O71" s="78">
        <f t="shared" si="29"/>
        <v>3.75</v>
      </c>
    </row>
    <row r="72" spans="1:15" x14ac:dyDescent="0.25">
      <c r="A72" s="60">
        <v>5</v>
      </c>
      <c r="B72" s="4" t="s">
        <v>1415</v>
      </c>
      <c r="C72" s="5">
        <v>1</v>
      </c>
      <c r="D72" s="7">
        <v>0</v>
      </c>
      <c r="E72" s="3">
        <f t="shared" si="24"/>
        <v>1</v>
      </c>
      <c r="F72" s="3" t="s">
        <v>867</v>
      </c>
      <c r="G72" s="77"/>
      <c r="H72" s="5" t="s">
        <v>1</v>
      </c>
      <c r="I72" s="78">
        <f t="shared" si="25"/>
        <v>0</v>
      </c>
      <c r="J72" s="110">
        <f t="shared" si="26"/>
        <v>75</v>
      </c>
      <c r="K72" s="4">
        <v>3.5</v>
      </c>
      <c r="L72" s="5" t="s">
        <v>0</v>
      </c>
      <c r="M72" s="80">
        <f t="shared" si="27"/>
        <v>3.5000000000000003E-2</v>
      </c>
      <c r="N72" s="78">
        <f t="shared" si="28"/>
        <v>2.6250000000000004</v>
      </c>
      <c r="O72" s="78">
        <f t="shared" si="29"/>
        <v>2.6250000000000004</v>
      </c>
    </row>
    <row r="73" spans="1:15" x14ac:dyDescent="0.25">
      <c r="A73" s="31">
        <v>6</v>
      </c>
      <c r="B73" s="4" t="s">
        <v>1414</v>
      </c>
      <c r="C73" s="5">
        <v>1</v>
      </c>
      <c r="D73" s="7">
        <v>0</v>
      </c>
      <c r="E73" s="3">
        <f t="shared" si="24"/>
        <v>1</v>
      </c>
      <c r="F73" s="3" t="s">
        <v>867</v>
      </c>
      <c r="G73" s="77"/>
      <c r="H73" s="5" t="s">
        <v>1</v>
      </c>
      <c r="I73" s="78">
        <f t="shared" si="25"/>
        <v>0</v>
      </c>
      <c r="J73" s="110">
        <f t="shared" si="26"/>
        <v>75</v>
      </c>
      <c r="K73" s="4">
        <v>4.5</v>
      </c>
      <c r="L73" s="5" t="s">
        <v>0</v>
      </c>
      <c r="M73" s="80">
        <f t="shared" si="27"/>
        <v>4.4999999999999998E-2</v>
      </c>
      <c r="N73" s="78">
        <f t="shared" si="28"/>
        <v>3.375</v>
      </c>
      <c r="O73" s="78">
        <f t="shared" si="29"/>
        <v>3.375</v>
      </c>
    </row>
    <row r="74" spans="1:15" x14ac:dyDescent="0.25">
      <c r="A74" s="60">
        <v>7</v>
      </c>
      <c r="B74" s="4" t="s">
        <v>1413</v>
      </c>
      <c r="C74" s="5">
        <v>1</v>
      </c>
      <c r="D74" s="7">
        <v>0</v>
      </c>
      <c r="E74" s="3">
        <f t="shared" si="24"/>
        <v>1</v>
      </c>
      <c r="F74" s="3" t="s">
        <v>867</v>
      </c>
      <c r="G74" s="77"/>
      <c r="H74" s="5" t="s">
        <v>1</v>
      </c>
      <c r="I74" s="78">
        <f t="shared" si="25"/>
        <v>0</v>
      </c>
      <c r="J74" s="110">
        <f t="shared" si="26"/>
        <v>75</v>
      </c>
      <c r="K74" s="4">
        <v>5.5</v>
      </c>
      <c r="L74" s="5" t="s">
        <v>0</v>
      </c>
      <c r="M74" s="80">
        <f t="shared" si="27"/>
        <v>5.5E-2</v>
      </c>
      <c r="N74" s="78">
        <f t="shared" si="28"/>
        <v>4.125</v>
      </c>
      <c r="O74" s="78">
        <f t="shared" si="29"/>
        <v>4.125</v>
      </c>
    </row>
    <row r="75" spans="1:15" x14ac:dyDescent="0.25">
      <c r="A75" s="31">
        <v>8</v>
      </c>
      <c r="B75" s="4" t="s">
        <v>1412</v>
      </c>
      <c r="C75" s="5">
        <v>1</v>
      </c>
      <c r="D75" s="7">
        <v>0</v>
      </c>
      <c r="E75" s="3">
        <f t="shared" si="24"/>
        <v>1</v>
      </c>
      <c r="F75" s="3" t="s">
        <v>867</v>
      </c>
      <c r="G75" s="77"/>
      <c r="H75" s="5" t="s">
        <v>1</v>
      </c>
      <c r="I75" s="78">
        <f t="shared" si="25"/>
        <v>0</v>
      </c>
      <c r="J75" s="110">
        <f t="shared" si="26"/>
        <v>75</v>
      </c>
      <c r="K75" s="4">
        <v>7</v>
      </c>
      <c r="L75" s="5" t="s">
        <v>0</v>
      </c>
      <c r="M75" s="80">
        <f t="shared" si="27"/>
        <v>7.0000000000000007E-2</v>
      </c>
      <c r="N75" s="78">
        <f t="shared" si="28"/>
        <v>5.2500000000000009</v>
      </c>
      <c r="O75" s="78">
        <f t="shared" si="29"/>
        <v>5.2500000000000009</v>
      </c>
    </row>
    <row r="76" spans="1:15" x14ac:dyDescent="0.25">
      <c r="A76" s="60">
        <v>9</v>
      </c>
      <c r="B76" s="4" t="s">
        <v>1411</v>
      </c>
      <c r="C76" s="5">
        <v>1</v>
      </c>
      <c r="D76" s="7">
        <v>0</v>
      </c>
      <c r="E76" s="3">
        <f t="shared" si="24"/>
        <v>1</v>
      </c>
      <c r="F76" s="3" t="s">
        <v>867</v>
      </c>
      <c r="G76" s="77"/>
      <c r="H76" s="5" t="s">
        <v>1</v>
      </c>
      <c r="I76" s="78">
        <f t="shared" si="25"/>
        <v>0</v>
      </c>
      <c r="J76" s="110">
        <f t="shared" si="26"/>
        <v>75</v>
      </c>
      <c r="K76" s="4">
        <v>10</v>
      </c>
      <c r="L76" s="5" t="s">
        <v>0</v>
      </c>
      <c r="M76" s="80">
        <f t="shared" si="27"/>
        <v>0.1</v>
      </c>
      <c r="N76" s="78">
        <f t="shared" si="28"/>
        <v>7.5</v>
      </c>
      <c r="O76" s="78">
        <f t="shared" si="29"/>
        <v>7.5</v>
      </c>
    </row>
    <row r="77" spans="1:15" x14ac:dyDescent="0.25">
      <c r="A77" s="31">
        <v>10</v>
      </c>
      <c r="B77" s="4" t="s">
        <v>1410</v>
      </c>
      <c r="C77" s="5">
        <v>1</v>
      </c>
      <c r="D77" s="7">
        <v>0</v>
      </c>
      <c r="E77" s="3">
        <f t="shared" si="24"/>
        <v>1</v>
      </c>
      <c r="F77" s="3" t="s">
        <v>867</v>
      </c>
      <c r="G77" s="77"/>
      <c r="H77" s="5" t="s">
        <v>1</v>
      </c>
      <c r="I77" s="78">
        <f t="shared" si="25"/>
        <v>0</v>
      </c>
      <c r="J77" s="110">
        <f t="shared" si="26"/>
        <v>75</v>
      </c>
      <c r="K77" s="4">
        <v>14</v>
      </c>
      <c r="L77" s="5" t="s">
        <v>0</v>
      </c>
      <c r="M77" s="80">
        <f t="shared" si="27"/>
        <v>0.14000000000000001</v>
      </c>
      <c r="N77" s="78">
        <f t="shared" si="28"/>
        <v>10.500000000000002</v>
      </c>
      <c r="O77" s="78">
        <f t="shared" si="29"/>
        <v>10.500000000000002</v>
      </c>
    </row>
    <row r="78" spans="1:15" ht="15.75" thickBot="1" x14ac:dyDescent="0.3">
      <c r="A78" s="31"/>
      <c r="B78" s="255"/>
      <c r="C78" s="256"/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7"/>
    </row>
    <row r="79" spans="1:15" ht="15.75" thickBot="1" x14ac:dyDescent="0.3">
      <c r="A79" s="60" t="s">
        <v>1262</v>
      </c>
      <c r="B79" s="120" t="s">
        <v>1409</v>
      </c>
      <c r="C79" s="5"/>
      <c r="D79" s="7"/>
      <c r="E79" s="3"/>
      <c r="F79" s="3"/>
      <c r="G79" s="9"/>
      <c r="H79" s="5"/>
      <c r="I79" s="9"/>
      <c r="J79" s="9"/>
      <c r="K79" s="15"/>
      <c r="L79" s="5"/>
      <c r="M79" s="15"/>
      <c r="N79" s="4"/>
      <c r="O79" s="4"/>
    </row>
    <row r="80" spans="1:15" x14ac:dyDescent="0.25">
      <c r="A80" s="31">
        <v>1</v>
      </c>
      <c r="B80" s="4" t="s">
        <v>1408</v>
      </c>
      <c r="C80" s="5">
        <v>1</v>
      </c>
      <c r="D80" s="7">
        <v>0</v>
      </c>
      <c r="E80" s="3">
        <f t="shared" ref="E80:E85" si="30">C80+(C80*D80)</f>
        <v>1</v>
      </c>
      <c r="F80" s="3" t="s">
        <v>867</v>
      </c>
      <c r="G80" s="77"/>
      <c r="H80" s="5" t="s">
        <v>1</v>
      </c>
      <c r="I80" s="78">
        <f t="shared" ref="I80:I85" si="31">IF(H80="C",(G80/100)*E80,IF(H80="M",(G80/1000)*E80,G80*E80))</f>
        <v>0</v>
      </c>
      <c r="J80" s="110">
        <f t="shared" ref="J80:J85" si="32">$O$4</f>
        <v>75</v>
      </c>
      <c r="K80" s="4">
        <v>3.5</v>
      </c>
      <c r="L80" s="5" t="s">
        <v>0</v>
      </c>
      <c r="M80" s="80">
        <f t="shared" ref="M80:M85" si="33">IF(L80="C",(K80/100)*E80,IF(L80="M",(K80/1000)*E80,K80*E80))</f>
        <v>3.5000000000000003E-2</v>
      </c>
      <c r="N80" s="78">
        <f t="shared" ref="N80:N85" si="34">M80*J80</f>
        <v>2.6250000000000004</v>
      </c>
      <c r="O80" s="78">
        <f t="shared" ref="O80:O85" si="35">N80+I80</f>
        <v>2.6250000000000004</v>
      </c>
    </row>
    <row r="81" spans="1:15" x14ac:dyDescent="0.25">
      <c r="A81" s="31">
        <v>2</v>
      </c>
      <c r="B81" s="4" t="s">
        <v>1407</v>
      </c>
      <c r="C81" s="5">
        <v>1</v>
      </c>
      <c r="D81" s="7">
        <v>0</v>
      </c>
      <c r="E81" s="3">
        <f t="shared" si="30"/>
        <v>1</v>
      </c>
      <c r="F81" s="3" t="s">
        <v>867</v>
      </c>
      <c r="G81" s="77"/>
      <c r="H81" s="5" t="s">
        <v>1</v>
      </c>
      <c r="I81" s="78">
        <f t="shared" si="31"/>
        <v>0</v>
      </c>
      <c r="J81" s="110">
        <f t="shared" si="32"/>
        <v>75</v>
      </c>
      <c r="K81" s="4">
        <v>4.5</v>
      </c>
      <c r="L81" s="5" t="s">
        <v>0</v>
      </c>
      <c r="M81" s="80">
        <f t="shared" si="33"/>
        <v>4.4999999999999998E-2</v>
      </c>
      <c r="N81" s="78">
        <f t="shared" si="34"/>
        <v>3.375</v>
      </c>
      <c r="O81" s="78">
        <f t="shared" si="35"/>
        <v>3.375</v>
      </c>
    </row>
    <row r="82" spans="1:15" x14ac:dyDescent="0.25">
      <c r="A82" s="31">
        <v>3</v>
      </c>
      <c r="B82" s="4" t="s">
        <v>1406</v>
      </c>
      <c r="C82" s="5">
        <v>1</v>
      </c>
      <c r="D82" s="7">
        <v>0</v>
      </c>
      <c r="E82" s="3">
        <f t="shared" si="30"/>
        <v>1</v>
      </c>
      <c r="F82" s="3" t="s">
        <v>867</v>
      </c>
      <c r="G82" s="77"/>
      <c r="H82" s="5" t="s">
        <v>1</v>
      </c>
      <c r="I82" s="78">
        <f t="shared" si="31"/>
        <v>0</v>
      </c>
      <c r="J82" s="110">
        <f t="shared" si="32"/>
        <v>75</v>
      </c>
      <c r="K82" s="4">
        <v>5.5</v>
      </c>
      <c r="L82" s="5" t="s">
        <v>0</v>
      </c>
      <c r="M82" s="80">
        <f t="shared" si="33"/>
        <v>5.5E-2</v>
      </c>
      <c r="N82" s="78">
        <f t="shared" si="34"/>
        <v>4.125</v>
      </c>
      <c r="O82" s="78">
        <f t="shared" si="35"/>
        <v>4.125</v>
      </c>
    </row>
    <row r="83" spans="1:15" x14ac:dyDescent="0.25">
      <c r="A83" s="31">
        <v>4</v>
      </c>
      <c r="B83" s="8" t="s">
        <v>1405</v>
      </c>
      <c r="C83" s="5">
        <v>1</v>
      </c>
      <c r="D83" s="7">
        <v>0</v>
      </c>
      <c r="E83" s="3">
        <f t="shared" si="30"/>
        <v>1</v>
      </c>
      <c r="F83" s="3" t="s">
        <v>867</v>
      </c>
      <c r="G83" s="77"/>
      <c r="H83" s="5" t="s">
        <v>1</v>
      </c>
      <c r="I83" s="78">
        <f t="shared" si="31"/>
        <v>0</v>
      </c>
      <c r="J83" s="110">
        <f t="shared" si="32"/>
        <v>75</v>
      </c>
      <c r="K83" s="4">
        <v>6.5</v>
      </c>
      <c r="L83" s="5" t="s">
        <v>0</v>
      </c>
      <c r="M83" s="80">
        <f t="shared" si="33"/>
        <v>6.5000000000000002E-2</v>
      </c>
      <c r="N83" s="78">
        <f t="shared" si="34"/>
        <v>4.875</v>
      </c>
      <c r="O83" s="78">
        <f t="shared" si="35"/>
        <v>4.875</v>
      </c>
    </row>
    <row r="84" spans="1:15" x14ac:dyDescent="0.25">
      <c r="A84" s="31">
        <v>5</v>
      </c>
      <c r="B84" s="4" t="s">
        <v>1404</v>
      </c>
      <c r="C84" s="5">
        <v>1</v>
      </c>
      <c r="D84" s="7">
        <v>0</v>
      </c>
      <c r="E84" s="3">
        <f t="shared" si="30"/>
        <v>1</v>
      </c>
      <c r="F84" s="3" t="s">
        <v>867</v>
      </c>
      <c r="G84" s="77"/>
      <c r="H84" s="5" t="s">
        <v>1</v>
      </c>
      <c r="I84" s="78">
        <f t="shared" si="31"/>
        <v>0</v>
      </c>
      <c r="J84" s="110">
        <f t="shared" si="32"/>
        <v>75</v>
      </c>
      <c r="K84" s="4">
        <v>7.5</v>
      </c>
      <c r="L84" s="5" t="s">
        <v>0</v>
      </c>
      <c r="M84" s="80">
        <f t="shared" si="33"/>
        <v>7.4999999999999997E-2</v>
      </c>
      <c r="N84" s="78">
        <f t="shared" si="34"/>
        <v>5.625</v>
      </c>
      <c r="O84" s="78">
        <f t="shared" si="35"/>
        <v>5.625</v>
      </c>
    </row>
    <row r="85" spans="1:15" x14ac:dyDescent="0.25">
      <c r="A85" s="31">
        <v>6</v>
      </c>
      <c r="B85" s="4" t="s">
        <v>1403</v>
      </c>
      <c r="C85" s="5">
        <v>1</v>
      </c>
      <c r="D85" s="7">
        <v>0</v>
      </c>
      <c r="E85" s="3">
        <f t="shared" si="30"/>
        <v>1</v>
      </c>
      <c r="F85" s="3" t="s">
        <v>867</v>
      </c>
      <c r="G85" s="77"/>
      <c r="H85" s="5" t="s">
        <v>1</v>
      </c>
      <c r="I85" s="78">
        <f t="shared" si="31"/>
        <v>0</v>
      </c>
      <c r="J85" s="110">
        <f t="shared" si="32"/>
        <v>75</v>
      </c>
      <c r="K85" s="4">
        <v>8.5</v>
      </c>
      <c r="L85" s="5" t="s">
        <v>0</v>
      </c>
      <c r="M85" s="80">
        <f t="shared" si="33"/>
        <v>8.5000000000000006E-2</v>
      </c>
      <c r="N85" s="78">
        <f t="shared" si="34"/>
        <v>6.3750000000000009</v>
      </c>
      <c r="O85" s="78">
        <f t="shared" si="35"/>
        <v>6.3750000000000009</v>
      </c>
    </row>
    <row r="86" spans="1:15" ht="15.75" thickBot="1" x14ac:dyDescent="0.3">
      <c r="A86" s="31"/>
      <c r="B86" s="255"/>
      <c r="C86" s="256"/>
      <c r="D86" s="256"/>
      <c r="E86" s="256"/>
      <c r="F86" s="256"/>
      <c r="G86" s="256"/>
      <c r="H86" s="256"/>
      <c r="I86" s="256"/>
      <c r="J86" s="256"/>
      <c r="K86" s="256"/>
      <c r="L86" s="256"/>
      <c r="M86" s="256"/>
      <c r="N86" s="256"/>
      <c r="O86" s="257"/>
    </row>
    <row r="87" spans="1:15" ht="15.75" thickBot="1" x14ac:dyDescent="0.3">
      <c r="A87" s="60" t="s">
        <v>1262</v>
      </c>
      <c r="B87" s="120" t="s">
        <v>1402</v>
      </c>
      <c r="C87" s="5"/>
      <c r="D87" s="7"/>
      <c r="E87" s="3"/>
      <c r="F87" s="3"/>
      <c r="G87" s="9"/>
      <c r="H87" s="5"/>
      <c r="I87" s="9"/>
      <c r="J87" s="9"/>
      <c r="K87" s="15"/>
      <c r="L87" s="5"/>
      <c r="M87" s="15"/>
      <c r="N87" s="4"/>
      <c r="O87" s="4"/>
    </row>
    <row r="88" spans="1:15" x14ac:dyDescent="0.25">
      <c r="A88" s="31">
        <v>1</v>
      </c>
      <c r="B88" s="4" t="s">
        <v>1401</v>
      </c>
      <c r="C88" s="5">
        <v>1</v>
      </c>
      <c r="D88" s="7">
        <v>0</v>
      </c>
      <c r="E88" s="3">
        <f>C88+(C88*D88)</f>
        <v>1</v>
      </c>
      <c r="F88" s="3" t="s">
        <v>867</v>
      </c>
      <c r="G88" s="77"/>
      <c r="H88" s="5" t="s">
        <v>1</v>
      </c>
      <c r="I88" s="78">
        <f>IF(H88="C",(G88/100)*E88,IF(H88="M",(G88/1000)*E88,G88*E88))</f>
        <v>0</v>
      </c>
      <c r="J88" s="110">
        <f>$O$4</f>
        <v>75</v>
      </c>
      <c r="K88" s="4">
        <v>8</v>
      </c>
      <c r="L88" s="5" t="s">
        <v>0</v>
      </c>
      <c r="M88" s="80">
        <f>IF(L88="C",(K88/100)*E88,IF(L88="M",(K88/1000)*E88,K88*E88))</f>
        <v>0.08</v>
      </c>
      <c r="N88" s="78">
        <f>M88*J88</f>
        <v>6</v>
      </c>
      <c r="O88" s="78">
        <f>N88+I88</f>
        <v>6</v>
      </c>
    </row>
    <row r="89" spans="1:15" x14ac:dyDescent="0.25">
      <c r="A89" s="31">
        <v>2</v>
      </c>
      <c r="B89" s="4" t="s">
        <v>1400</v>
      </c>
      <c r="C89" s="5">
        <v>1</v>
      </c>
      <c r="D89" s="7">
        <v>0</v>
      </c>
      <c r="E89" s="3">
        <f>C89+(C89*D89)</f>
        <v>1</v>
      </c>
      <c r="F89" s="3" t="s">
        <v>867</v>
      </c>
      <c r="G89" s="77"/>
      <c r="H89" s="5" t="s">
        <v>1</v>
      </c>
      <c r="I89" s="78">
        <f>IF(H89="C",(G89/100)*E89,IF(H89="M",(G89/1000)*E89,G89*E89))</f>
        <v>0</v>
      </c>
      <c r="J89" s="110">
        <f>$O$4</f>
        <v>75</v>
      </c>
      <c r="K89" s="4">
        <v>13</v>
      </c>
      <c r="L89" s="5" t="s">
        <v>0</v>
      </c>
      <c r="M89" s="80">
        <f>IF(L89="C",(K89/100)*E89,IF(L89="M",(K89/1000)*E89,K89*E89))</f>
        <v>0.13</v>
      </c>
      <c r="N89" s="78">
        <f>M89*J89</f>
        <v>9.75</v>
      </c>
      <c r="O89" s="78">
        <f>N89+I89</f>
        <v>9.75</v>
      </c>
    </row>
    <row r="90" spans="1:15" x14ac:dyDescent="0.25">
      <c r="A90" s="31">
        <v>3</v>
      </c>
      <c r="B90" s="4" t="s">
        <v>1399</v>
      </c>
      <c r="C90" s="5">
        <v>1</v>
      </c>
      <c r="D90" s="7">
        <v>0</v>
      </c>
      <c r="E90" s="3">
        <f>C90+(C90*D90)</f>
        <v>1</v>
      </c>
      <c r="F90" s="3" t="s">
        <v>867</v>
      </c>
      <c r="G90" s="77"/>
      <c r="H90" s="5" t="s">
        <v>1</v>
      </c>
      <c r="I90" s="78">
        <f>IF(H90="C",(G90/100)*E90,IF(H90="M",(G90/1000)*E90,G90*E90))</f>
        <v>0</v>
      </c>
      <c r="J90" s="110">
        <f>$O$4</f>
        <v>75</v>
      </c>
      <c r="K90" s="4">
        <v>19</v>
      </c>
      <c r="L90" s="5" t="s">
        <v>0</v>
      </c>
      <c r="M90" s="80">
        <f>IF(L90="C",(K90/100)*E90,IF(L90="M",(K90/1000)*E90,K90*E90))</f>
        <v>0.19</v>
      </c>
      <c r="N90" s="78">
        <f>M90*J90</f>
        <v>14.25</v>
      </c>
      <c r="O90" s="78">
        <f>N90+I90</f>
        <v>14.25</v>
      </c>
    </row>
    <row r="91" spans="1:15" ht="15.75" thickBot="1" x14ac:dyDescent="0.3">
      <c r="A91" s="31"/>
      <c r="B91" s="255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</row>
    <row r="92" spans="1:15" ht="15.75" thickBot="1" x14ac:dyDescent="0.3">
      <c r="A92" s="60" t="s">
        <v>1262</v>
      </c>
      <c r="B92" s="120" t="s">
        <v>1398</v>
      </c>
      <c r="C92" s="5"/>
      <c r="D92" s="7"/>
      <c r="E92" s="3"/>
      <c r="F92" s="3"/>
      <c r="G92" s="9"/>
      <c r="H92" s="5"/>
      <c r="I92" s="9"/>
      <c r="J92" s="9"/>
      <c r="K92" s="15"/>
      <c r="L92" s="5"/>
      <c r="M92" s="15"/>
      <c r="N92" s="4"/>
      <c r="O92" s="4"/>
    </row>
    <row r="93" spans="1:15" x14ac:dyDescent="0.25">
      <c r="A93" s="31">
        <v>1</v>
      </c>
      <c r="B93" s="4" t="s">
        <v>1397</v>
      </c>
      <c r="C93" s="5">
        <v>1</v>
      </c>
      <c r="D93" s="7">
        <v>0</v>
      </c>
      <c r="E93" s="3">
        <f t="shared" ref="E93:E105" si="36">C93+(C93*D93)</f>
        <v>1</v>
      </c>
      <c r="F93" s="3" t="s">
        <v>867</v>
      </c>
      <c r="G93" s="77"/>
      <c r="H93" s="5" t="s">
        <v>1</v>
      </c>
      <c r="I93" s="78">
        <f t="shared" ref="I93:I105" si="37">IF(H93="C",(G93/100)*E93,IF(H93="M",(G93/1000)*E93,G93*E93))</f>
        <v>0</v>
      </c>
      <c r="J93" s="110">
        <f t="shared" ref="J93:J105" si="38">$O$4</f>
        <v>75</v>
      </c>
      <c r="K93" s="4">
        <v>12</v>
      </c>
      <c r="L93" s="5" t="s">
        <v>0</v>
      </c>
      <c r="M93" s="80">
        <f t="shared" ref="M93:M105" si="39">IF(L93="C",(K93/100)*E93,IF(L93="M",(K93/1000)*E93,K93*E93))</f>
        <v>0.12</v>
      </c>
      <c r="N93" s="78">
        <f t="shared" ref="N93:N105" si="40">M93*J93</f>
        <v>9</v>
      </c>
      <c r="O93" s="78">
        <f t="shared" ref="O93:O105" si="41">N93+I93</f>
        <v>9</v>
      </c>
    </row>
    <row r="94" spans="1:15" ht="15" customHeight="1" x14ac:dyDescent="0.25">
      <c r="A94" s="60">
        <v>2</v>
      </c>
      <c r="B94" s="8" t="s">
        <v>1396</v>
      </c>
      <c r="C94" s="5">
        <v>1</v>
      </c>
      <c r="D94" s="7">
        <v>0</v>
      </c>
      <c r="E94" s="3">
        <f t="shared" si="36"/>
        <v>1</v>
      </c>
      <c r="F94" s="3" t="s">
        <v>867</v>
      </c>
      <c r="G94" s="77"/>
      <c r="H94" s="5" t="s">
        <v>1</v>
      </c>
      <c r="I94" s="78">
        <f t="shared" si="37"/>
        <v>0</v>
      </c>
      <c r="J94" s="110">
        <f t="shared" si="38"/>
        <v>75</v>
      </c>
      <c r="K94" s="4">
        <v>15</v>
      </c>
      <c r="L94" s="5" t="s">
        <v>0</v>
      </c>
      <c r="M94" s="80">
        <f t="shared" si="39"/>
        <v>0.15</v>
      </c>
      <c r="N94" s="78">
        <f t="shared" si="40"/>
        <v>11.25</v>
      </c>
      <c r="O94" s="78">
        <f t="shared" si="41"/>
        <v>11.25</v>
      </c>
    </row>
    <row r="95" spans="1:15" x14ac:dyDescent="0.25">
      <c r="A95" s="31">
        <v>3</v>
      </c>
      <c r="B95" s="4" t="s">
        <v>1395</v>
      </c>
      <c r="C95" s="5">
        <v>1</v>
      </c>
      <c r="D95" s="7">
        <v>0</v>
      </c>
      <c r="E95" s="3">
        <f t="shared" si="36"/>
        <v>1</v>
      </c>
      <c r="F95" s="3" t="s">
        <v>867</v>
      </c>
      <c r="G95" s="77"/>
      <c r="H95" s="5" t="s">
        <v>1</v>
      </c>
      <c r="I95" s="78">
        <f t="shared" si="37"/>
        <v>0</v>
      </c>
      <c r="J95" s="110">
        <f t="shared" si="38"/>
        <v>75</v>
      </c>
      <c r="K95" s="4">
        <v>18</v>
      </c>
      <c r="L95" s="5" t="s">
        <v>0</v>
      </c>
      <c r="M95" s="80">
        <f t="shared" si="39"/>
        <v>0.18</v>
      </c>
      <c r="N95" s="78">
        <f t="shared" si="40"/>
        <v>13.5</v>
      </c>
      <c r="O95" s="78">
        <f t="shared" si="41"/>
        <v>13.5</v>
      </c>
    </row>
    <row r="96" spans="1:15" x14ac:dyDescent="0.25">
      <c r="A96" s="60">
        <v>4</v>
      </c>
      <c r="B96" s="4" t="s">
        <v>1394</v>
      </c>
      <c r="C96" s="5">
        <v>1</v>
      </c>
      <c r="D96" s="7">
        <v>0</v>
      </c>
      <c r="E96" s="3">
        <f t="shared" si="36"/>
        <v>1</v>
      </c>
      <c r="F96" s="3" t="s">
        <v>867</v>
      </c>
      <c r="G96" s="77"/>
      <c r="H96" s="5" t="s">
        <v>1</v>
      </c>
      <c r="I96" s="78">
        <f t="shared" si="37"/>
        <v>0</v>
      </c>
      <c r="J96" s="110">
        <f t="shared" si="38"/>
        <v>75</v>
      </c>
      <c r="K96" s="4">
        <v>22</v>
      </c>
      <c r="L96" s="5" t="s">
        <v>0</v>
      </c>
      <c r="M96" s="80">
        <f t="shared" si="39"/>
        <v>0.22</v>
      </c>
      <c r="N96" s="78">
        <f t="shared" si="40"/>
        <v>16.5</v>
      </c>
      <c r="O96" s="78">
        <f t="shared" si="41"/>
        <v>16.5</v>
      </c>
    </row>
    <row r="97" spans="1:15" x14ac:dyDescent="0.25">
      <c r="A97" s="31">
        <v>5</v>
      </c>
      <c r="B97" s="4" t="s">
        <v>1393</v>
      </c>
      <c r="C97" s="5">
        <v>1</v>
      </c>
      <c r="D97" s="7">
        <v>0</v>
      </c>
      <c r="E97" s="3">
        <f t="shared" si="36"/>
        <v>1</v>
      </c>
      <c r="F97" s="3" t="s">
        <v>867</v>
      </c>
      <c r="G97" s="77"/>
      <c r="H97" s="5" t="s">
        <v>1</v>
      </c>
      <c r="I97" s="78">
        <f t="shared" si="37"/>
        <v>0</v>
      </c>
      <c r="J97" s="110">
        <f t="shared" si="38"/>
        <v>75</v>
      </c>
      <c r="K97" s="4">
        <v>26</v>
      </c>
      <c r="L97" s="5" t="s">
        <v>0</v>
      </c>
      <c r="M97" s="80">
        <f t="shared" si="39"/>
        <v>0.26</v>
      </c>
      <c r="N97" s="78">
        <f t="shared" si="40"/>
        <v>19.5</v>
      </c>
      <c r="O97" s="78">
        <f t="shared" si="41"/>
        <v>19.5</v>
      </c>
    </row>
    <row r="98" spans="1:15" x14ac:dyDescent="0.25">
      <c r="A98" s="60">
        <v>6</v>
      </c>
      <c r="B98" s="4" t="s">
        <v>1392</v>
      </c>
      <c r="C98" s="5">
        <v>1</v>
      </c>
      <c r="D98" s="7">
        <v>0</v>
      </c>
      <c r="E98" s="3">
        <f t="shared" si="36"/>
        <v>1</v>
      </c>
      <c r="F98" s="3" t="s">
        <v>867</v>
      </c>
      <c r="G98" s="77"/>
      <c r="H98" s="5" t="s">
        <v>1</v>
      </c>
      <c r="I98" s="78">
        <f t="shared" si="37"/>
        <v>0</v>
      </c>
      <c r="J98" s="110">
        <f t="shared" si="38"/>
        <v>75</v>
      </c>
      <c r="K98" s="4">
        <v>30</v>
      </c>
      <c r="L98" s="5" t="s">
        <v>0</v>
      </c>
      <c r="M98" s="80">
        <f t="shared" si="39"/>
        <v>0.3</v>
      </c>
      <c r="N98" s="78">
        <f t="shared" si="40"/>
        <v>22.5</v>
      </c>
      <c r="O98" s="78">
        <f t="shared" si="41"/>
        <v>22.5</v>
      </c>
    </row>
    <row r="99" spans="1:15" x14ac:dyDescent="0.25">
      <c r="A99" s="31">
        <v>7</v>
      </c>
      <c r="B99" s="4" t="s">
        <v>1391</v>
      </c>
      <c r="C99" s="5">
        <v>1</v>
      </c>
      <c r="D99" s="7">
        <v>0</v>
      </c>
      <c r="E99" s="3">
        <f t="shared" si="36"/>
        <v>1</v>
      </c>
      <c r="F99" s="3" t="s">
        <v>867</v>
      </c>
      <c r="G99" s="77"/>
      <c r="H99" s="5" t="s">
        <v>1</v>
      </c>
      <c r="I99" s="78">
        <f t="shared" si="37"/>
        <v>0</v>
      </c>
      <c r="J99" s="110">
        <f t="shared" si="38"/>
        <v>75</v>
      </c>
      <c r="K99" s="4">
        <v>33</v>
      </c>
      <c r="L99" s="5" t="s">
        <v>0</v>
      </c>
      <c r="M99" s="80">
        <f t="shared" si="39"/>
        <v>0.33</v>
      </c>
      <c r="N99" s="78">
        <f t="shared" si="40"/>
        <v>24.75</v>
      </c>
      <c r="O99" s="78">
        <f t="shared" si="41"/>
        <v>24.75</v>
      </c>
    </row>
    <row r="100" spans="1:15" x14ac:dyDescent="0.25">
      <c r="A100" s="60">
        <v>8</v>
      </c>
      <c r="B100" s="4" t="s">
        <v>1390</v>
      </c>
      <c r="C100" s="5">
        <v>1</v>
      </c>
      <c r="D100" s="7">
        <v>0</v>
      </c>
      <c r="E100" s="3">
        <f t="shared" si="36"/>
        <v>1</v>
      </c>
      <c r="F100" s="3" t="s">
        <v>867</v>
      </c>
      <c r="G100" s="77"/>
      <c r="H100" s="5" t="s">
        <v>1</v>
      </c>
      <c r="I100" s="78">
        <f t="shared" si="37"/>
        <v>0</v>
      </c>
      <c r="J100" s="110">
        <f t="shared" si="38"/>
        <v>75</v>
      </c>
      <c r="K100" s="4">
        <v>36</v>
      </c>
      <c r="L100" s="5" t="s">
        <v>0</v>
      </c>
      <c r="M100" s="80">
        <f t="shared" si="39"/>
        <v>0.36</v>
      </c>
      <c r="N100" s="78">
        <f t="shared" si="40"/>
        <v>27</v>
      </c>
      <c r="O100" s="78">
        <f t="shared" si="41"/>
        <v>27</v>
      </c>
    </row>
    <row r="101" spans="1:15" x14ac:dyDescent="0.25">
      <c r="A101" s="31">
        <v>9</v>
      </c>
      <c r="B101" s="4" t="s">
        <v>1389</v>
      </c>
      <c r="C101" s="5">
        <v>1</v>
      </c>
      <c r="D101" s="7">
        <v>0</v>
      </c>
      <c r="E101" s="3">
        <f t="shared" si="36"/>
        <v>1</v>
      </c>
      <c r="F101" s="3" t="s">
        <v>867</v>
      </c>
      <c r="G101" s="77"/>
      <c r="H101" s="5" t="s">
        <v>1</v>
      </c>
      <c r="I101" s="78">
        <f t="shared" si="37"/>
        <v>0</v>
      </c>
      <c r="J101" s="110">
        <f t="shared" si="38"/>
        <v>75</v>
      </c>
      <c r="K101" s="4">
        <v>40</v>
      </c>
      <c r="L101" s="5" t="s">
        <v>0</v>
      </c>
      <c r="M101" s="80">
        <f t="shared" si="39"/>
        <v>0.4</v>
      </c>
      <c r="N101" s="78">
        <f t="shared" si="40"/>
        <v>30</v>
      </c>
      <c r="O101" s="78">
        <f t="shared" si="41"/>
        <v>30</v>
      </c>
    </row>
    <row r="102" spans="1:15" x14ac:dyDescent="0.25">
      <c r="A102" s="60">
        <v>10</v>
      </c>
      <c r="B102" s="4" t="s">
        <v>1388</v>
      </c>
      <c r="C102" s="5">
        <v>1</v>
      </c>
      <c r="D102" s="7">
        <v>0</v>
      </c>
      <c r="E102" s="3">
        <f t="shared" si="36"/>
        <v>1</v>
      </c>
      <c r="F102" s="3" t="s">
        <v>867</v>
      </c>
      <c r="G102" s="77"/>
      <c r="H102" s="5" t="s">
        <v>1</v>
      </c>
      <c r="I102" s="78">
        <f t="shared" si="37"/>
        <v>0</v>
      </c>
      <c r="J102" s="110">
        <f t="shared" si="38"/>
        <v>75</v>
      </c>
      <c r="K102" s="4">
        <v>52</v>
      </c>
      <c r="L102" s="5" t="s">
        <v>0</v>
      </c>
      <c r="M102" s="80">
        <f t="shared" si="39"/>
        <v>0.52</v>
      </c>
      <c r="N102" s="78">
        <f t="shared" si="40"/>
        <v>39</v>
      </c>
      <c r="O102" s="78">
        <f t="shared" si="41"/>
        <v>39</v>
      </c>
    </row>
    <row r="103" spans="1:15" x14ac:dyDescent="0.25">
      <c r="A103" s="31">
        <v>11</v>
      </c>
      <c r="B103" s="4" t="s">
        <v>1387</v>
      </c>
      <c r="C103" s="5">
        <v>1</v>
      </c>
      <c r="D103" s="7">
        <v>0</v>
      </c>
      <c r="E103" s="3">
        <f t="shared" si="36"/>
        <v>1</v>
      </c>
      <c r="F103" s="3" t="s">
        <v>867</v>
      </c>
      <c r="G103" s="77"/>
      <c r="H103" s="5" t="s">
        <v>1</v>
      </c>
      <c r="I103" s="78">
        <f t="shared" si="37"/>
        <v>0</v>
      </c>
      <c r="J103" s="110">
        <f t="shared" si="38"/>
        <v>75</v>
      </c>
      <c r="K103" s="4">
        <v>64</v>
      </c>
      <c r="L103" s="5" t="s">
        <v>0</v>
      </c>
      <c r="M103" s="80">
        <f t="shared" si="39"/>
        <v>0.64</v>
      </c>
      <c r="N103" s="78">
        <f t="shared" si="40"/>
        <v>48</v>
      </c>
      <c r="O103" s="78">
        <f t="shared" si="41"/>
        <v>48</v>
      </c>
    </row>
    <row r="104" spans="1:15" x14ac:dyDescent="0.25">
      <c r="A104" s="60">
        <v>12</v>
      </c>
      <c r="B104" s="4" t="s">
        <v>1386</v>
      </c>
      <c r="C104" s="5">
        <v>1</v>
      </c>
      <c r="D104" s="7">
        <v>0</v>
      </c>
      <c r="E104" s="3">
        <f t="shared" si="36"/>
        <v>1</v>
      </c>
      <c r="F104" s="3" t="s">
        <v>867</v>
      </c>
      <c r="G104" s="77"/>
      <c r="H104" s="5" t="s">
        <v>1</v>
      </c>
      <c r="I104" s="78">
        <f t="shared" si="37"/>
        <v>0</v>
      </c>
      <c r="J104" s="110">
        <f t="shared" si="38"/>
        <v>75</v>
      </c>
      <c r="K104" s="4">
        <v>76</v>
      </c>
      <c r="L104" s="5" t="s">
        <v>0</v>
      </c>
      <c r="M104" s="80">
        <f t="shared" si="39"/>
        <v>0.76</v>
      </c>
      <c r="N104" s="78">
        <f t="shared" si="40"/>
        <v>57</v>
      </c>
      <c r="O104" s="78">
        <f t="shared" si="41"/>
        <v>57</v>
      </c>
    </row>
    <row r="105" spans="1:15" x14ac:dyDescent="0.25">
      <c r="A105" s="31">
        <v>13</v>
      </c>
      <c r="B105" s="4" t="s">
        <v>1385</v>
      </c>
      <c r="C105" s="5">
        <v>1</v>
      </c>
      <c r="D105" s="7">
        <v>0</v>
      </c>
      <c r="E105" s="3">
        <f t="shared" si="36"/>
        <v>1</v>
      </c>
      <c r="F105" s="3" t="s">
        <v>867</v>
      </c>
      <c r="G105" s="77"/>
      <c r="H105" s="5" t="s">
        <v>1</v>
      </c>
      <c r="I105" s="78">
        <f t="shared" si="37"/>
        <v>0</v>
      </c>
      <c r="J105" s="110">
        <f t="shared" si="38"/>
        <v>75</v>
      </c>
      <c r="K105" s="4">
        <v>90</v>
      </c>
      <c r="L105" s="5" t="s">
        <v>0</v>
      </c>
      <c r="M105" s="80">
        <f t="shared" si="39"/>
        <v>0.9</v>
      </c>
      <c r="N105" s="78">
        <f t="shared" si="40"/>
        <v>67.5</v>
      </c>
      <c r="O105" s="78">
        <f t="shared" si="41"/>
        <v>67.5</v>
      </c>
    </row>
    <row r="106" spans="1:15" ht="15.75" thickBot="1" x14ac:dyDescent="0.3">
      <c r="A106" s="31"/>
      <c r="B106" s="255"/>
      <c r="C106" s="256"/>
      <c r="D106" s="256"/>
      <c r="E106" s="256"/>
      <c r="F106" s="256"/>
      <c r="G106" s="256"/>
      <c r="H106" s="256"/>
      <c r="I106" s="256"/>
      <c r="J106" s="256"/>
      <c r="K106" s="256"/>
      <c r="L106" s="256"/>
      <c r="M106" s="256"/>
      <c r="N106" s="256"/>
      <c r="O106" s="257"/>
    </row>
    <row r="107" spans="1:15" ht="15.75" thickBot="1" x14ac:dyDescent="0.3">
      <c r="A107" s="60" t="s">
        <v>1262</v>
      </c>
      <c r="B107" s="120" t="s">
        <v>1384</v>
      </c>
      <c r="C107" s="5"/>
      <c r="D107" s="7"/>
      <c r="E107" s="3"/>
      <c r="F107" s="3"/>
      <c r="G107" s="9"/>
      <c r="H107" s="5"/>
      <c r="I107" s="9"/>
      <c r="J107" s="9"/>
      <c r="K107" s="15"/>
      <c r="L107" s="5"/>
      <c r="M107" s="15"/>
      <c r="N107" s="4"/>
      <c r="O107" s="4"/>
    </row>
    <row r="108" spans="1:15" x14ac:dyDescent="0.25">
      <c r="A108" s="31">
        <v>1</v>
      </c>
      <c r="B108" s="4" t="s">
        <v>1383</v>
      </c>
      <c r="C108" s="5">
        <v>1</v>
      </c>
      <c r="D108" s="7">
        <v>0</v>
      </c>
      <c r="E108" s="3">
        <f>C108+(C108*D108)</f>
        <v>1</v>
      </c>
      <c r="F108" s="3" t="s">
        <v>867</v>
      </c>
      <c r="G108" s="77"/>
      <c r="H108" s="5" t="s">
        <v>1</v>
      </c>
      <c r="I108" s="78">
        <f>IF(H108="C",(G108/100)*E108,IF(H108="M",(G108/1000)*E108,G108*E108))</f>
        <v>0</v>
      </c>
      <c r="J108" s="110">
        <f>$O$4</f>
        <v>75</v>
      </c>
      <c r="K108" s="4">
        <v>0.15</v>
      </c>
      <c r="L108" s="5" t="s">
        <v>1</v>
      </c>
      <c r="M108" s="80">
        <f>IF(L108="C",(K108/100)*E108,IF(L108="M",(K108/1000)*E108,K108*E108))</f>
        <v>0.15</v>
      </c>
      <c r="N108" s="78">
        <f>M108*J108</f>
        <v>11.25</v>
      </c>
      <c r="O108" s="78">
        <f>N108+I108</f>
        <v>11.25</v>
      </c>
    </row>
    <row r="109" spans="1:15" x14ac:dyDescent="0.25">
      <c r="A109" s="31">
        <v>2</v>
      </c>
      <c r="B109" s="4" t="s">
        <v>1382</v>
      </c>
      <c r="C109" s="5">
        <v>1</v>
      </c>
      <c r="D109" s="7">
        <v>0</v>
      </c>
      <c r="E109" s="3">
        <f>C109+(C109*D109)</f>
        <v>1</v>
      </c>
      <c r="F109" s="3" t="s">
        <v>867</v>
      </c>
      <c r="G109" s="77"/>
      <c r="H109" s="5" t="s">
        <v>1</v>
      </c>
      <c r="I109" s="78">
        <f>IF(H109="C",(G109/100)*E109,IF(H109="M",(G109/1000)*E109,G109*E109))</f>
        <v>0</v>
      </c>
      <c r="J109" s="110">
        <f>$O$4</f>
        <v>75</v>
      </c>
      <c r="K109" s="4">
        <v>0.2</v>
      </c>
      <c r="L109" s="5" t="s">
        <v>1</v>
      </c>
      <c r="M109" s="80">
        <f>IF(L109="C",(K109/100)*E109,IF(L109="M",(K109/1000)*E109,K109*E109))</f>
        <v>0.2</v>
      </c>
      <c r="N109" s="78">
        <f>M109*J109</f>
        <v>15</v>
      </c>
      <c r="O109" s="78">
        <f>N109+I109</f>
        <v>15</v>
      </c>
    </row>
    <row r="110" spans="1:15" x14ac:dyDescent="0.25">
      <c r="A110" s="31">
        <v>3</v>
      </c>
      <c r="B110" s="4" t="s">
        <v>1381</v>
      </c>
      <c r="C110" s="5">
        <v>1</v>
      </c>
      <c r="D110" s="7">
        <v>0</v>
      </c>
      <c r="E110" s="3">
        <f>C110+(C110*D110)</f>
        <v>1</v>
      </c>
      <c r="F110" s="3" t="s">
        <v>867</v>
      </c>
      <c r="G110" s="77"/>
      <c r="H110" s="5" t="s">
        <v>1</v>
      </c>
      <c r="I110" s="78">
        <f>IF(H110="C",(G110/100)*E110,IF(H110="M",(G110/1000)*E110,G110*E110))</f>
        <v>0</v>
      </c>
      <c r="J110" s="110">
        <f>$O$4</f>
        <v>75</v>
      </c>
      <c r="K110" s="4">
        <v>0.4</v>
      </c>
      <c r="L110" s="5" t="s">
        <v>1</v>
      </c>
      <c r="M110" s="80">
        <f>IF(L110="C",(K110/100)*E110,IF(L110="M",(K110/1000)*E110,K110*E110))</f>
        <v>0.4</v>
      </c>
      <c r="N110" s="78">
        <f>M110*J110</f>
        <v>30</v>
      </c>
      <c r="O110" s="78">
        <f>N110+I110</f>
        <v>30</v>
      </c>
    </row>
    <row r="111" spans="1:15" x14ac:dyDescent="0.25">
      <c r="A111" s="31">
        <v>4</v>
      </c>
      <c r="B111" s="4" t="s">
        <v>1380</v>
      </c>
      <c r="C111" s="5">
        <v>1</v>
      </c>
      <c r="D111" s="7">
        <v>0</v>
      </c>
      <c r="E111" s="3">
        <f>C111+(C111*D111)</f>
        <v>1</v>
      </c>
      <c r="F111" s="3" t="s">
        <v>867</v>
      </c>
      <c r="G111" s="77"/>
      <c r="H111" s="5" t="s">
        <v>1</v>
      </c>
      <c r="I111" s="78">
        <f>IF(H111="C",(G111/100)*E111,IF(H111="M",(G111/1000)*E111,G111*E111))</f>
        <v>0</v>
      </c>
      <c r="J111" s="110">
        <f>$O$4</f>
        <v>75</v>
      </c>
      <c r="K111" s="4">
        <v>0.5</v>
      </c>
      <c r="L111" s="5" t="s">
        <v>1</v>
      </c>
      <c r="M111" s="80">
        <f>IF(L111="C",(K111/100)*E111,IF(L111="M",(K111/1000)*E111,K111*E111))</f>
        <v>0.5</v>
      </c>
      <c r="N111" s="78">
        <f>M111*J111</f>
        <v>37.5</v>
      </c>
      <c r="O111" s="78">
        <f>N111+I111</f>
        <v>37.5</v>
      </c>
    </row>
    <row r="112" spans="1:15" x14ac:dyDescent="0.25">
      <c r="A112" s="31">
        <v>5</v>
      </c>
      <c r="B112" s="4" t="s">
        <v>1379</v>
      </c>
      <c r="C112" s="5">
        <v>1</v>
      </c>
      <c r="D112" s="7">
        <v>0</v>
      </c>
      <c r="E112" s="3">
        <f>C112+(C112*D112)</f>
        <v>1</v>
      </c>
      <c r="F112" s="3" t="s">
        <v>867</v>
      </c>
      <c r="G112" s="77"/>
      <c r="H112" s="5" t="s">
        <v>1</v>
      </c>
      <c r="I112" s="78">
        <f>IF(H112="C",(G112/100)*E112,IF(H112="M",(G112/1000)*E112,G112*E112))</f>
        <v>0</v>
      </c>
      <c r="J112" s="110">
        <f>$O$4</f>
        <v>75</v>
      </c>
      <c r="K112" s="4">
        <v>0.6</v>
      </c>
      <c r="L112" s="5" t="s">
        <v>1</v>
      </c>
      <c r="M112" s="80">
        <f>IF(L112="C",(K112/100)*E112,IF(L112="M",(K112/1000)*E112,K112*E112))</f>
        <v>0.6</v>
      </c>
      <c r="N112" s="78">
        <f>M112*J112</f>
        <v>45</v>
      </c>
      <c r="O112" s="78">
        <f>N112+I112</f>
        <v>45</v>
      </c>
    </row>
    <row r="113" spans="1:15" ht="15.75" thickBot="1" x14ac:dyDescent="0.3">
      <c r="A113" s="31"/>
      <c r="B113" s="255"/>
      <c r="C113" s="256"/>
      <c r="D113" s="256"/>
      <c r="E113" s="256"/>
      <c r="F113" s="256"/>
      <c r="G113" s="256"/>
      <c r="H113" s="256"/>
      <c r="I113" s="256"/>
      <c r="J113" s="256"/>
      <c r="K113" s="256"/>
      <c r="L113" s="256"/>
      <c r="M113" s="256"/>
      <c r="N113" s="256"/>
      <c r="O113" s="257"/>
    </row>
    <row r="114" spans="1:15" ht="15.75" thickBot="1" x14ac:dyDescent="0.3">
      <c r="A114" s="60" t="s">
        <v>1262</v>
      </c>
      <c r="B114" s="120" t="s">
        <v>1378</v>
      </c>
      <c r="C114" s="5"/>
      <c r="D114" s="7"/>
      <c r="E114" s="3"/>
      <c r="F114" s="3"/>
      <c r="G114" s="9"/>
      <c r="H114" s="5"/>
      <c r="I114" s="9"/>
      <c r="J114" s="9"/>
      <c r="K114" s="15"/>
      <c r="L114" s="5"/>
      <c r="M114" s="15"/>
      <c r="N114" s="4"/>
      <c r="O114" s="4"/>
    </row>
    <row r="115" spans="1:15" x14ac:dyDescent="0.25">
      <c r="A115" s="31">
        <v>1</v>
      </c>
      <c r="B115" s="4" t="s">
        <v>1377</v>
      </c>
      <c r="C115" s="5">
        <v>1</v>
      </c>
      <c r="D115" s="7">
        <v>0</v>
      </c>
      <c r="E115" s="3">
        <f t="shared" ref="E115:E127" si="42">C115+(C115*D115)</f>
        <v>1</v>
      </c>
      <c r="F115" s="3" t="s">
        <v>867</v>
      </c>
      <c r="G115" s="77"/>
      <c r="H115" s="5" t="s">
        <v>1</v>
      </c>
      <c r="I115" s="78">
        <f t="shared" ref="I115:I127" si="43">IF(H115="C",(G115/100)*E115,IF(H115="M",(G115/1000)*E115,G115*E115))</f>
        <v>0</v>
      </c>
      <c r="J115" s="110">
        <f t="shared" ref="J115:J127" si="44">$O$4</f>
        <v>75</v>
      </c>
      <c r="K115" s="4">
        <v>0.75</v>
      </c>
      <c r="L115" s="5" t="s">
        <v>1</v>
      </c>
      <c r="M115" s="80">
        <f t="shared" ref="M115:M127" si="45">IF(L115="C",(K115/100)*E115,IF(L115="M",(K115/1000)*E115,K115*E115))</f>
        <v>0.75</v>
      </c>
      <c r="N115" s="78">
        <f t="shared" ref="N115:N127" si="46">M115*J115</f>
        <v>56.25</v>
      </c>
      <c r="O115" s="78">
        <f t="shared" ref="O115:O127" si="47">N115+I115</f>
        <v>56.25</v>
      </c>
    </row>
    <row r="116" spans="1:15" x14ac:dyDescent="0.25">
      <c r="A116" s="31">
        <v>2</v>
      </c>
      <c r="B116" s="4" t="s">
        <v>1376</v>
      </c>
      <c r="C116" s="5">
        <v>1</v>
      </c>
      <c r="D116" s="7">
        <v>0</v>
      </c>
      <c r="E116" s="3">
        <f t="shared" si="42"/>
        <v>1</v>
      </c>
      <c r="F116" s="3" t="s">
        <v>867</v>
      </c>
      <c r="G116" s="77"/>
      <c r="H116" s="5" t="s">
        <v>1</v>
      </c>
      <c r="I116" s="78">
        <f t="shared" si="43"/>
        <v>0</v>
      </c>
      <c r="J116" s="110">
        <f t="shared" si="44"/>
        <v>75</v>
      </c>
      <c r="K116" s="4">
        <v>0.85</v>
      </c>
      <c r="L116" s="5" t="s">
        <v>1</v>
      </c>
      <c r="M116" s="80">
        <f t="shared" si="45"/>
        <v>0.85</v>
      </c>
      <c r="N116" s="78">
        <f t="shared" si="46"/>
        <v>63.75</v>
      </c>
      <c r="O116" s="78">
        <f t="shared" si="47"/>
        <v>63.75</v>
      </c>
    </row>
    <row r="117" spans="1:15" x14ac:dyDescent="0.25">
      <c r="A117" s="31">
        <v>3</v>
      </c>
      <c r="B117" s="4" t="s">
        <v>1375</v>
      </c>
      <c r="C117" s="5">
        <v>1</v>
      </c>
      <c r="D117" s="7">
        <v>0</v>
      </c>
      <c r="E117" s="3">
        <f t="shared" si="42"/>
        <v>1</v>
      </c>
      <c r="F117" s="3" t="s">
        <v>867</v>
      </c>
      <c r="G117" s="77"/>
      <c r="H117" s="5" t="s">
        <v>1</v>
      </c>
      <c r="I117" s="78">
        <f t="shared" si="43"/>
        <v>0</v>
      </c>
      <c r="J117" s="110">
        <f t="shared" si="44"/>
        <v>75</v>
      </c>
      <c r="K117" s="4">
        <v>1</v>
      </c>
      <c r="L117" s="5" t="s">
        <v>1</v>
      </c>
      <c r="M117" s="80">
        <f t="shared" si="45"/>
        <v>1</v>
      </c>
      <c r="N117" s="78">
        <f t="shared" si="46"/>
        <v>75</v>
      </c>
      <c r="O117" s="78">
        <f t="shared" si="47"/>
        <v>75</v>
      </c>
    </row>
    <row r="118" spans="1:15" x14ac:dyDescent="0.25">
      <c r="A118" s="31">
        <v>4</v>
      </c>
      <c r="B118" s="4" t="s">
        <v>1374</v>
      </c>
      <c r="C118" s="5">
        <v>1</v>
      </c>
      <c r="D118" s="7">
        <v>0</v>
      </c>
      <c r="E118" s="3">
        <f t="shared" si="42"/>
        <v>1</v>
      </c>
      <c r="F118" s="3" t="s">
        <v>867</v>
      </c>
      <c r="G118" s="77"/>
      <c r="H118" s="5" t="s">
        <v>1</v>
      </c>
      <c r="I118" s="78">
        <f t="shared" si="43"/>
        <v>0</v>
      </c>
      <c r="J118" s="110">
        <f t="shared" si="44"/>
        <v>75</v>
      </c>
      <c r="K118" s="4">
        <v>0.9</v>
      </c>
      <c r="L118" s="5" t="s">
        <v>1</v>
      </c>
      <c r="M118" s="80">
        <f t="shared" si="45"/>
        <v>0.9</v>
      </c>
      <c r="N118" s="78">
        <f t="shared" si="46"/>
        <v>67.5</v>
      </c>
      <c r="O118" s="78">
        <f t="shared" si="47"/>
        <v>67.5</v>
      </c>
    </row>
    <row r="119" spans="1:15" x14ac:dyDescent="0.25">
      <c r="A119" s="31">
        <v>5</v>
      </c>
      <c r="B119" s="4" t="s">
        <v>1373</v>
      </c>
      <c r="C119" s="5">
        <v>1</v>
      </c>
      <c r="D119" s="7">
        <v>0</v>
      </c>
      <c r="E119" s="3">
        <f t="shared" si="42"/>
        <v>1</v>
      </c>
      <c r="F119" s="3" t="s">
        <v>867</v>
      </c>
      <c r="G119" s="77"/>
      <c r="H119" s="5" t="s">
        <v>1</v>
      </c>
      <c r="I119" s="78">
        <f t="shared" si="43"/>
        <v>0</v>
      </c>
      <c r="J119" s="110">
        <f t="shared" si="44"/>
        <v>75</v>
      </c>
      <c r="K119" s="4">
        <v>1.1000000000000001</v>
      </c>
      <c r="L119" s="5" t="s">
        <v>1</v>
      </c>
      <c r="M119" s="80">
        <f t="shared" si="45"/>
        <v>1.1000000000000001</v>
      </c>
      <c r="N119" s="78">
        <f t="shared" si="46"/>
        <v>82.5</v>
      </c>
      <c r="O119" s="78">
        <f t="shared" si="47"/>
        <v>82.5</v>
      </c>
    </row>
    <row r="120" spans="1:15" x14ac:dyDescent="0.25">
      <c r="A120" s="31">
        <v>6</v>
      </c>
      <c r="B120" s="4" t="s">
        <v>1372</v>
      </c>
      <c r="C120" s="5">
        <v>1</v>
      </c>
      <c r="D120" s="7">
        <v>0</v>
      </c>
      <c r="E120" s="3">
        <f t="shared" si="42"/>
        <v>1</v>
      </c>
      <c r="F120" s="3" t="s">
        <v>867</v>
      </c>
      <c r="G120" s="77"/>
      <c r="H120" s="5" t="s">
        <v>1</v>
      </c>
      <c r="I120" s="78">
        <f t="shared" si="43"/>
        <v>0</v>
      </c>
      <c r="J120" s="110">
        <f t="shared" si="44"/>
        <v>75</v>
      </c>
      <c r="K120" s="4">
        <v>1.5</v>
      </c>
      <c r="L120" s="5" t="s">
        <v>1</v>
      </c>
      <c r="M120" s="80">
        <f t="shared" si="45"/>
        <v>1.5</v>
      </c>
      <c r="N120" s="78">
        <f t="shared" si="46"/>
        <v>112.5</v>
      </c>
      <c r="O120" s="78">
        <f t="shared" si="47"/>
        <v>112.5</v>
      </c>
    </row>
    <row r="121" spans="1:15" x14ac:dyDescent="0.25">
      <c r="A121" s="31">
        <v>7</v>
      </c>
      <c r="B121" s="4" t="s">
        <v>1371</v>
      </c>
      <c r="C121" s="5">
        <v>1</v>
      </c>
      <c r="D121" s="7">
        <v>0</v>
      </c>
      <c r="E121" s="3">
        <f t="shared" si="42"/>
        <v>1</v>
      </c>
      <c r="F121" s="3" t="s">
        <v>867</v>
      </c>
      <c r="G121" s="77"/>
      <c r="H121" s="5" t="s">
        <v>1</v>
      </c>
      <c r="I121" s="78">
        <f t="shared" si="43"/>
        <v>0</v>
      </c>
      <c r="J121" s="110">
        <f t="shared" si="44"/>
        <v>75</v>
      </c>
      <c r="K121" s="4">
        <v>2.15</v>
      </c>
      <c r="L121" s="5" t="s">
        <v>1</v>
      </c>
      <c r="M121" s="80">
        <f t="shared" si="45"/>
        <v>2.15</v>
      </c>
      <c r="N121" s="78">
        <f t="shared" si="46"/>
        <v>161.25</v>
      </c>
      <c r="O121" s="78">
        <f t="shared" si="47"/>
        <v>161.25</v>
      </c>
    </row>
    <row r="122" spans="1:15" x14ac:dyDescent="0.25">
      <c r="A122" s="31">
        <v>8</v>
      </c>
      <c r="B122" s="4" t="s">
        <v>1370</v>
      </c>
      <c r="C122" s="5">
        <v>1</v>
      </c>
      <c r="D122" s="7">
        <v>0</v>
      </c>
      <c r="E122" s="3">
        <f t="shared" si="42"/>
        <v>1</v>
      </c>
      <c r="F122" s="3" t="s">
        <v>867</v>
      </c>
      <c r="G122" s="77"/>
      <c r="H122" s="5" t="s">
        <v>1</v>
      </c>
      <c r="I122" s="78">
        <f t="shared" si="43"/>
        <v>0</v>
      </c>
      <c r="J122" s="110">
        <f t="shared" si="44"/>
        <v>75</v>
      </c>
      <c r="K122" s="4">
        <v>3.5</v>
      </c>
      <c r="L122" s="5" t="s">
        <v>1</v>
      </c>
      <c r="M122" s="80">
        <f t="shared" si="45"/>
        <v>3.5</v>
      </c>
      <c r="N122" s="78">
        <f t="shared" si="46"/>
        <v>262.5</v>
      </c>
      <c r="O122" s="78">
        <f t="shared" si="47"/>
        <v>262.5</v>
      </c>
    </row>
    <row r="123" spans="1:15" x14ac:dyDescent="0.25">
      <c r="A123" s="31">
        <v>9</v>
      </c>
      <c r="B123" s="4" t="s">
        <v>1369</v>
      </c>
      <c r="C123" s="5">
        <v>1</v>
      </c>
      <c r="D123" s="7">
        <v>0</v>
      </c>
      <c r="E123" s="3">
        <f t="shared" si="42"/>
        <v>1</v>
      </c>
      <c r="F123" s="3" t="s">
        <v>867</v>
      </c>
      <c r="G123" s="77"/>
      <c r="H123" s="5" t="s">
        <v>1</v>
      </c>
      <c r="I123" s="78">
        <f t="shared" si="43"/>
        <v>0</v>
      </c>
      <c r="J123" s="110">
        <f t="shared" si="44"/>
        <v>75</v>
      </c>
      <c r="K123" s="4">
        <v>4.25</v>
      </c>
      <c r="L123" s="5" t="s">
        <v>1</v>
      </c>
      <c r="M123" s="80">
        <f t="shared" si="45"/>
        <v>4.25</v>
      </c>
      <c r="N123" s="78">
        <f t="shared" si="46"/>
        <v>318.75</v>
      </c>
      <c r="O123" s="78">
        <f t="shared" si="47"/>
        <v>318.75</v>
      </c>
    </row>
    <row r="124" spans="1:15" x14ac:dyDescent="0.25">
      <c r="A124" s="31">
        <v>10</v>
      </c>
      <c r="B124" s="4" t="s">
        <v>1368</v>
      </c>
      <c r="C124" s="5">
        <v>1</v>
      </c>
      <c r="D124" s="7">
        <v>0</v>
      </c>
      <c r="E124" s="3">
        <f t="shared" si="42"/>
        <v>1</v>
      </c>
      <c r="F124" s="3" t="s">
        <v>867</v>
      </c>
      <c r="G124" s="77"/>
      <c r="H124" s="5" t="s">
        <v>1</v>
      </c>
      <c r="I124" s="78">
        <f t="shared" si="43"/>
        <v>0</v>
      </c>
      <c r="J124" s="110">
        <f t="shared" si="44"/>
        <v>75</v>
      </c>
      <c r="K124" s="4">
        <v>6</v>
      </c>
      <c r="L124" s="5" t="s">
        <v>1</v>
      </c>
      <c r="M124" s="80">
        <f t="shared" si="45"/>
        <v>6</v>
      </c>
      <c r="N124" s="78">
        <f t="shared" si="46"/>
        <v>450</v>
      </c>
      <c r="O124" s="78">
        <f t="shared" si="47"/>
        <v>450</v>
      </c>
    </row>
    <row r="125" spans="1:15" x14ac:dyDescent="0.25">
      <c r="A125" s="31">
        <v>11</v>
      </c>
      <c r="B125" s="4" t="s">
        <v>1367</v>
      </c>
      <c r="C125" s="5">
        <v>1</v>
      </c>
      <c r="D125" s="7">
        <v>0</v>
      </c>
      <c r="E125" s="3">
        <f t="shared" si="42"/>
        <v>1</v>
      </c>
      <c r="F125" s="3" t="s">
        <v>867</v>
      </c>
      <c r="G125" s="77"/>
      <c r="H125" s="5" t="s">
        <v>1</v>
      </c>
      <c r="I125" s="78">
        <f t="shared" si="43"/>
        <v>0</v>
      </c>
      <c r="J125" s="110">
        <f t="shared" si="44"/>
        <v>75</v>
      </c>
      <c r="K125" s="4">
        <v>9</v>
      </c>
      <c r="L125" s="5" t="s">
        <v>1</v>
      </c>
      <c r="M125" s="80">
        <f t="shared" si="45"/>
        <v>9</v>
      </c>
      <c r="N125" s="78">
        <f t="shared" si="46"/>
        <v>675</v>
      </c>
      <c r="O125" s="78">
        <f t="shared" si="47"/>
        <v>675</v>
      </c>
    </row>
    <row r="126" spans="1:15" x14ac:dyDescent="0.25">
      <c r="A126" s="31">
        <v>12</v>
      </c>
      <c r="B126" s="4" t="s">
        <v>1366</v>
      </c>
      <c r="C126" s="5">
        <v>1</v>
      </c>
      <c r="D126" s="7">
        <v>0</v>
      </c>
      <c r="E126" s="3">
        <f t="shared" si="42"/>
        <v>1</v>
      </c>
      <c r="F126" s="3" t="s">
        <v>867</v>
      </c>
      <c r="G126" s="77"/>
      <c r="H126" s="5" t="s">
        <v>1</v>
      </c>
      <c r="I126" s="78">
        <f t="shared" si="43"/>
        <v>0</v>
      </c>
      <c r="J126" s="110">
        <f t="shared" si="44"/>
        <v>75</v>
      </c>
      <c r="K126" s="4">
        <v>12</v>
      </c>
      <c r="L126" s="5" t="s">
        <v>1</v>
      </c>
      <c r="M126" s="80">
        <f t="shared" si="45"/>
        <v>12</v>
      </c>
      <c r="N126" s="78">
        <f t="shared" si="46"/>
        <v>900</v>
      </c>
      <c r="O126" s="78">
        <f t="shared" si="47"/>
        <v>900</v>
      </c>
    </row>
    <row r="127" spans="1:15" x14ac:dyDescent="0.25">
      <c r="A127" s="31">
        <v>13</v>
      </c>
      <c r="B127" s="4" t="s">
        <v>1365</v>
      </c>
      <c r="C127" s="5">
        <v>1</v>
      </c>
      <c r="D127" s="7">
        <v>0</v>
      </c>
      <c r="E127" s="3">
        <f t="shared" si="42"/>
        <v>1</v>
      </c>
      <c r="F127" s="3" t="s">
        <v>867</v>
      </c>
      <c r="G127" s="77"/>
      <c r="H127" s="5" t="s">
        <v>1</v>
      </c>
      <c r="I127" s="78">
        <f t="shared" si="43"/>
        <v>0</v>
      </c>
      <c r="J127" s="110">
        <f t="shared" si="44"/>
        <v>75</v>
      </c>
      <c r="K127" s="4">
        <v>16</v>
      </c>
      <c r="L127" s="5" t="s">
        <v>1</v>
      </c>
      <c r="M127" s="80">
        <f t="shared" si="45"/>
        <v>16</v>
      </c>
      <c r="N127" s="78">
        <f t="shared" si="46"/>
        <v>1200</v>
      </c>
      <c r="O127" s="78">
        <f t="shared" si="47"/>
        <v>1200</v>
      </c>
    </row>
    <row r="128" spans="1:15" ht="15.75" thickBot="1" x14ac:dyDescent="0.3">
      <c r="A128" s="31"/>
      <c r="B128" s="255"/>
      <c r="C128" s="256"/>
      <c r="D128" s="256"/>
      <c r="E128" s="256"/>
      <c r="F128" s="256"/>
      <c r="G128" s="256"/>
      <c r="H128" s="256"/>
      <c r="I128" s="256"/>
      <c r="J128" s="256"/>
      <c r="K128" s="256"/>
      <c r="L128" s="256"/>
      <c r="M128" s="256"/>
      <c r="N128" s="256"/>
      <c r="O128" s="257"/>
    </row>
    <row r="129" spans="1:15" ht="15.75" thickBot="1" x14ac:dyDescent="0.3">
      <c r="A129" s="60" t="s">
        <v>1262</v>
      </c>
      <c r="B129" s="120" t="s">
        <v>1364</v>
      </c>
      <c r="C129" s="5"/>
      <c r="D129" s="7"/>
      <c r="E129" s="3"/>
      <c r="F129" s="3"/>
      <c r="G129" s="9"/>
      <c r="H129" s="5"/>
      <c r="I129" s="9"/>
      <c r="J129" s="9"/>
      <c r="K129" s="15"/>
      <c r="L129" s="5"/>
      <c r="M129" s="15"/>
      <c r="N129" s="4"/>
      <c r="O129" s="4"/>
    </row>
    <row r="130" spans="1:15" x14ac:dyDescent="0.25">
      <c r="A130" s="31">
        <v>1</v>
      </c>
      <c r="B130" s="4" t="s">
        <v>1363</v>
      </c>
      <c r="C130" s="5">
        <v>1</v>
      </c>
      <c r="D130" s="7">
        <v>0</v>
      </c>
      <c r="E130" s="3">
        <f t="shared" ref="E130:E135" si="48">C130+(C130*D130)</f>
        <v>1</v>
      </c>
      <c r="F130" s="3" t="s">
        <v>867</v>
      </c>
      <c r="G130" s="77"/>
      <c r="H130" s="5" t="s">
        <v>1</v>
      </c>
      <c r="I130" s="78">
        <f t="shared" ref="I130:I135" si="49">IF(H130="C",(G130/100)*E130,IF(H130="M",(G130/1000)*E130,G130*E130))</f>
        <v>0</v>
      </c>
      <c r="J130" s="110">
        <f t="shared" ref="J130:J135" si="50">$O$4</f>
        <v>75</v>
      </c>
      <c r="K130" s="4">
        <v>1.25</v>
      </c>
      <c r="L130" s="5" t="s">
        <v>1</v>
      </c>
      <c r="M130" s="80">
        <f t="shared" ref="M130:M135" si="51">IF(L130="C",(K130/100)*E130,IF(L130="M",(K130/1000)*E130,K130*E130))</f>
        <v>1.25</v>
      </c>
      <c r="N130" s="78">
        <f t="shared" ref="N130:N135" si="52">M130*J130</f>
        <v>93.75</v>
      </c>
      <c r="O130" s="78">
        <f t="shared" ref="O130:O135" si="53">N130+I130</f>
        <v>93.75</v>
      </c>
    </row>
    <row r="131" spans="1:15" x14ac:dyDescent="0.25">
      <c r="A131" s="31">
        <v>2</v>
      </c>
      <c r="B131" s="4" t="s">
        <v>1362</v>
      </c>
      <c r="C131" s="5">
        <v>1</v>
      </c>
      <c r="D131" s="7">
        <v>0</v>
      </c>
      <c r="E131" s="3">
        <f t="shared" si="48"/>
        <v>1</v>
      </c>
      <c r="F131" s="3" t="s">
        <v>867</v>
      </c>
      <c r="G131" s="77"/>
      <c r="H131" s="5" t="s">
        <v>1</v>
      </c>
      <c r="I131" s="78">
        <f t="shared" si="49"/>
        <v>0</v>
      </c>
      <c r="J131" s="110">
        <f t="shared" si="50"/>
        <v>75</v>
      </c>
      <c r="K131" s="4">
        <v>1.6</v>
      </c>
      <c r="L131" s="5" t="s">
        <v>1</v>
      </c>
      <c r="M131" s="80">
        <f t="shared" si="51"/>
        <v>1.6</v>
      </c>
      <c r="N131" s="78">
        <f t="shared" si="52"/>
        <v>120</v>
      </c>
      <c r="O131" s="78">
        <f t="shared" si="53"/>
        <v>120</v>
      </c>
    </row>
    <row r="132" spans="1:15" x14ac:dyDescent="0.25">
      <c r="A132" s="31">
        <v>3</v>
      </c>
      <c r="B132" s="4" t="s">
        <v>1361</v>
      </c>
      <c r="C132" s="5">
        <v>1</v>
      </c>
      <c r="D132" s="7">
        <v>0</v>
      </c>
      <c r="E132" s="3">
        <f t="shared" si="48"/>
        <v>1</v>
      </c>
      <c r="F132" s="3" t="s">
        <v>867</v>
      </c>
      <c r="G132" s="77"/>
      <c r="H132" s="5" t="s">
        <v>1</v>
      </c>
      <c r="I132" s="78">
        <f t="shared" si="49"/>
        <v>0</v>
      </c>
      <c r="J132" s="110">
        <f t="shared" si="50"/>
        <v>75</v>
      </c>
      <c r="K132" s="4">
        <v>2</v>
      </c>
      <c r="L132" s="5" t="s">
        <v>1</v>
      </c>
      <c r="M132" s="80">
        <f t="shared" si="51"/>
        <v>2</v>
      </c>
      <c r="N132" s="78">
        <f t="shared" si="52"/>
        <v>150</v>
      </c>
      <c r="O132" s="78">
        <f t="shared" si="53"/>
        <v>150</v>
      </c>
    </row>
    <row r="133" spans="1:15" x14ac:dyDescent="0.25">
      <c r="A133" s="31">
        <v>4</v>
      </c>
      <c r="B133" s="4" t="s">
        <v>1360</v>
      </c>
      <c r="C133" s="5">
        <v>1</v>
      </c>
      <c r="D133" s="7">
        <v>0</v>
      </c>
      <c r="E133" s="3">
        <f t="shared" si="48"/>
        <v>1</v>
      </c>
      <c r="F133" s="3" t="s">
        <v>867</v>
      </c>
      <c r="G133" s="77"/>
      <c r="H133" s="5" t="s">
        <v>1</v>
      </c>
      <c r="I133" s="78">
        <f t="shared" si="49"/>
        <v>0</v>
      </c>
      <c r="J133" s="110">
        <f t="shared" si="50"/>
        <v>75</v>
      </c>
      <c r="K133" s="4">
        <v>2.5</v>
      </c>
      <c r="L133" s="5" t="s">
        <v>1</v>
      </c>
      <c r="M133" s="80">
        <f t="shared" si="51"/>
        <v>2.5</v>
      </c>
      <c r="N133" s="78">
        <f t="shared" si="52"/>
        <v>187.5</v>
      </c>
      <c r="O133" s="78">
        <f t="shared" si="53"/>
        <v>187.5</v>
      </c>
    </row>
    <row r="134" spans="1:15" x14ac:dyDescent="0.25">
      <c r="A134" s="31">
        <v>5</v>
      </c>
      <c r="B134" s="4" t="s">
        <v>1359</v>
      </c>
      <c r="C134" s="5">
        <v>1</v>
      </c>
      <c r="D134" s="7">
        <v>0</v>
      </c>
      <c r="E134" s="3">
        <f t="shared" si="48"/>
        <v>1</v>
      </c>
      <c r="F134" s="3" t="s">
        <v>867</v>
      </c>
      <c r="G134" s="77"/>
      <c r="H134" s="5" t="s">
        <v>1</v>
      </c>
      <c r="I134" s="78">
        <f t="shared" si="49"/>
        <v>0</v>
      </c>
      <c r="J134" s="110">
        <f t="shared" si="50"/>
        <v>75</v>
      </c>
      <c r="K134" s="4">
        <v>4.5</v>
      </c>
      <c r="L134" s="5" t="s">
        <v>1</v>
      </c>
      <c r="M134" s="80">
        <f t="shared" si="51"/>
        <v>4.5</v>
      </c>
      <c r="N134" s="78">
        <f t="shared" si="52"/>
        <v>337.5</v>
      </c>
      <c r="O134" s="78">
        <f t="shared" si="53"/>
        <v>337.5</v>
      </c>
    </row>
    <row r="135" spans="1:15" x14ac:dyDescent="0.25">
      <c r="A135" s="31">
        <v>6</v>
      </c>
      <c r="B135" s="4" t="s">
        <v>1358</v>
      </c>
      <c r="C135" s="5">
        <v>1</v>
      </c>
      <c r="D135" s="7">
        <v>0</v>
      </c>
      <c r="E135" s="3">
        <f t="shared" si="48"/>
        <v>1</v>
      </c>
      <c r="F135" s="3" t="s">
        <v>867</v>
      </c>
      <c r="G135" s="77"/>
      <c r="H135" s="5" t="s">
        <v>1</v>
      </c>
      <c r="I135" s="78">
        <f t="shared" si="49"/>
        <v>0</v>
      </c>
      <c r="J135" s="110">
        <f t="shared" si="50"/>
        <v>75</v>
      </c>
      <c r="K135" s="4">
        <v>6</v>
      </c>
      <c r="L135" s="5" t="s">
        <v>1</v>
      </c>
      <c r="M135" s="80">
        <f t="shared" si="51"/>
        <v>6</v>
      </c>
      <c r="N135" s="78">
        <f t="shared" si="52"/>
        <v>450</v>
      </c>
      <c r="O135" s="78">
        <f t="shared" si="53"/>
        <v>450</v>
      </c>
    </row>
    <row r="136" spans="1:15" ht="15.75" thickBot="1" x14ac:dyDescent="0.3">
      <c r="A136" s="31"/>
      <c r="B136" s="255"/>
      <c r="C136" s="256"/>
      <c r="D136" s="256"/>
      <c r="E136" s="256"/>
      <c r="F136" s="256"/>
      <c r="G136" s="256"/>
      <c r="H136" s="256"/>
      <c r="I136" s="256"/>
      <c r="J136" s="256"/>
      <c r="K136" s="256"/>
      <c r="L136" s="256"/>
      <c r="M136" s="256"/>
      <c r="N136" s="256"/>
      <c r="O136" s="257"/>
    </row>
    <row r="137" spans="1:15" ht="15.75" thickBot="1" x14ac:dyDescent="0.3">
      <c r="A137" s="60" t="s">
        <v>1262</v>
      </c>
      <c r="B137" s="120" t="s">
        <v>1357</v>
      </c>
      <c r="C137" s="5"/>
      <c r="D137" s="7"/>
      <c r="E137" s="3"/>
      <c r="F137" s="3"/>
      <c r="G137" s="9"/>
      <c r="H137" s="5"/>
      <c r="I137" s="9"/>
      <c r="J137" s="9"/>
      <c r="K137" s="15"/>
      <c r="L137" s="5"/>
      <c r="M137" s="15"/>
      <c r="N137" s="4"/>
      <c r="O137" s="4"/>
    </row>
    <row r="138" spans="1:15" x14ac:dyDescent="0.25">
      <c r="A138" s="31">
        <v>1</v>
      </c>
      <c r="B138" s="4" t="s">
        <v>1356</v>
      </c>
      <c r="C138" s="5">
        <v>1</v>
      </c>
      <c r="D138" s="7">
        <v>0</v>
      </c>
      <c r="E138" s="3">
        <f t="shared" ref="E138:E147" si="54">C138+(C138*D138)</f>
        <v>1</v>
      </c>
      <c r="F138" s="3" t="s">
        <v>867</v>
      </c>
      <c r="G138" s="77"/>
      <c r="H138" s="5" t="s">
        <v>1</v>
      </c>
      <c r="I138" s="78">
        <f t="shared" ref="I138:I147" si="55">IF(H138="C",(G138/100)*E138,IF(H138="M",(G138/1000)*E138,G138*E138))</f>
        <v>0</v>
      </c>
      <c r="J138" s="110">
        <f t="shared" ref="J138:J147" si="56">$O$4</f>
        <v>75</v>
      </c>
      <c r="K138" s="4">
        <v>2.5</v>
      </c>
      <c r="L138" s="5" t="s">
        <v>1</v>
      </c>
      <c r="M138" s="80">
        <f t="shared" ref="M138:M147" si="57">IF(L138="C",(K138/100)*E138,IF(L138="M",(K138/1000)*E138,K138*E138))</f>
        <v>2.5</v>
      </c>
      <c r="N138" s="78">
        <f t="shared" ref="N138:N147" si="58">M138*J138</f>
        <v>187.5</v>
      </c>
      <c r="O138" s="78">
        <f t="shared" ref="O138:O147" si="59">N138+I138</f>
        <v>187.5</v>
      </c>
    </row>
    <row r="139" spans="1:15" x14ac:dyDescent="0.25">
      <c r="A139" s="31">
        <v>2</v>
      </c>
      <c r="B139" s="4" t="s">
        <v>1355</v>
      </c>
      <c r="C139" s="5">
        <v>1</v>
      </c>
      <c r="D139" s="7">
        <v>0</v>
      </c>
      <c r="E139" s="3">
        <f t="shared" si="54"/>
        <v>1</v>
      </c>
      <c r="F139" s="3" t="s">
        <v>867</v>
      </c>
      <c r="G139" s="77"/>
      <c r="H139" s="5" t="s">
        <v>1</v>
      </c>
      <c r="I139" s="78">
        <f t="shared" si="55"/>
        <v>0</v>
      </c>
      <c r="J139" s="110">
        <f t="shared" si="56"/>
        <v>75</v>
      </c>
      <c r="K139" s="4">
        <v>3</v>
      </c>
      <c r="L139" s="5" t="s">
        <v>1</v>
      </c>
      <c r="M139" s="80">
        <f t="shared" si="57"/>
        <v>3</v>
      </c>
      <c r="N139" s="78">
        <f t="shared" si="58"/>
        <v>225</v>
      </c>
      <c r="O139" s="78">
        <f t="shared" si="59"/>
        <v>225</v>
      </c>
    </row>
    <row r="140" spans="1:15" x14ac:dyDescent="0.25">
      <c r="A140" s="31">
        <v>3</v>
      </c>
      <c r="B140" s="4" t="s">
        <v>1354</v>
      </c>
      <c r="C140" s="5">
        <v>1</v>
      </c>
      <c r="D140" s="7">
        <v>0</v>
      </c>
      <c r="E140" s="3">
        <f t="shared" si="54"/>
        <v>1</v>
      </c>
      <c r="F140" s="3" t="s">
        <v>867</v>
      </c>
      <c r="G140" s="77"/>
      <c r="H140" s="5" t="s">
        <v>1</v>
      </c>
      <c r="I140" s="78">
        <f t="shared" si="55"/>
        <v>0</v>
      </c>
      <c r="J140" s="110">
        <f t="shared" si="56"/>
        <v>75</v>
      </c>
      <c r="K140" s="4">
        <v>3.5</v>
      </c>
      <c r="L140" s="5" t="s">
        <v>1</v>
      </c>
      <c r="M140" s="80">
        <f t="shared" si="57"/>
        <v>3.5</v>
      </c>
      <c r="N140" s="78">
        <f t="shared" si="58"/>
        <v>262.5</v>
      </c>
      <c r="O140" s="78">
        <f t="shared" si="59"/>
        <v>262.5</v>
      </c>
    </row>
    <row r="141" spans="1:15" x14ac:dyDescent="0.25">
      <c r="A141" s="31">
        <v>4</v>
      </c>
      <c r="B141" s="4" t="s">
        <v>1353</v>
      </c>
      <c r="C141" s="5">
        <v>1</v>
      </c>
      <c r="D141" s="7">
        <v>0</v>
      </c>
      <c r="E141" s="3">
        <f t="shared" si="54"/>
        <v>1</v>
      </c>
      <c r="F141" s="3" t="s">
        <v>867</v>
      </c>
      <c r="G141" s="77"/>
      <c r="H141" s="5" t="s">
        <v>1</v>
      </c>
      <c r="I141" s="78">
        <f t="shared" si="55"/>
        <v>0</v>
      </c>
      <c r="J141" s="110">
        <f t="shared" si="56"/>
        <v>75</v>
      </c>
      <c r="K141" s="4">
        <v>4</v>
      </c>
      <c r="L141" s="5" t="s">
        <v>1</v>
      </c>
      <c r="M141" s="80">
        <f t="shared" si="57"/>
        <v>4</v>
      </c>
      <c r="N141" s="78">
        <f t="shared" si="58"/>
        <v>300</v>
      </c>
      <c r="O141" s="78">
        <f t="shared" si="59"/>
        <v>300</v>
      </c>
    </row>
    <row r="142" spans="1:15" x14ac:dyDescent="0.25">
      <c r="A142" s="31">
        <v>5</v>
      </c>
      <c r="B142" s="4" t="s">
        <v>1352</v>
      </c>
      <c r="C142" s="5">
        <v>1</v>
      </c>
      <c r="D142" s="7">
        <v>0</v>
      </c>
      <c r="E142" s="3">
        <f t="shared" si="54"/>
        <v>1</v>
      </c>
      <c r="F142" s="3" t="s">
        <v>867</v>
      </c>
      <c r="G142" s="77"/>
      <c r="H142" s="5" t="s">
        <v>1</v>
      </c>
      <c r="I142" s="78">
        <f t="shared" si="55"/>
        <v>0</v>
      </c>
      <c r="J142" s="110">
        <f t="shared" si="56"/>
        <v>75</v>
      </c>
      <c r="K142" s="4">
        <v>5</v>
      </c>
      <c r="L142" s="5" t="s">
        <v>1</v>
      </c>
      <c r="M142" s="80">
        <f t="shared" si="57"/>
        <v>5</v>
      </c>
      <c r="N142" s="78">
        <f t="shared" si="58"/>
        <v>375</v>
      </c>
      <c r="O142" s="78">
        <f t="shared" si="59"/>
        <v>375</v>
      </c>
    </row>
    <row r="143" spans="1:15" x14ac:dyDescent="0.25">
      <c r="A143" s="31">
        <v>6</v>
      </c>
      <c r="B143" s="4" t="s">
        <v>1351</v>
      </c>
      <c r="C143" s="5">
        <v>1</v>
      </c>
      <c r="D143" s="7">
        <v>0</v>
      </c>
      <c r="E143" s="3">
        <f t="shared" si="54"/>
        <v>1</v>
      </c>
      <c r="F143" s="3" t="s">
        <v>867</v>
      </c>
      <c r="G143" s="77"/>
      <c r="H143" s="5" t="s">
        <v>1</v>
      </c>
      <c r="I143" s="78">
        <f t="shared" si="55"/>
        <v>0</v>
      </c>
      <c r="J143" s="110">
        <f t="shared" si="56"/>
        <v>75</v>
      </c>
      <c r="K143" s="4">
        <v>6</v>
      </c>
      <c r="L143" s="5" t="s">
        <v>1</v>
      </c>
      <c r="M143" s="80">
        <f t="shared" si="57"/>
        <v>6</v>
      </c>
      <c r="N143" s="78">
        <f t="shared" si="58"/>
        <v>450</v>
      </c>
      <c r="O143" s="78">
        <f t="shared" si="59"/>
        <v>450</v>
      </c>
    </row>
    <row r="144" spans="1:15" x14ac:dyDescent="0.25">
      <c r="A144" s="31">
        <v>7</v>
      </c>
      <c r="B144" s="4" t="s">
        <v>1350</v>
      </c>
      <c r="C144" s="5">
        <v>1</v>
      </c>
      <c r="D144" s="7">
        <v>0</v>
      </c>
      <c r="E144" s="3">
        <f t="shared" si="54"/>
        <v>1</v>
      </c>
      <c r="F144" s="3" t="s">
        <v>867</v>
      </c>
      <c r="G144" s="77"/>
      <c r="H144" s="5" t="s">
        <v>1</v>
      </c>
      <c r="I144" s="78">
        <f t="shared" si="55"/>
        <v>0</v>
      </c>
      <c r="J144" s="110">
        <f t="shared" si="56"/>
        <v>75</v>
      </c>
      <c r="K144" s="4">
        <v>7</v>
      </c>
      <c r="L144" s="5" t="s">
        <v>1</v>
      </c>
      <c r="M144" s="80">
        <f t="shared" si="57"/>
        <v>7</v>
      </c>
      <c r="N144" s="78">
        <f t="shared" si="58"/>
        <v>525</v>
      </c>
      <c r="O144" s="78">
        <f t="shared" si="59"/>
        <v>525</v>
      </c>
    </row>
    <row r="145" spans="1:15" x14ac:dyDescent="0.25">
      <c r="A145" s="31">
        <v>8</v>
      </c>
      <c r="B145" s="4" t="s">
        <v>1349</v>
      </c>
      <c r="C145" s="5">
        <v>1</v>
      </c>
      <c r="D145" s="7">
        <v>0</v>
      </c>
      <c r="E145" s="3">
        <f t="shared" si="54"/>
        <v>1</v>
      </c>
      <c r="F145" s="3" t="s">
        <v>867</v>
      </c>
      <c r="G145" s="77"/>
      <c r="H145" s="5" t="s">
        <v>1</v>
      </c>
      <c r="I145" s="78">
        <f t="shared" si="55"/>
        <v>0</v>
      </c>
      <c r="J145" s="110">
        <f t="shared" si="56"/>
        <v>75</v>
      </c>
      <c r="K145" s="4">
        <v>8</v>
      </c>
      <c r="L145" s="5" t="s">
        <v>1</v>
      </c>
      <c r="M145" s="80">
        <f t="shared" si="57"/>
        <v>8</v>
      </c>
      <c r="N145" s="78">
        <f t="shared" si="58"/>
        <v>600</v>
      </c>
      <c r="O145" s="78">
        <f t="shared" si="59"/>
        <v>600</v>
      </c>
    </row>
    <row r="146" spans="1:15" x14ac:dyDescent="0.25">
      <c r="A146" s="31">
        <v>9</v>
      </c>
      <c r="B146" s="4" t="s">
        <v>1348</v>
      </c>
      <c r="C146" s="5">
        <v>1</v>
      </c>
      <c r="D146" s="7">
        <v>0</v>
      </c>
      <c r="E146" s="3">
        <f t="shared" si="54"/>
        <v>1</v>
      </c>
      <c r="F146" s="3" t="s">
        <v>867</v>
      </c>
      <c r="G146" s="77"/>
      <c r="H146" s="5" t="s">
        <v>1</v>
      </c>
      <c r="I146" s="78">
        <f t="shared" si="55"/>
        <v>0</v>
      </c>
      <c r="J146" s="110">
        <f t="shared" si="56"/>
        <v>75</v>
      </c>
      <c r="K146" s="4">
        <v>9</v>
      </c>
      <c r="L146" s="5" t="s">
        <v>1</v>
      </c>
      <c r="M146" s="80">
        <f t="shared" si="57"/>
        <v>9</v>
      </c>
      <c r="N146" s="78">
        <f t="shared" si="58"/>
        <v>675</v>
      </c>
      <c r="O146" s="78">
        <f t="shared" si="59"/>
        <v>675</v>
      </c>
    </row>
    <row r="147" spans="1:15" x14ac:dyDescent="0.25">
      <c r="A147" s="31">
        <v>10</v>
      </c>
      <c r="B147" s="4" t="s">
        <v>1347</v>
      </c>
      <c r="C147" s="5">
        <v>1</v>
      </c>
      <c r="D147" s="7">
        <v>0</v>
      </c>
      <c r="E147" s="3">
        <f t="shared" si="54"/>
        <v>1</v>
      </c>
      <c r="F147" s="3" t="s">
        <v>867</v>
      </c>
      <c r="G147" s="77"/>
      <c r="H147" s="5" t="s">
        <v>1</v>
      </c>
      <c r="I147" s="78">
        <f t="shared" si="55"/>
        <v>0</v>
      </c>
      <c r="J147" s="110">
        <f t="shared" si="56"/>
        <v>75</v>
      </c>
      <c r="K147" s="4">
        <v>11</v>
      </c>
      <c r="L147" s="5" t="s">
        <v>1</v>
      </c>
      <c r="M147" s="80">
        <f t="shared" si="57"/>
        <v>11</v>
      </c>
      <c r="N147" s="78">
        <f t="shared" si="58"/>
        <v>825</v>
      </c>
      <c r="O147" s="78">
        <f t="shared" si="59"/>
        <v>825</v>
      </c>
    </row>
    <row r="148" spans="1:15" ht="15.75" thickBot="1" x14ac:dyDescent="0.3">
      <c r="A148" s="31"/>
      <c r="B148" s="255"/>
      <c r="C148" s="256"/>
      <c r="D148" s="256"/>
      <c r="E148" s="256"/>
      <c r="F148" s="256"/>
      <c r="G148" s="256"/>
      <c r="H148" s="256"/>
      <c r="I148" s="256"/>
      <c r="J148" s="256"/>
      <c r="K148" s="256"/>
      <c r="L148" s="256"/>
      <c r="M148" s="256"/>
      <c r="N148" s="256"/>
      <c r="O148" s="257"/>
    </row>
    <row r="149" spans="1:15" ht="15.75" thickBot="1" x14ac:dyDescent="0.3">
      <c r="A149" s="60" t="s">
        <v>1262</v>
      </c>
      <c r="B149" s="120" t="s">
        <v>1346</v>
      </c>
      <c r="C149" s="5"/>
      <c r="D149" s="7"/>
      <c r="E149" s="3"/>
      <c r="F149" s="3"/>
      <c r="G149" s="9"/>
      <c r="H149" s="5"/>
      <c r="I149" s="9"/>
      <c r="J149" s="9"/>
      <c r="K149" s="15"/>
      <c r="L149" s="5"/>
      <c r="M149" s="15"/>
      <c r="N149" s="4"/>
      <c r="O149" s="4"/>
    </row>
    <row r="150" spans="1:15" x14ac:dyDescent="0.25">
      <c r="A150" s="31">
        <v>1</v>
      </c>
      <c r="B150" s="4" t="s">
        <v>1345</v>
      </c>
      <c r="C150" s="5">
        <v>1</v>
      </c>
      <c r="D150" s="7">
        <v>0</v>
      </c>
      <c r="E150" s="3">
        <f t="shared" ref="E150:E161" si="60">C150+(C150*D150)</f>
        <v>1</v>
      </c>
      <c r="F150" s="3" t="s">
        <v>867</v>
      </c>
      <c r="G150" s="77"/>
      <c r="H150" s="5" t="s">
        <v>1</v>
      </c>
      <c r="I150" s="78">
        <f t="shared" ref="I150:I161" si="61">IF(H150="C",(G150/100)*E150,IF(H150="M",(G150/1000)*E150,G150*E150))</f>
        <v>0</v>
      </c>
      <c r="J150" s="110">
        <f t="shared" ref="J150:J161" si="62">$O$4</f>
        <v>75</v>
      </c>
      <c r="K150" s="4">
        <v>2</v>
      </c>
      <c r="L150" s="5" t="s">
        <v>1</v>
      </c>
      <c r="M150" s="80">
        <f t="shared" ref="M150:M161" si="63">IF(L150="C",(K150/100)*E150,IF(L150="M",(K150/1000)*E150,K150*E150))</f>
        <v>2</v>
      </c>
      <c r="N150" s="78">
        <f t="shared" ref="N150:N161" si="64">M150*J150</f>
        <v>150</v>
      </c>
      <c r="O150" s="78">
        <f t="shared" ref="O150:O161" si="65">N150+I150</f>
        <v>150</v>
      </c>
    </row>
    <row r="151" spans="1:15" x14ac:dyDescent="0.25">
      <c r="A151" s="31">
        <v>2</v>
      </c>
      <c r="B151" s="4" t="s">
        <v>1344</v>
      </c>
      <c r="C151" s="5">
        <v>1</v>
      </c>
      <c r="D151" s="7">
        <v>0</v>
      </c>
      <c r="E151" s="3">
        <f t="shared" si="60"/>
        <v>1</v>
      </c>
      <c r="F151" s="3" t="s">
        <v>867</v>
      </c>
      <c r="G151" s="77"/>
      <c r="H151" s="5" t="s">
        <v>1</v>
      </c>
      <c r="I151" s="78">
        <f t="shared" si="61"/>
        <v>0</v>
      </c>
      <c r="J151" s="110">
        <f t="shared" si="62"/>
        <v>75</v>
      </c>
      <c r="K151" s="4">
        <v>2.5</v>
      </c>
      <c r="L151" s="5" t="s">
        <v>1</v>
      </c>
      <c r="M151" s="80">
        <f t="shared" si="63"/>
        <v>2.5</v>
      </c>
      <c r="N151" s="78">
        <f t="shared" si="64"/>
        <v>187.5</v>
      </c>
      <c r="O151" s="78">
        <f t="shared" si="65"/>
        <v>187.5</v>
      </c>
    </row>
    <row r="152" spans="1:15" x14ac:dyDescent="0.25">
      <c r="A152" s="31">
        <v>3</v>
      </c>
      <c r="B152" s="4" t="s">
        <v>1343</v>
      </c>
      <c r="C152" s="5">
        <v>1</v>
      </c>
      <c r="D152" s="7">
        <v>0</v>
      </c>
      <c r="E152" s="3">
        <f t="shared" si="60"/>
        <v>1</v>
      </c>
      <c r="F152" s="3" t="s">
        <v>867</v>
      </c>
      <c r="G152" s="77"/>
      <c r="H152" s="5" t="s">
        <v>1</v>
      </c>
      <c r="I152" s="78">
        <f t="shared" si="61"/>
        <v>0</v>
      </c>
      <c r="J152" s="110">
        <f t="shared" si="62"/>
        <v>75</v>
      </c>
      <c r="K152" s="4">
        <v>3</v>
      </c>
      <c r="L152" s="5" t="s">
        <v>1</v>
      </c>
      <c r="M152" s="80">
        <f t="shared" si="63"/>
        <v>3</v>
      </c>
      <c r="N152" s="78">
        <f t="shared" si="64"/>
        <v>225</v>
      </c>
      <c r="O152" s="78">
        <f t="shared" si="65"/>
        <v>225</v>
      </c>
    </row>
    <row r="153" spans="1:15" x14ac:dyDescent="0.25">
      <c r="A153" s="31">
        <v>4</v>
      </c>
      <c r="B153" s="4" t="s">
        <v>1342</v>
      </c>
      <c r="C153" s="5">
        <v>1</v>
      </c>
      <c r="D153" s="7">
        <v>0</v>
      </c>
      <c r="E153" s="3">
        <f t="shared" si="60"/>
        <v>1</v>
      </c>
      <c r="F153" s="3" t="s">
        <v>867</v>
      </c>
      <c r="G153" s="77"/>
      <c r="H153" s="5" t="s">
        <v>1</v>
      </c>
      <c r="I153" s="78">
        <f t="shared" si="61"/>
        <v>0</v>
      </c>
      <c r="J153" s="110">
        <f t="shared" si="62"/>
        <v>75</v>
      </c>
      <c r="K153" s="4">
        <v>3.5</v>
      </c>
      <c r="L153" s="5" t="s">
        <v>1</v>
      </c>
      <c r="M153" s="80">
        <f t="shared" si="63"/>
        <v>3.5</v>
      </c>
      <c r="N153" s="78">
        <f t="shared" si="64"/>
        <v>262.5</v>
      </c>
      <c r="O153" s="78">
        <f t="shared" si="65"/>
        <v>262.5</v>
      </c>
    </row>
    <row r="154" spans="1:15" x14ac:dyDescent="0.25">
      <c r="A154" s="31">
        <v>5</v>
      </c>
      <c r="B154" s="4" t="s">
        <v>1341</v>
      </c>
      <c r="C154" s="5">
        <v>1</v>
      </c>
      <c r="D154" s="7">
        <v>0</v>
      </c>
      <c r="E154" s="3">
        <f t="shared" si="60"/>
        <v>1</v>
      </c>
      <c r="F154" s="3" t="s">
        <v>867</v>
      </c>
      <c r="G154" s="77"/>
      <c r="H154" s="5" t="s">
        <v>1</v>
      </c>
      <c r="I154" s="78">
        <f t="shared" si="61"/>
        <v>0</v>
      </c>
      <c r="J154" s="110">
        <f t="shared" si="62"/>
        <v>75</v>
      </c>
      <c r="K154" s="4">
        <v>4</v>
      </c>
      <c r="L154" s="5" t="s">
        <v>1</v>
      </c>
      <c r="M154" s="80">
        <f t="shared" si="63"/>
        <v>4</v>
      </c>
      <c r="N154" s="78">
        <f t="shared" si="64"/>
        <v>300</v>
      </c>
      <c r="O154" s="78">
        <f t="shared" si="65"/>
        <v>300</v>
      </c>
    </row>
    <row r="155" spans="1:15" x14ac:dyDescent="0.25">
      <c r="A155" s="31">
        <v>6</v>
      </c>
      <c r="B155" s="4" t="s">
        <v>1340</v>
      </c>
      <c r="C155" s="5">
        <v>1</v>
      </c>
      <c r="D155" s="7">
        <v>0</v>
      </c>
      <c r="E155" s="3">
        <f t="shared" si="60"/>
        <v>1</v>
      </c>
      <c r="F155" s="3" t="s">
        <v>867</v>
      </c>
      <c r="G155" s="77"/>
      <c r="H155" s="5" t="s">
        <v>1</v>
      </c>
      <c r="I155" s="78">
        <f t="shared" si="61"/>
        <v>0</v>
      </c>
      <c r="J155" s="110">
        <f t="shared" si="62"/>
        <v>75</v>
      </c>
      <c r="K155" s="4">
        <v>5</v>
      </c>
      <c r="L155" s="5" t="s">
        <v>1</v>
      </c>
      <c r="M155" s="80">
        <f t="shared" si="63"/>
        <v>5</v>
      </c>
      <c r="N155" s="78">
        <f t="shared" si="64"/>
        <v>375</v>
      </c>
      <c r="O155" s="78">
        <f t="shared" si="65"/>
        <v>375</v>
      </c>
    </row>
    <row r="156" spans="1:15" x14ac:dyDescent="0.25">
      <c r="A156" s="31">
        <v>7</v>
      </c>
      <c r="B156" s="4" t="s">
        <v>1339</v>
      </c>
      <c r="C156" s="5">
        <v>1</v>
      </c>
      <c r="D156" s="7">
        <v>0</v>
      </c>
      <c r="E156" s="3">
        <f t="shared" si="60"/>
        <v>1</v>
      </c>
      <c r="F156" s="3" t="s">
        <v>867</v>
      </c>
      <c r="G156" s="77"/>
      <c r="H156" s="5" t="s">
        <v>1</v>
      </c>
      <c r="I156" s="78">
        <f t="shared" si="61"/>
        <v>0</v>
      </c>
      <c r="J156" s="110">
        <f t="shared" si="62"/>
        <v>75</v>
      </c>
      <c r="K156" s="4">
        <v>6</v>
      </c>
      <c r="L156" s="5" t="s">
        <v>1</v>
      </c>
      <c r="M156" s="80">
        <f t="shared" si="63"/>
        <v>6</v>
      </c>
      <c r="N156" s="78">
        <f t="shared" si="64"/>
        <v>450</v>
      </c>
      <c r="O156" s="78">
        <f t="shared" si="65"/>
        <v>450</v>
      </c>
    </row>
    <row r="157" spans="1:15" x14ac:dyDescent="0.25">
      <c r="A157" s="31">
        <v>8</v>
      </c>
      <c r="B157" s="4" t="s">
        <v>1338</v>
      </c>
      <c r="C157" s="5">
        <v>1</v>
      </c>
      <c r="D157" s="7">
        <v>0</v>
      </c>
      <c r="E157" s="3">
        <f t="shared" si="60"/>
        <v>1</v>
      </c>
      <c r="F157" s="3" t="s">
        <v>867</v>
      </c>
      <c r="G157" s="77"/>
      <c r="H157" s="5" t="s">
        <v>1</v>
      </c>
      <c r="I157" s="78">
        <f t="shared" si="61"/>
        <v>0</v>
      </c>
      <c r="J157" s="110">
        <f t="shared" si="62"/>
        <v>75</v>
      </c>
      <c r="K157" s="4">
        <v>7</v>
      </c>
      <c r="L157" s="5" t="s">
        <v>1</v>
      </c>
      <c r="M157" s="80">
        <f t="shared" si="63"/>
        <v>7</v>
      </c>
      <c r="N157" s="78">
        <f t="shared" si="64"/>
        <v>525</v>
      </c>
      <c r="O157" s="78">
        <f t="shared" si="65"/>
        <v>525</v>
      </c>
    </row>
    <row r="158" spans="1:15" ht="15" customHeight="1" x14ac:dyDescent="0.25">
      <c r="A158" s="31">
        <v>9</v>
      </c>
      <c r="B158" s="8" t="s">
        <v>1337</v>
      </c>
      <c r="C158" s="5">
        <v>1</v>
      </c>
      <c r="D158" s="7">
        <v>0</v>
      </c>
      <c r="E158" s="3">
        <f t="shared" si="60"/>
        <v>1</v>
      </c>
      <c r="F158" s="3" t="s">
        <v>867</v>
      </c>
      <c r="G158" s="77"/>
      <c r="H158" s="5" t="s">
        <v>1</v>
      </c>
      <c r="I158" s="78">
        <f t="shared" si="61"/>
        <v>0</v>
      </c>
      <c r="J158" s="110">
        <f t="shared" si="62"/>
        <v>75</v>
      </c>
      <c r="K158" s="4">
        <v>8</v>
      </c>
      <c r="L158" s="5" t="s">
        <v>1</v>
      </c>
      <c r="M158" s="80">
        <f t="shared" si="63"/>
        <v>8</v>
      </c>
      <c r="N158" s="78">
        <f t="shared" si="64"/>
        <v>600</v>
      </c>
      <c r="O158" s="78">
        <f t="shared" si="65"/>
        <v>600</v>
      </c>
    </row>
    <row r="159" spans="1:15" x14ac:dyDescent="0.25">
      <c r="A159" s="31">
        <v>10</v>
      </c>
      <c r="B159" s="4" t="s">
        <v>1336</v>
      </c>
      <c r="C159" s="5">
        <v>1</v>
      </c>
      <c r="D159" s="7">
        <v>0</v>
      </c>
      <c r="E159" s="3">
        <f t="shared" si="60"/>
        <v>1</v>
      </c>
      <c r="F159" s="3" t="s">
        <v>867</v>
      </c>
      <c r="G159" s="77"/>
      <c r="H159" s="5" t="s">
        <v>1</v>
      </c>
      <c r="I159" s="78">
        <f t="shared" si="61"/>
        <v>0</v>
      </c>
      <c r="J159" s="110">
        <f t="shared" si="62"/>
        <v>75</v>
      </c>
      <c r="K159" s="4">
        <v>9</v>
      </c>
      <c r="L159" s="5" t="s">
        <v>1</v>
      </c>
      <c r="M159" s="80">
        <f t="shared" si="63"/>
        <v>9</v>
      </c>
      <c r="N159" s="78">
        <f t="shared" si="64"/>
        <v>675</v>
      </c>
      <c r="O159" s="78">
        <f t="shared" si="65"/>
        <v>675</v>
      </c>
    </row>
    <row r="160" spans="1:15" x14ac:dyDescent="0.25">
      <c r="A160" s="31">
        <v>11</v>
      </c>
      <c r="B160" s="4" t="s">
        <v>1335</v>
      </c>
      <c r="C160" s="5">
        <v>1</v>
      </c>
      <c r="D160" s="7">
        <v>0</v>
      </c>
      <c r="E160" s="3">
        <f t="shared" si="60"/>
        <v>1</v>
      </c>
      <c r="F160" s="3" t="s">
        <v>867</v>
      </c>
      <c r="G160" s="77"/>
      <c r="H160" s="5" t="s">
        <v>1</v>
      </c>
      <c r="I160" s="78">
        <f t="shared" si="61"/>
        <v>0</v>
      </c>
      <c r="J160" s="110">
        <f t="shared" si="62"/>
        <v>75</v>
      </c>
      <c r="K160" s="4">
        <v>10</v>
      </c>
      <c r="L160" s="5" t="s">
        <v>1</v>
      </c>
      <c r="M160" s="80">
        <f t="shared" si="63"/>
        <v>10</v>
      </c>
      <c r="N160" s="78">
        <f t="shared" si="64"/>
        <v>750</v>
      </c>
      <c r="O160" s="78">
        <f t="shared" si="65"/>
        <v>750</v>
      </c>
    </row>
    <row r="161" spans="1:15" x14ac:dyDescent="0.25">
      <c r="A161" s="31">
        <v>12</v>
      </c>
      <c r="B161" s="4" t="s">
        <v>1334</v>
      </c>
      <c r="C161" s="5">
        <v>1</v>
      </c>
      <c r="D161" s="7">
        <v>0</v>
      </c>
      <c r="E161" s="3">
        <f t="shared" si="60"/>
        <v>1</v>
      </c>
      <c r="F161" s="3" t="s">
        <v>867</v>
      </c>
      <c r="G161" s="77"/>
      <c r="H161" s="5" t="s">
        <v>1</v>
      </c>
      <c r="I161" s="78">
        <f t="shared" si="61"/>
        <v>0</v>
      </c>
      <c r="J161" s="110">
        <f t="shared" si="62"/>
        <v>75</v>
      </c>
      <c r="K161" s="4">
        <v>11</v>
      </c>
      <c r="L161" s="5" t="s">
        <v>1</v>
      </c>
      <c r="M161" s="80">
        <f t="shared" si="63"/>
        <v>11</v>
      </c>
      <c r="N161" s="78">
        <f t="shared" si="64"/>
        <v>825</v>
      </c>
      <c r="O161" s="78">
        <f t="shared" si="65"/>
        <v>825</v>
      </c>
    </row>
    <row r="162" spans="1:15" ht="15.75" thickBot="1" x14ac:dyDescent="0.3">
      <c r="A162" s="31"/>
      <c r="B162" s="255"/>
      <c r="C162" s="256"/>
      <c r="D162" s="256"/>
      <c r="E162" s="256"/>
      <c r="F162" s="256"/>
      <c r="G162" s="256"/>
      <c r="H162" s="256"/>
      <c r="I162" s="256"/>
      <c r="J162" s="256"/>
      <c r="K162" s="256"/>
      <c r="L162" s="256"/>
      <c r="M162" s="256"/>
      <c r="N162" s="256"/>
      <c r="O162" s="257"/>
    </row>
    <row r="163" spans="1:15" ht="15.75" thickBot="1" x14ac:dyDescent="0.3">
      <c r="A163" s="60" t="s">
        <v>1262</v>
      </c>
      <c r="B163" s="120" t="s">
        <v>1333</v>
      </c>
      <c r="C163" s="5"/>
      <c r="D163" s="7"/>
      <c r="E163" s="3"/>
      <c r="F163" s="3"/>
      <c r="G163" s="9"/>
      <c r="H163" s="5"/>
      <c r="I163" s="9"/>
      <c r="J163" s="9"/>
      <c r="K163" s="15"/>
      <c r="L163" s="5"/>
      <c r="M163" s="15"/>
      <c r="N163" s="4"/>
      <c r="O163" s="4"/>
    </row>
    <row r="164" spans="1:15" x14ac:dyDescent="0.25">
      <c r="A164" s="31">
        <v>1</v>
      </c>
      <c r="B164" s="4" t="s">
        <v>1332</v>
      </c>
      <c r="C164" s="5">
        <v>1</v>
      </c>
      <c r="D164" s="7">
        <v>0</v>
      </c>
      <c r="E164" s="3">
        <f t="shared" ref="E164:E169" si="66">C164+(C164*D164)</f>
        <v>1</v>
      </c>
      <c r="F164" s="3" t="s">
        <v>867</v>
      </c>
      <c r="G164" s="77"/>
      <c r="H164" s="5" t="s">
        <v>1</v>
      </c>
      <c r="I164" s="78">
        <f t="shared" ref="I164:I169" si="67">IF(H164="C",(G164/100)*E164,IF(H164="M",(G164/1000)*E164,G164*E164))</f>
        <v>0</v>
      </c>
      <c r="J164" s="110">
        <f t="shared" ref="J164:J169" si="68">$O$4</f>
        <v>75</v>
      </c>
      <c r="K164" s="4">
        <v>1.5</v>
      </c>
      <c r="L164" s="5" t="s">
        <v>1</v>
      </c>
      <c r="M164" s="80">
        <f t="shared" ref="M164:M169" si="69">IF(L164="C",(K164/100)*E164,IF(L164="M",(K164/1000)*E164,K164*E164))</f>
        <v>1.5</v>
      </c>
      <c r="N164" s="78">
        <f t="shared" ref="N164:N169" si="70">M164*J164</f>
        <v>112.5</v>
      </c>
      <c r="O164" s="78">
        <f t="shared" ref="O164:O169" si="71">N164+I164</f>
        <v>112.5</v>
      </c>
    </row>
    <row r="165" spans="1:15" x14ac:dyDescent="0.25">
      <c r="A165" s="31">
        <v>2</v>
      </c>
      <c r="B165" s="4" t="s">
        <v>1331</v>
      </c>
      <c r="C165" s="5">
        <v>1</v>
      </c>
      <c r="D165" s="7">
        <v>0</v>
      </c>
      <c r="E165" s="3">
        <f t="shared" si="66"/>
        <v>1</v>
      </c>
      <c r="F165" s="3" t="s">
        <v>867</v>
      </c>
      <c r="G165" s="77"/>
      <c r="H165" s="5" t="s">
        <v>1</v>
      </c>
      <c r="I165" s="78">
        <f t="shared" si="67"/>
        <v>0</v>
      </c>
      <c r="J165" s="110">
        <f t="shared" si="68"/>
        <v>75</v>
      </c>
      <c r="K165" s="4">
        <v>2</v>
      </c>
      <c r="L165" s="5" t="s">
        <v>1</v>
      </c>
      <c r="M165" s="80">
        <f t="shared" si="69"/>
        <v>2</v>
      </c>
      <c r="N165" s="78">
        <f t="shared" si="70"/>
        <v>150</v>
      </c>
      <c r="O165" s="78">
        <f t="shared" si="71"/>
        <v>150</v>
      </c>
    </row>
    <row r="166" spans="1:15" x14ac:dyDescent="0.25">
      <c r="A166" s="31">
        <v>3</v>
      </c>
      <c r="B166" s="4" t="s">
        <v>1330</v>
      </c>
      <c r="C166" s="5">
        <v>1</v>
      </c>
      <c r="D166" s="7">
        <v>0</v>
      </c>
      <c r="E166" s="3">
        <f t="shared" si="66"/>
        <v>1</v>
      </c>
      <c r="F166" s="3" t="s">
        <v>867</v>
      </c>
      <c r="G166" s="77"/>
      <c r="H166" s="5" t="s">
        <v>1</v>
      </c>
      <c r="I166" s="78">
        <f t="shared" si="67"/>
        <v>0</v>
      </c>
      <c r="J166" s="110">
        <f t="shared" si="68"/>
        <v>75</v>
      </c>
      <c r="K166" s="4">
        <v>2.5</v>
      </c>
      <c r="L166" s="5" t="s">
        <v>1</v>
      </c>
      <c r="M166" s="80">
        <f t="shared" si="69"/>
        <v>2.5</v>
      </c>
      <c r="N166" s="78">
        <f t="shared" si="70"/>
        <v>187.5</v>
      </c>
      <c r="O166" s="78">
        <f t="shared" si="71"/>
        <v>187.5</v>
      </c>
    </row>
    <row r="167" spans="1:15" x14ac:dyDescent="0.25">
      <c r="A167" s="31">
        <v>4</v>
      </c>
      <c r="B167" s="4" t="s">
        <v>1329</v>
      </c>
      <c r="C167" s="5">
        <v>1</v>
      </c>
      <c r="D167" s="7">
        <v>0</v>
      </c>
      <c r="E167" s="3">
        <f t="shared" si="66"/>
        <v>1</v>
      </c>
      <c r="F167" s="3" t="s">
        <v>867</v>
      </c>
      <c r="G167" s="77"/>
      <c r="H167" s="5" t="s">
        <v>1</v>
      </c>
      <c r="I167" s="78">
        <f t="shared" si="67"/>
        <v>0</v>
      </c>
      <c r="J167" s="110">
        <f t="shared" si="68"/>
        <v>75</v>
      </c>
      <c r="K167" s="4">
        <v>3</v>
      </c>
      <c r="L167" s="5" t="s">
        <v>1</v>
      </c>
      <c r="M167" s="80">
        <f t="shared" si="69"/>
        <v>3</v>
      </c>
      <c r="N167" s="78">
        <f t="shared" si="70"/>
        <v>225</v>
      </c>
      <c r="O167" s="78">
        <f t="shared" si="71"/>
        <v>225</v>
      </c>
    </row>
    <row r="168" spans="1:15" x14ac:dyDescent="0.25">
      <c r="A168" s="31">
        <v>5</v>
      </c>
      <c r="B168" s="4" t="s">
        <v>1328</v>
      </c>
      <c r="C168" s="5">
        <v>1</v>
      </c>
      <c r="D168" s="7">
        <v>0</v>
      </c>
      <c r="E168" s="3">
        <f t="shared" si="66"/>
        <v>1</v>
      </c>
      <c r="F168" s="3" t="s">
        <v>867</v>
      </c>
      <c r="G168" s="77"/>
      <c r="H168" s="5" t="s">
        <v>1</v>
      </c>
      <c r="I168" s="78">
        <f t="shared" si="67"/>
        <v>0</v>
      </c>
      <c r="J168" s="110">
        <f t="shared" si="68"/>
        <v>75</v>
      </c>
      <c r="K168" s="4">
        <v>3.75</v>
      </c>
      <c r="L168" s="5" t="s">
        <v>1</v>
      </c>
      <c r="M168" s="80">
        <f t="shared" si="69"/>
        <v>3.75</v>
      </c>
      <c r="N168" s="78">
        <f t="shared" si="70"/>
        <v>281.25</v>
      </c>
      <c r="O168" s="78">
        <f t="shared" si="71"/>
        <v>281.25</v>
      </c>
    </row>
    <row r="169" spans="1:15" x14ac:dyDescent="0.25">
      <c r="A169" s="31">
        <v>6</v>
      </c>
      <c r="B169" s="4" t="s">
        <v>1327</v>
      </c>
      <c r="C169" s="5">
        <v>1</v>
      </c>
      <c r="D169" s="7">
        <v>0</v>
      </c>
      <c r="E169" s="3">
        <f t="shared" si="66"/>
        <v>1</v>
      </c>
      <c r="F169" s="3" t="s">
        <v>867</v>
      </c>
      <c r="G169" s="77"/>
      <c r="H169" s="5" t="s">
        <v>1</v>
      </c>
      <c r="I169" s="78">
        <f t="shared" si="67"/>
        <v>0</v>
      </c>
      <c r="J169" s="110">
        <f t="shared" si="68"/>
        <v>75</v>
      </c>
      <c r="K169" s="4">
        <v>3.75</v>
      </c>
      <c r="L169" s="5" t="s">
        <v>1</v>
      </c>
      <c r="M169" s="80">
        <f t="shared" si="69"/>
        <v>3.75</v>
      </c>
      <c r="N169" s="78">
        <f t="shared" si="70"/>
        <v>281.25</v>
      </c>
      <c r="O169" s="78">
        <f t="shared" si="71"/>
        <v>281.25</v>
      </c>
    </row>
    <row r="170" spans="1:15" ht="15.75" thickBot="1" x14ac:dyDescent="0.3">
      <c r="A170" s="31"/>
      <c r="B170" s="255"/>
      <c r="C170" s="256"/>
      <c r="D170" s="256"/>
      <c r="E170" s="256"/>
      <c r="F170" s="256"/>
      <c r="G170" s="256"/>
      <c r="H170" s="256"/>
      <c r="I170" s="256"/>
      <c r="J170" s="256"/>
      <c r="K170" s="256"/>
      <c r="L170" s="256"/>
      <c r="M170" s="256"/>
      <c r="N170" s="256"/>
      <c r="O170" s="257"/>
    </row>
    <row r="171" spans="1:15" ht="15.75" thickBot="1" x14ac:dyDescent="0.3">
      <c r="A171" s="60" t="s">
        <v>1262</v>
      </c>
      <c r="B171" s="120" t="s">
        <v>1326</v>
      </c>
      <c r="C171" s="5"/>
      <c r="D171" s="7"/>
      <c r="E171" s="3"/>
      <c r="F171" s="3"/>
      <c r="G171" s="9"/>
      <c r="H171" s="5"/>
      <c r="I171" s="9"/>
      <c r="J171" s="9"/>
      <c r="K171" s="15"/>
      <c r="L171" s="5"/>
      <c r="M171" s="15"/>
      <c r="N171" s="4"/>
      <c r="O171" s="4"/>
    </row>
    <row r="172" spans="1:15" x14ac:dyDescent="0.25">
      <c r="A172" s="31">
        <v>1</v>
      </c>
      <c r="B172" s="4" t="s">
        <v>1325</v>
      </c>
      <c r="C172" s="5">
        <v>1</v>
      </c>
      <c r="D172" s="7">
        <v>0</v>
      </c>
      <c r="E172" s="3">
        <f t="shared" ref="E172:E178" si="72">C172+(C172*D172)</f>
        <v>1</v>
      </c>
      <c r="F172" s="3" t="s">
        <v>867</v>
      </c>
      <c r="G172" s="77"/>
      <c r="H172" s="5" t="s">
        <v>1</v>
      </c>
      <c r="I172" s="78">
        <f t="shared" ref="I172:I178" si="73">IF(H172="C",(G172/100)*E172,IF(H172="M",(G172/1000)*E172,G172*E172))</f>
        <v>0</v>
      </c>
      <c r="J172" s="110">
        <f t="shared" ref="J172:J178" si="74">$O$4</f>
        <v>75</v>
      </c>
      <c r="K172" s="4">
        <v>1.25</v>
      </c>
      <c r="L172" s="5" t="s">
        <v>1</v>
      </c>
      <c r="M172" s="80">
        <f t="shared" ref="M172:M178" si="75">IF(L172="C",(K172/100)*E172,IF(L172="M",(K172/1000)*E172,K172*E172))</f>
        <v>1.25</v>
      </c>
      <c r="N172" s="78">
        <f t="shared" ref="N172:N178" si="76">M172*J172</f>
        <v>93.75</v>
      </c>
      <c r="O172" s="78">
        <f t="shared" ref="O172:O178" si="77">N172+I172</f>
        <v>93.75</v>
      </c>
    </row>
    <row r="173" spans="1:15" x14ac:dyDescent="0.25">
      <c r="A173" s="31">
        <v>2</v>
      </c>
      <c r="B173" s="4" t="s">
        <v>1324</v>
      </c>
      <c r="C173" s="5">
        <v>1</v>
      </c>
      <c r="D173" s="7">
        <v>0</v>
      </c>
      <c r="E173" s="3">
        <f t="shared" si="72"/>
        <v>1</v>
      </c>
      <c r="F173" s="3" t="s">
        <v>867</v>
      </c>
      <c r="G173" s="77"/>
      <c r="H173" s="5" t="s">
        <v>1</v>
      </c>
      <c r="I173" s="78">
        <f t="shared" si="73"/>
        <v>0</v>
      </c>
      <c r="J173" s="110">
        <f t="shared" si="74"/>
        <v>75</v>
      </c>
      <c r="K173" s="4">
        <v>1.25</v>
      </c>
      <c r="L173" s="5" t="s">
        <v>1</v>
      </c>
      <c r="M173" s="80">
        <f t="shared" si="75"/>
        <v>1.25</v>
      </c>
      <c r="N173" s="78">
        <f t="shared" si="76"/>
        <v>93.75</v>
      </c>
      <c r="O173" s="78">
        <f t="shared" si="77"/>
        <v>93.75</v>
      </c>
    </row>
    <row r="174" spans="1:15" x14ac:dyDescent="0.25">
      <c r="A174" s="31">
        <v>3</v>
      </c>
      <c r="B174" s="4" t="s">
        <v>1323</v>
      </c>
      <c r="C174" s="5">
        <v>1</v>
      </c>
      <c r="D174" s="7">
        <v>0</v>
      </c>
      <c r="E174" s="3">
        <f t="shared" si="72"/>
        <v>1</v>
      </c>
      <c r="F174" s="3" t="s">
        <v>867</v>
      </c>
      <c r="G174" s="77"/>
      <c r="H174" s="5" t="s">
        <v>1</v>
      </c>
      <c r="I174" s="78">
        <f t="shared" si="73"/>
        <v>0</v>
      </c>
      <c r="J174" s="110">
        <f t="shared" si="74"/>
        <v>75</v>
      </c>
      <c r="K174" s="4">
        <v>1.25</v>
      </c>
      <c r="L174" s="5" t="s">
        <v>1</v>
      </c>
      <c r="M174" s="80">
        <f t="shared" si="75"/>
        <v>1.25</v>
      </c>
      <c r="N174" s="78">
        <f t="shared" si="76"/>
        <v>93.75</v>
      </c>
      <c r="O174" s="78">
        <f t="shared" si="77"/>
        <v>93.75</v>
      </c>
    </row>
    <row r="175" spans="1:15" x14ac:dyDescent="0.25">
      <c r="A175" s="31">
        <v>4</v>
      </c>
      <c r="B175" s="4" t="s">
        <v>1322</v>
      </c>
      <c r="C175" s="5">
        <v>1</v>
      </c>
      <c r="D175" s="7">
        <v>0</v>
      </c>
      <c r="E175" s="3">
        <f t="shared" si="72"/>
        <v>1</v>
      </c>
      <c r="F175" s="3" t="s">
        <v>867</v>
      </c>
      <c r="G175" s="77"/>
      <c r="H175" s="5" t="s">
        <v>1</v>
      </c>
      <c r="I175" s="78">
        <f t="shared" si="73"/>
        <v>0</v>
      </c>
      <c r="J175" s="110">
        <f t="shared" si="74"/>
        <v>75</v>
      </c>
      <c r="K175" s="4">
        <v>1.5</v>
      </c>
      <c r="L175" s="5" t="s">
        <v>1</v>
      </c>
      <c r="M175" s="80">
        <f t="shared" si="75"/>
        <v>1.5</v>
      </c>
      <c r="N175" s="78">
        <f t="shared" si="76"/>
        <v>112.5</v>
      </c>
      <c r="O175" s="78">
        <f t="shared" si="77"/>
        <v>112.5</v>
      </c>
    </row>
    <row r="176" spans="1:15" x14ac:dyDescent="0.25">
      <c r="A176" s="31">
        <v>5</v>
      </c>
      <c r="B176" s="4" t="s">
        <v>1321</v>
      </c>
      <c r="C176" s="5">
        <v>1</v>
      </c>
      <c r="D176" s="7">
        <v>0</v>
      </c>
      <c r="E176" s="3">
        <f t="shared" si="72"/>
        <v>1</v>
      </c>
      <c r="F176" s="3" t="s">
        <v>867</v>
      </c>
      <c r="G176" s="77"/>
      <c r="H176" s="5" t="s">
        <v>1</v>
      </c>
      <c r="I176" s="78">
        <f t="shared" si="73"/>
        <v>0</v>
      </c>
      <c r="J176" s="110">
        <f t="shared" si="74"/>
        <v>75</v>
      </c>
      <c r="K176" s="4">
        <v>2</v>
      </c>
      <c r="L176" s="5" t="s">
        <v>1</v>
      </c>
      <c r="M176" s="80">
        <f t="shared" si="75"/>
        <v>2</v>
      </c>
      <c r="N176" s="78">
        <f t="shared" si="76"/>
        <v>150</v>
      </c>
      <c r="O176" s="78">
        <f t="shared" si="77"/>
        <v>150</v>
      </c>
    </row>
    <row r="177" spans="1:15" x14ac:dyDescent="0.25">
      <c r="A177" s="31">
        <v>6</v>
      </c>
      <c r="B177" s="4" t="s">
        <v>1320</v>
      </c>
      <c r="C177" s="5">
        <v>1</v>
      </c>
      <c r="D177" s="7">
        <v>0</v>
      </c>
      <c r="E177" s="3">
        <f t="shared" si="72"/>
        <v>1</v>
      </c>
      <c r="F177" s="3" t="s">
        <v>867</v>
      </c>
      <c r="G177" s="77"/>
      <c r="H177" s="5" t="s">
        <v>1</v>
      </c>
      <c r="I177" s="78">
        <f t="shared" si="73"/>
        <v>0</v>
      </c>
      <c r="J177" s="110">
        <f t="shared" si="74"/>
        <v>75</v>
      </c>
      <c r="K177" s="4">
        <v>2.25</v>
      </c>
      <c r="L177" s="5" t="s">
        <v>1</v>
      </c>
      <c r="M177" s="80">
        <f t="shared" si="75"/>
        <v>2.25</v>
      </c>
      <c r="N177" s="78">
        <f t="shared" si="76"/>
        <v>168.75</v>
      </c>
      <c r="O177" s="78">
        <f t="shared" si="77"/>
        <v>168.75</v>
      </c>
    </row>
    <row r="178" spans="1:15" x14ac:dyDescent="0.25">
      <c r="A178" s="31">
        <v>7</v>
      </c>
      <c r="B178" s="4" t="s">
        <v>1319</v>
      </c>
      <c r="C178" s="5">
        <v>1</v>
      </c>
      <c r="D178" s="7">
        <v>0</v>
      </c>
      <c r="E178" s="3">
        <f t="shared" si="72"/>
        <v>1</v>
      </c>
      <c r="F178" s="3" t="s">
        <v>867</v>
      </c>
      <c r="G178" s="77"/>
      <c r="H178" s="5" t="s">
        <v>1</v>
      </c>
      <c r="I178" s="78">
        <f t="shared" si="73"/>
        <v>0</v>
      </c>
      <c r="J178" s="110">
        <f t="shared" si="74"/>
        <v>75</v>
      </c>
      <c r="K178" s="4">
        <v>2</v>
      </c>
      <c r="L178" s="5" t="s">
        <v>1</v>
      </c>
      <c r="M178" s="80">
        <f t="shared" si="75"/>
        <v>2</v>
      </c>
      <c r="N178" s="78">
        <f t="shared" si="76"/>
        <v>150</v>
      </c>
      <c r="O178" s="78">
        <f t="shared" si="77"/>
        <v>150</v>
      </c>
    </row>
    <row r="179" spans="1:15" ht="15.75" thickBot="1" x14ac:dyDescent="0.3">
      <c r="A179" s="31"/>
      <c r="B179" s="255"/>
      <c r="C179" s="256"/>
      <c r="D179" s="256"/>
      <c r="E179" s="256"/>
      <c r="F179" s="256"/>
      <c r="G179" s="256"/>
      <c r="H179" s="256"/>
      <c r="I179" s="256"/>
      <c r="J179" s="256"/>
      <c r="K179" s="256"/>
      <c r="L179" s="256"/>
      <c r="M179" s="256"/>
      <c r="N179" s="256"/>
      <c r="O179" s="257"/>
    </row>
    <row r="180" spans="1:15" ht="15.75" thickBot="1" x14ac:dyDescent="0.3">
      <c r="A180" s="60" t="s">
        <v>1262</v>
      </c>
      <c r="B180" s="120" t="s">
        <v>1318</v>
      </c>
      <c r="C180" s="5"/>
      <c r="D180" s="7"/>
      <c r="E180" s="3"/>
      <c r="F180" s="3"/>
      <c r="G180" s="9"/>
      <c r="H180" s="5"/>
      <c r="I180" s="9"/>
      <c r="J180" s="9"/>
      <c r="K180" s="15"/>
      <c r="L180" s="5"/>
      <c r="M180" s="15"/>
      <c r="N180" s="4"/>
      <c r="O180" s="4"/>
    </row>
    <row r="181" spans="1:15" x14ac:dyDescent="0.25">
      <c r="A181" s="31">
        <v>1</v>
      </c>
      <c r="B181" s="4" t="s">
        <v>1317</v>
      </c>
      <c r="C181" s="5">
        <v>1</v>
      </c>
      <c r="D181" s="7">
        <v>0</v>
      </c>
      <c r="E181" s="3">
        <f t="shared" ref="E181:E186" si="78">C181+(C181*D181)</f>
        <v>1</v>
      </c>
      <c r="F181" s="3" t="s">
        <v>867</v>
      </c>
      <c r="G181" s="77"/>
      <c r="H181" s="5" t="s">
        <v>1</v>
      </c>
      <c r="I181" s="78">
        <f t="shared" ref="I181:I186" si="79">IF(H181="C",(G181/100)*E181,IF(H181="M",(G181/1000)*E181,G181*E181))</f>
        <v>0</v>
      </c>
      <c r="J181" s="110">
        <f t="shared" ref="J181:J186" si="80">$O$4</f>
        <v>75</v>
      </c>
      <c r="K181" s="4">
        <v>0.32</v>
      </c>
      <c r="L181" s="5" t="s">
        <v>1</v>
      </c>
      <c r="M181" s="80">
        <f t="shared" ref="M181:M186" si="81">IF(L181="C",(K181/100)*E181,IF(L181="M",(K181/1000)*E181,K181*E181))</f>
        <v>0.32</v>
      </c>
      <c r="N181" s="78">
        <f t="shared" ref="N181:N186" si="82">M181*J181</f>
        <v>24</v>
      </c>
      <c r="O181" s="78">
        <f t="shared" ref="O181:O186" si="83">N181+I181</f>
        <v>24</v>
      </c>
    </row>
    <row r="182" spans="1:15" x14ac:dyDescent="0.25">
      <c r="A182" s="31">
        <v>2</v>
      </c>
      <c r="B182" s="4" t="s">
        <v>1316</v>
      </c>
      <c r="C182" s="5">
        <v>1</v>
      </c>
      <c r="D182" s="7">
        <v>0</v>
      </c>
      <c r="E182" s="3">
        <f t="shared" si="78"/>
        <v>1</v>
      </c>
      <c r="F182" s="3" t="s">
        <v>867</v>
      </c>
      <c r="G182" s="77"/>
      <c r="H182" s="5" t="s">
        <v>1</v>
      </c>
      <c r="I182" s="78">
        <f t="shared" si="79"/>
        <v>0</v>
      </c>
      <c r="J182" s="110">
        <f t="shared" si="80"/>
        <v>75</v>
      </c>
      <c r="K182" s="4">
        <v>0.45</v>
      </c>
      <c r="L182" s="5" t="s">
        <v>1</v>
      </c>
      <c r="M182" s="80">
        <f t="shared" si="81"/>
        <v>0.45</v>
      </c>
      <c r="N182" s="78">
        <f t="shared" si="82"/>
        <v>33.75</v>
      </c>
      <c r="O182" s="78">
        <f t="shared" si="83"/>
        <v>33.75</v>
      </c>
    </row>
    <row r="183" spans="1:15" x14ac:dyDescent="0.25">
      <c r="A183" s="31">
        <v>3</v>
      </c>
      <c r="B183" s="4" t="s">
        <v>1315</v>
      </c>
      <c r="C183" s="5">
        <v>1</v>
      </c>
      <c r="D183" s="7">
        <v>0</v>
      </c>
      <c r="E183" s="3">
        <f t="shared" si="78"/>
        <v>1</v>
      </c>
      <c r="F183" s="3" t="s">
        <v>867</v>
      </c>
      <c r="G183" s="77"/>
      <c r="H183" s="5" t="s">
        <v>1</v>
      </c>
      <c r="I183" s="78">
        <f t="shared" si="79"/>
        <v>0</v>
      </c>
      <c r="J183" s="110">
        <f t="shared" si="80"/>
        <v>75</v>
      </c>
      <c r="K183" s="4">
        <v>0.55000000000000004</v>
      </c>
      <c r="L183" s="5" t="s">
        <v>1</v>
      </c>
      <c r="M183" s="80">
        <f t="shared" si="81"/>
        <v>0.55000000000000004</v>
      </c>
      <c r="N183" s="78">
        <f t="shared" si="82"/>
        <v>41.25</v>
      </c>
      <c r="O183" s="78">
        <f t="shared" si="83"/>
        <v>41.25</v>
      </c>
    </row>
    <row r="184" spans="1:15" x14ac:dyDescent="0.25">
      <c r="A184" s="31">
        <v>4</v>
      </c>
      <c r="B184" s="4" t="s">
        <v>1314</v>
      </c>
      <c r="C184" s="5">
        <v>1</v>
      </c>
      <c r="D184" s="7">
        <v>0</v>
      </c>
      <c r="E184" s="3">
        <f t="shared" si="78"/>
        <v>1</v>
      </c>
      <c r="F184" s="3" t="s">
        <v>867</v>
      </c>
      <c r="G184" s="77"/>
      <c r="H184" s="5" t="s">
        <v>1</v>
      </c>
      <c r="I184" s="78">
        <f t="shared" si="79"/>
        <v>0</v>
      </c>
      <c r="J184" s="110">
        <f t="shared" si="80"/>
        <v>75</v>
      </c>
      <c r="K184" s="4">
        <v>0.55000000000000004</v>
      </c>
      <c r="L184" s="5" t="s">
        <v>1</v>
      </c>
      <c r="M184" s="80">
        <f t="shared" si="81"/>
        <v>0.55000000000000004</v>
      </c>
      <c r="N184" s="78">
        <f t="shared" si="82"/>
        <v>41.25</v>
      </c>
      <c r="O184" s="78">
        <f t="shared" si="83"/>
        <v>41.25</v>
      </c>
    </row>
    <row r="185" spans="1:15" x14ac:dyDescent="0.25">
      <c r="A185" s="31">
        <v>5</v>
      </c>
      <c r="B185" s="4" t="s">
        <v>1313</v>
      </c>
      <c r="C185" s="5">
        <v>1</v>
      </c>
      <c r="D185" s="7">
        <v>0</v>
      </c>
      <c r="E185" s="3">
        <f t="shared" si="78"/>
        <v>1</v>
      </c>
      <c r="F185" s="3" t="s">
        <v>867</v>
      </c>
      <c r="G185" s="77"/>
      <c r="H185" s="5" t="s">
        <v>1</v>
      </c>
      <c r="I185" s="78">
        <f t="shared" si="79"/>
        <v>0</v>
      </c>
      <c r="J185" s="110">
        <f t="shared" si="80"/>
        <v>75</v>
      </c>
      <c r="K185" s="4">
        <v>0.7</v>
      </c>
      <c r="L185" s="5" t="s">
        <v>1</v>
      </c>
      <c r="M185" s="80">
        <f t="shared" si="81"/>
        <v>0.7</v>
      </c>
      <c r="N185" s="78">
        <f t="shared" si="82"/>
        <v>52.5</v>
      </c>
      <c r="O185" s="78">
        <f t="shared" si="83"/>
        <v>52.5</v>
      </c>
    </row>
    <row r="186" spans="1:15" x14ac:dyDescent="0.25">
      <c r="A186" s="31">
        <v>6</v>
      </c>
      <c r="B186" s="4" t="s">
        <v>1312</v>
      </c>
      <c r="C186" s="5">
        <v>1</v>
      </c>
      <c r="D186" s="7">
        <v>0</v>
      </c>
      <c r="E186" s="3">
        <f t="shared" si="78"/>
        <v>1</v>
      </c>
      <c r="F186" s="3" t="s">
        <v>867</v>
      </c>
      <c r="G186" s="77"/>
      <c r="H186" s="5" t="s">
        <v>1</v>
      </c>
      <c r="I186" s="78">
        <f t="shared" si="79"/>
        <v>0</v>
      </c>
      <c r="J186" s="110">
        <f t="shared" si="80"/>
        <v>75</v>
      </c>
      <c r="K186" s="4">
        <v>0.8</v>
      </c>
      <c r="L186" s="5" t="s">
        <v>1</v>
      </c>
      <c r="M186" s="80">
        <f t="shared" si="81"/>
        <v>0.8</v>
      </c>
      <c r="N186" s="78">
        <f t="shared" si="82"/>
        <v>60</v>
      </c>
      <c r="O186" s="78">
        <f t="shared" si="83"/>
        <v>60</v>
      </c>
    </row>
    <row r="187" spans="1:15" ht="15.75" thickBot="1" x14ac:dyDescent="0.3">
      <c r="A187" s="31"/>
      <c r="B187" s="255"/>
      <c r="C187" s="256"/>
      <c r="D187" s="256"/>
      <c r="E187" s="256"/>
      <c r="F187" s="256"/>
      <c r="G187" s="256"/>
      <c r="H187" s="256"/>
      <c r="I187" s="256"/>
      <c r="J187" s="256"/>
      <c r="K187" s="256"/>
      <c r="L187" s="256"/>
      <c r="M187" s="256"/>
      <c r="N187" s="256"/>
      <c r="O187" s="257"/>
    </row>
    <row r="188" spans="1:15" ht="15.75" thickBot="1" x14ac:dyDescent="0.3">
      <c r="A188" s="60" t="s">
        <v>1262</v>
      </c>
      <c r="B188" s="120" t="s">
        <v>1311</v>
      </c>
      <c r="C188" s="5"/>
      <c r="D188" s="7"/>
      <c r="E188" s="3"/>
      <c r="F188" s="3"/>
      <c r="G188" s="9"/>
      <c r="H188" s="5"/>
      <c r="I188" s="9"/>
      <c r="J188" s="9"/>
      <c r="K188" s="15"/>
      <c r="L188" s="5"/>
      <c r="M188" s="15"/>
      <c r="N188" s="4"/>
      <c r="O188" s="4"/>
    </row>
    <row r="189" spans="1:15" x14ac:dyDescent="0.25">
      <c r="A189" s="31">
        <v>1</v>
      </c>
      <c r="B189" s="4" t="s">
        <v>1310</v>
      </c>
      <c r="C189" s="5">
        <v>1</v>
      </c>
      <c r="D189" s="7">
        <v>0</v>
      </c>
      <c r="E189" s="3">
        <f t="shared" ref="E189:E196" si="84">C189+(C189*D189)</f>
        <v>1</v>
      </c>
      <c r="F189" s="3" t="s">
        <v>867</v>
      </c>
      <c r="G189" s="77"/>
      <c r="H189" s="5" t="s">
        <v>1</v>
      </c>
      <c r="I189" s="78">
        <f t="shared" ref="I189:I196" si="85">IF(H189="C",(G189/100)*E189,IF(H189="M",(G189/1000)*E189,G189*E189))</f>
        <v>0</v>
      </c>
      <c r="J189" s="110">
        <f t="shared" ref="J189:J196" si="86">$O$4</f>
        <v>75</v>
      </c>
      <c r="K189" s="4">
        <v>0.4</v>
      </c>
      <c r="L189" s="5" t="s">
        <v>1</v>
      </c>
      <c r="M189" s="80">
        <f t="shared" ref="M189:M196" si="87">IF(L189="C",(K189/100)*E189,IF(L189="M",(K189/1000)*E189,K189*E189))</f>
        <v>0.4</v>
      </c>
      <c r="N189" s="78">
        <f t="shared" ref="N189:N196" si="88">M189*J189</f>
        <v>30</v>
      </c>
      <c r="O189" s="78">
        <f t="shared" ref="O189:O196" si="89">N189+I189</f>
        <v>30</v>
      </c>
    </row>
    <row r="190" spans="1:15" x14ac:dyDescent="0.25">
      <c r="A190" s="31">
        <v>2</v>
      </c>
      <c r="B190" s="4" t="s">
        <v>1309</v>
      </c>
      <c r="C190" s="5">
        <v>1</v>
      </c>
      <c r="D190" s="7">
        <v>0</v>
      </c>
      <c r="E190" s="3">
        <f t="shared" si="84"/>
        <v>1</v>
      </c>
      <c r="F190" s="3" t="s">
        <v>867</v>
      </c>
      <c r="G190" s="77"/>
      <c r="H190" s="5" t="s">
        <v>1</v>
      </c>
      <c r="I190" s="78">
        <f t="shared" si="85"/>
        <v>0</v>
      </c>
      <c r="J190" s="110">
        <f t="shared" si="86"/>
        <v>75</v>
      </c>
      <c r="K190" s="4">
        <v>0.5</v>
      </c>
      <c r="L190" s="5" t="s">
        <v>1</v>
      </c>
      <c r="M190" s="80">
        <f t="shared" si="87"/>
        <v>0.5</v>
      </c>
      <c r="N190" s="78">
        <f t="shared" si="88"/>
        <v>37.5</v>
      </c>
      <c r="O190" s="78">
        <f t="shared" si="89"/>
        <v>37.5</v>
      </c>
    </row>
    <row r="191" spans="1:15" x14ac:dyDescent="0.25">
      <c r="A191" s="31">
        <v>3</v>
      </c>
      <c r="B191" s="4" t="s">
        <v>1308</v>
      </c>
      <c r="C191" s="5">
        <v>1</v>
      </c>
      <c r="D191" s="7">
        <v>0</v>
      </c>
      <c r="E191" s="3">
        <f t="shared" si="84"/>
        <v>1</v>
      </c>
      <c r="F191" s="3" t="s">
        <v>867</v>
      </c>
      <c r="G191" s="77"/>
      <c r="H191" s="5" t="s">
        <v>1</v>
      </c>
      <c r="I191" s="78">
        <f t="shared" si="85"/>
        <v>0</v>
      </c>
      <c r="J191" s="110">
        <f t="shared" si="86"/>
        <v>75</v>
      </c>
      <c r="K191" s="4">
        <v>0.75</v>
      </c>
      <c r="L191" s="5" t="s">
        <v>1</v>
      </c>
      <c r="M191" s="80">
        <f t="shared" si="87"/>
        <v>0.75</v>
      </c>
      <c r="N191" s="78">
        <f t="shared" si="88"/>
        <v>56.25</v>
      </c>
      <c r="O191" s="78">
        <f t="shared" si="89"/>
        <v>56.25</v>
      </c>
    </row>
    <row r="192" spans="1:15" x14ac:dyDescent="0.25">
      <c r="A192" s="31">
        <v>4</v>
      </c>
      <c r="B192" s="4" t="s">
        <v>1307</v>
      </c>
      <c r="C192" s="5">
        <v>1</v>
      </c>
      <c r="D192" s="7">
        <v>0</v>
      </c>
      <c r="E192" s="3">
        <f t="shared" si="84"/>
        <v>1</v>
      </c>
      <c r="F192" s="3" t="s">
        <v>867</v>
      </c>
      <c r="G192" s="77"/>
      <c r="H192" s="5" t="s">
        <v>1</v>
      </c>
      <c r="I192" s="78">
        <f t="shared" si="85"/>
        <v>0</v>
      </c>
      <c r="J192" s="110">
        <f t="shared" si="86"/>
        <v>75</v>
      </c>
      <c r="K192" s="4">
        <v>1</v>
      </c>
      <c r="L192" s="5" t="s">
        <v>1</v>
      </c>
      <c r="M192" s="80">
        <f t="shared" si="87"/>
        <v>1</v>
      </c>
      <c r="N192" s="78">
        <f t="shared" si="88"/>
        <v>75</v>
      </c>
      <c r="O192" s="78">
        <f t="shared" si="89"/>
        <v>75</v>
      </c>
    </row>
    <row r="193" spans="1:15" x14ac:dyDescent="0.25">
      <c r="A193" s="31">
        <v>5</v>
      </c>
      <c r="B193" s="4" t="s">
        <v>1306</v>
      </c>
      <c r="C193" s="5">
        <v>1</v>
      </c>
      <c r="D193" s="7">
        <v>0</v>
      </c>
      <c r="E193" s="3">
        <f t="shared" si="84"/>
        <v>1</v>
      </c>
      <c r="F193" s="3" t="s">
        <v>867</v>
      </c>
      <c r="G193" s="77"/>
      <c r="H193" s="5" t="s">
        <v>1</v>
      </c>
      <c r="I193" s="78">
        <f t="shared" si="85"/>
        <v>0</v>
      </c>
      <c r="J193" s="110">
        <f t="shared" si="86"/>
        <v>75</v>
      </c>
      <c r="K193" s="4">
        <v>2</v>
      </c>
      <c r="L193" s="5" t="s">
        <v>1</v>
      </c>
      <c r="M193" s="80">
        <f t="shared" si="87"/>
        <v>2</v>
      </c>
      <c r="N193" s="78">
        <f t="shared" si="88"/>
        <v>150</v>
      </c>
      <c r="O193" s="78">
        <f t="shared" si="89"/>
        <v>150</v>
      </c>
    </row>
    <row r="194" spans="1:15" x14ac:dyDescent="0.25">
      <c r="A194" s="31">
        <v>6</v>
      </c>
      <c r="B194" s="4" t="s">
        <v>1305</v>
      </c>
      <c r="C194" s="5">
        <v>1</v>
      </c>
      <c r="D194" s="7">
        <v>0</v>
      </c>
      <c r="E194" s="3">
        <f t="shared" si="84"/>
        <v>1</v>
      </c>
      <c r="F194" s="3" t="s">
        <v>867</v>
      </c>
      <c r="G194" s="77"/>
      <c r="H194" s="5" t="s">
        <v>1</v>
      </c>
      <c r="I194" s="78">
        <f t="shared" si="85"/>
        <v>0</v>
      </c>
      <c r="J194" s="110">
        <f t="shared" si="86"/>
        <v>75</v>
      </c>
      <c r="K194" s="4">
        <v>3</v>
      </c>
      <c r="L194" s="5" t="s">
        <v>1</v>
      </c>
      <c r="M194" s="80">
        <f t="shared" si="87"/>
        <v>3</v>
      </c>
      <c r="N194" s="78">
        <f t="shared" si="88"/>
        <v>225</v>
      </c>
      <c r="O194" s="78">
        <f t="shared" si="89"/>
        <v>225</v>
      </c>
    </row>
    <row r="195" spans="1:15" x14ac:dyDescent="0.25">
      <c r="A195" s="31">
        <v>7</v>
      </c>
      <c r="B195" s="8" t="s">
        <v>1304</v>
      </c>
      <c r="C195" s="5">
        <v>1</v>
      </c>
      <c r="D195" s="7">
        <v>0</v>
      </c>
      <c r="E195" s="3">
        <f t="shared" si="84"/>
        <v>1</v>
      </c>
      <c r="F195" s="3" t="s">
        <v>867</v>
      </c>
      <c r="G195" s="77"/>
      <c r="H195" s="5" t="s">
        <v>1</v>
      </c>
      <c r="I195" s="78">
        <f t="shared" si="85"/>
        <v>0</v>
      </c>
      <c r="J195" s="110">
        <f t="shared" si="86"/>
        <v>75</v>
      </c>
      <c r="K195" s="4">
        <v>4</v>
      </c>
      <c r="L195" s="5" t="s">
        <v>1</v>
      </c>
      <c r="M195" s="80">
        <f t="shared" si="87"/>
        <v>4</v>
      </c>
      <c r="N195" s="78">
        <f t="shared" si="88"/>
        <v>300</v>
      </c>
      <c r="O195" s="78">
        <f t="shared" si="89"/>
        <v>300</v>
      </c>
    </row>
    <row r="196" spans="1:15" x14ac:dyDescent="0.25">
      <c r="A196" s="31">
        <v>8</v>
      </c>
      <c r="B196" s="4" t="s">
        <v>1303</v>
      </c>
      <c r="C196" s="5">
        <v>1</v>
      </c>
      <c r="D196" s="7">
        <v>0</v>
      </c>
      <c r="E196" s="3">
        <f t="shared" si="84"/>
        <v>1</v>
      </c>
      <c r="F196" s="3" t="s">
        <v>867</v>
      </c>
      <c r="G196" s="77"/>
      <c r="H196" s="5" t="s">
        <v>1</v>
      </c>
      <c r="I196" s="78">
        <f t="shared" si="85"/>
        <v>0</v>
      </c>
      <c r="J196" s="110">
        <f t="shared" si="86"/>
        <v>75</v>
      </c>
      <c r="K196" s="4">
        <v>5</v>
      </c>
      <c r="L196" s="5" t="s">
        <v>1</v>
      </c>
      <c r="M196" s="80">
        <f t="shared" si="87"/>
        <v>5</v>
      </c>
      <c r="N196" s="78">
        <f t="shared" si="88"/>
        <v>375</v>
      </c>
      <c r="O196" s="78">
        <f t="shared" si="89"/>
        <v>375</v>
      </c>
    </row>
    <row r="197" spans="1:15" ht="15.75" thickBot="1" x14ac:dyDescent="0.3">
      <c r="A197" s="31"/>
      <c r="B197" s="255"/>
      <c r="C197" s="256"/>
      <c r="D197" s="256"/>
      <c r="E197" s="256"/>
      <c r="F197" s="256"/>
      <c r="G197" s="256"/>
      <c r="H197" s="256"/>
      <c r="I197" s="256"/>
      <c r="J197" s="256"/>
      <c r="K197" s="256"/>
      <c r="L197" s="256"/>
      <c r="M197" s="256"/>
      <c r="N197" s="256"/>
      <c r="O197" s="257"/>
    </row>
    <row r="198" spans="1:15" ht="15.75" thickBot="1" x14ac:dyDescent="0.3">
      <c r="A198" s="60" t="s">
        <v>1262</v>
      </c>
      <c r="B198" s="120" t="s">
        <v>1302</v>
      </c>
      <c r="C198" s="5"/>
      <c r="D198" s="7"/>
      <c r="E198" s="3"/>
      <c r="F198" s="3"/>
      <c r="G198" s="9"/>
      <c r="H198" s="5"/>
      <c r="I198" s="9"/>
      <c r="J198" s="9"/>
      <c r="K198" s="15"/>
      <c r="L198" s="5"/>
      <c r="M198" s="15"/>
      <c r="N198" s="4"/>
      <c r="O198" s="4"/>
    </row>
    <row r="199" spans="1:15" x14ac:dyDescent="0.25">
      <c r="A199" s="31">
        <v>1</v>
      </c>
      <c r="B199" s="4" t="s">
        <v>1301</v>
      </c>
      <c r="C199" s="5">
        <v>1</v>
      </c>
      <c r="D199" s="7">
        <v>0</v>
      </c>
      <c r="E199" s="3">
        <f t="shared" ref="E199:E204" si="90">C199+(C199*D199)</f>
        <v>1</v>
      </c>
      <c r="F199" s="3" t="s">
        <v>867</v>
      </c>
      <c r="G199" s="77"/>
      <c r="H199" s="5" t="s">
        <v>1</v>
      </c>
      <c r="I199" s="78">
        <f t="shared" ref="I199:I204" si="91">IF(H199="C",(G199/100)*E199,IF(H199="M",(G199/1000)*E199,G199*E199))</f>
        <v>0</v>
      </c>
      <c r="J199" s="110">
        <f t="shared" ref="J199:J204" si="92">$O$4</f>
        <v>75</v>
      </c>
      <c r="K199" s="4">
        <v>0.75</v>
      </c>
      <c r="L199" s="5" t="s">
        <v>1</v>
      </c>
      <c r="M199" s="80">
        <f t="shared" ref="M199:M204" si="93">IF(L199="C",(K199/100)*E199,IF(L199="M",(K199/1000)*E199,K199*E199))</f>
        <v>0.75</v>
      </c>
      <c r="N199" s="78">
        <f t="shared" ref="N199:N204" si="94">M199*J199</f>
        <v>56.25</v>
      </c>
      <c r="O199" s="78">
        <f t="shared" ref="O199:O204" si="95">N199+I199</f>
        <v>56.25</v>
      </c>
    </row>
    <row r="200" spans="1:15" x14ac:dyDescent="0.25">
      <c r="A200" s="31">
        <v>2</v>
      </c>
      <c r="B200" s="4" t="s">
        <v>1300</v>
      </c>
      <c r="C200" s="5">
        <v>1</v>
      </c>
      <c r="D200" s="7">
        <v>0</v>
      </c>
      <c r="E200" s="3">
        <f t="shared" si="90"/>
        <v>1</v>
      </c>
      <c r="F200" s="3" t="s">
        <v>867</v>
      </c>
      <c r="G200" s="77"/>
      <c r="H200" s="5" t="s">
        <v>1</v>
      </c>
      <c r="I200" s="78">
        <f t="shared" si="91"/>
        <v>0</v>
      </c>
      <c r="J200" s="110">
        <f t="shared" si="92"/>
        <v>75</v>
      </c>
      <c r="K200" s="4">
        <v>1.2</v>
      </c>
      <c r="L200" s="5" t="s">
        <v>1</v>
      </c>
      <c r="M200" s="80">
        <f t="shared" si="93"/>
        <v>1.2</v>
      </c>
      <c r="N200" s="78">
        <f t="shared" si="94"/>
        <v>90</v>
      </c>
      <c r="O200" s="78">
        <f t="shared" si="95"/>
        <v>90</v>
      </c>
    </row>
    <row r="201" spans="1:15" x14ac:dyDescent="0.25">
      <c r="A201" s="31">
        <v>3</v>
      </c>
      <c r="B201" s="4" t="s">
        <v>1299</v>
      </c>
      <c r="C201" s="5">
        <v>1</v>
      </c>
      <c r="D201" s="7">
        <v>0</v>
      </c>
      <c r="E201" s="3">
        <f t="shared" si="90"/>
        <v>1</v>
      </c>
      <c r="F201" s="3" t="s">
        <v>867</v>
      </c>
      <c r="G201" s="77"/>
      <c r="H201" s="5" t="s">
        <v>1</v>
      </c>
      <c r="I201" s="78">
        <f t="shared" si="91"/>
        <v>0</v>
      </c>
      <c r="J201" s="110">
        <f t="shared" si="92"/>
        <v>75</v>
      </c>
      <c r="K201" s="4">
        <v>3</v>
      </c>
      <c r="L201" s="5" t="s">
        <v>1</v>
      </c>
      <c r="M201" s="80">
        <f t="shared" si="93"/>
        <v>3</v>
      </c>
      <c r="N201" s="78">
        <f t="shared" si="94"/>
        <v>225</v>
      </c>
      <c r="O201" s="78">
        <f t="shared" si="95"/>
        <v>225</v>
      </c>
    </row>
    <row r="202" spans="1:15" x14ac:dyDescent="0.25">
      <c r="A202" s="31">
        <v>4</v>
      </c>
      <c r="B202" s="4" t="s">
        <v>1298</v>
      </c>
      <c r="C202" s="5">
        <v>1</v>
      </c>
      <c r="D202" s="7">
        <v>0</v>
      </c>
      <c r="E202" s="3">
        <f t="shared" si="90"/>
        <v>1</v>
      </c>
      <c r="F202" s="3" t="s">
        <v>867</v>
      </c>
      <c r="G202" s="77"/>
      <c r="H202" s="5" t="s">
        <v>1</v>
      </c>
      <c r="I202" s="78">
        <f t="shared" si="91"/>
        <v>0</v>
      </c>
      <c r="J202" s="110">
        <f t="shared" si="92"/>
        <v>75</v>
      </c>
      <c r="K202" s="4">
        <v>4.5</v>
      </c>
      <c r="L202" s="5" t="s">
        <v>1</v>
      </c>
      <c r="M202" s="80">
        <f t="shared" si="93"/>
        <v>4.5</v>
      </c>
      <c r="N202" s="78">
        <f t="shared" si="94"/>
        <v>337.5</v>
      </c>
      <c r="O202" s="78">
        <f t="shared" si="95"/>
        <v>337.5</v>
      </c>
    </row>
    <row r="203" spans="1:15" x14ac:dyDescent="0.25">
      <c r="A203" s="31">
        <v>5</v>
      </c>
      <c r="B203" s="4" t="s">
        <v>1297</v>
      </c>
      <c r="C203" s="5">
        <v>1</v>
      </c>
      <c r="D203" s="7">
        <v>0</v>
      </c>
      <c r="E203" s="3">
        <f t="shared" si="90"/>
        <v>1</v>
      </c>
      <c r="F203" s="3" t="s">
        <v>867</v>
      </c>
      <c r="G203" s="77"/>
      <c r="H203" s="5" t="s">
        <v>1</v>
      </c>
      <c r="I203" s="78">
        <f t="shared" si="91"/>
        <v>0</v>
      </c>
      <c r="J203" s="110">
        <f t="shared" si="92"/>
        <v>75</v>
      </c>
      <c r="K203" s="4">
        <v>7</v>
      </c>
      <c r="L203" s="5" t="s">
        <v>1</v>
      </c>
      <c r="M203" s="80">
        <f t="shared" si="93"/>
        <v>7</v>
      </c>
      <c r="N203" s="78">
        <f t="shared" si="94"/>
        <v>525</v>
      </c>
      <c r="O203" s="78">
        <f t="shared" si="95"/>
        <v>525</v>
      </c>
    </row>
    <row r="204" spans="1:15" x14ac:dyDescent="0.25">
      <c r="A204" s="31">
        <v>6</v>
      </c>
      <c r="B204" s="4" t="s">
        <v>1296</v>
      </c>
      <c r="C204" s="5">
        <v>1</v>
      </c>
      <c r="D204" s="7">
        <v>0</v>
      </c>
      <c r="E204" s="3">
        <f t="shared" si="90"/>
        <v>1</v>
      </c>
      <c r="F204" s="3" t="s">
        <v>867</v>
      </c>
      <c r="G204" s="77"/>
      <c r="H204" s="5" t="s">
        <v>1</v>
      </c>
      <c r="I204" s="78">
        <f t="shared" si="91"/>
        <v>0</v>
      </c>
      <c r="J204" s="110">
        <f t="shared" si="92"/>
        <v>75</v>
      </c>
      <c r="K204" s="4">
        <v>8.5</v>
      </c>
      <c r="L204" s="5" t="s">
        <v>1</v>
      </c>
      <c r="M204" s="80">
        <f t="shared" si="93"/>
        <v>8.5</v>
      </c>
      <c r="N204" s="78">
        <f t="shared" si="94"/>
        <v>637.5</v>
      </c>
      <c r="O204" s="78">
        <f t="shared" si="95"/>
        <v>637.5</v>
      </c>
    </row>
    <row r="205" spans="1:15" ht="15.75" thickBot="1" x14ac:dyDescent="0.3">
      <c r="A205" s="31"/>
      <c r="B205" s="255"/>
      <c r="C205" s="256"/>
      <c r="D205" s="256"/>
      <c r="E205" s="256"/>
      <c r="F205" s="256"/>
      <c r="G205" s="256"/>
      <c r="H205" s="256"/>
      <c r="I205" s="256"/>
      <c r="J205" s="256"/>
      <c r="K205" s="256"/>
      <c r="L205" s="256"/>
      <c r="M205" s="256"/>
      <c r="N205" s="256"/>
      <c r="O205" s="257"/>
    </row>
    <row r="206" spans="1:15" ht="15.75" thickBot="1" x14ac:dyDescent="0.3">
      <c r="A206" s="60" t="s">
        <v>1262</v>
      </c>
      <c r="B206" s="120" t="s">
        <v>1295</v>
      </c>
      <c r="C206" s="5"/>
      <c r="D206" s="7"/>
      <c r="E206" s="3"/>
      <c r="F206" s="3"/>
      <c r="G206" s="9"/>
      <c r="H206" s="5"/>
      <c r="I206" s="9"/>
      <c r="J206" s="9"/>
      <c r="K206" s="15"/>
      <c r="L206" s="5"/>
      <c r="M206" s="15"/>
      <c r="N206" s="4"/>
      <c r="O206" s="4"/>
    </row>
    <row r="207" spans="1:15" x14ac:dyDescent="0.25">
      <c r="A207" s="31">
        <v>1</v>
      </c>
      <c r="B207" s="4" t="s">
        <v>1294</v>
      </c>
      <c r="C207" s="5">
        <v>1</v>
      </c>
      <c r="D207" s="7">
        <v>0</v>
      </c>
      <c r="E207" s="3">
        <f t="shared" ref="E207:E223" si="96">C207+(C207*D207)</f>
        <v>1</v>
      </c>
      <c r="F207" s="3" t="s">
        <v>867</v>
      </c>
      <c r="G207" s="77"/>
      <c r="H207" s="5" t="s">
        <v>1</v>
      </c>
      <c r="I207" s="78">
        <f t="shared" ref="I207:I223" si="97">IF(H207="C",(G207/100)*E207,IF(H207="M",(G207/1000)*E207,G207*E207))</f>
        <v>0</v>
      </c>
      <c r="J207" s="110">
        <f t="shared" ref="J207:J223" si="98">$O$4</f>
        <v>75</v>
      </c>
      <c r="K207" s="4">
        <v>0.9</v>
      </c>
      <c r="L207" s="5" t="s">
        <v>1</v>
      </c>
      <c r="M207" s="80">
        <f t="shared" ref="M207:M223" si="99">IF(L207="C",(K207/100)*E207,IF(L207="M",(K207/1000)*E207,K207*E207))</f>
        <v>0.9</v>
      </c>
      <c r="N207" s="78">
        <f t="shared" ref="N207:N223" si="100">M207*J207</f>
        <v>67.5</v>
      </c>
      <c r="O207" s="78">
        <f t="shared" ref="O207:O223" si="101">N207+I207</f>
        <v>67.5</v>
      </c>
    </row>
    <row r="208" spans="1:15" x14ac:dyDescent="0.25">
      <c r="A208" s="31">
        <v>2</v>
      </c>
      <c r="B208" s="4" t="s">
        <v>1293</v>
      </c>
      <c r="C208" s="5">
        <v>1</v>
      </c>
      <c r="D208" s="7">
        <v>0</v>
      </c>
      <c r="E208" s="3">
        <f t="shared" si="96"/>
        <v>1</v>
      </c>
      <c r="F208" s="3" t="s">
        <v>867</v>
      </c>
      <c r="G208" s="77"/>
      <c r="H208" s="5" t="s">
        <v>1</v>
      </c>
      <c r="I208" s="78">
        <f t="shared" si="97"/>
        <v>0</v>
      </c>
      <c r="J208" s="110">
        <f t="shared" si="98"/>
        <v>75</v>
      </c>
      <c r="K208" s="4">
        <v>1</v>
      </c>
      <c r="L208" s="5" t="s">
        <v>1</v>
      </c>
      <c r="M208" s="80">
        <f t="shared" si="99"/>
        <v>1</v>
      </c>
      <c r="N208" s="78">
        <f t="shared" si="100"/>
        <v>75</v>
      </c>
      <c r="O208" s="78">
        <f t="shared" si="101"/>
        <v>75</v>
      </c>
    </row>
    <row r="209" spans="1:15" x14ac:dyDescent="0.25">
      <c r="A209" s="31">
        <v>3</v>
      </c>
      <c r="B209" s="4" t="s">
        <v>1292</v>
      </c>
      <c r="C209" s="5">
        <v>1</v>
      </c>
      <c r="D209" s="7">
        <v>0</v>
      </c>
      <c r="E209" s="3">
        <f t="shared" si="96"/>
        <v>1</v>
      </c>
      <c r="F209" s="3" t="s">
        <v>867</v>
      </c>
      <c r="G209" s="77"/>
      <c r="H209" s="5" t="s">
        <v>1</v>
      </c>
      <c r="I209" s="78">
        <f t="shared" si="97"/>
        <v>0</v>
      </c>
      <c r="J209" s="110">
        <f t="shared" si="98"/>
        <v>75</v>
      </c>
      <c r="K209" s="4">
        <v>1.5</v>
      </c>
      <c r="L209" s="5" t="s">
        <v>1</v>
      </c>
      <c r="M209" s="80">
        <f t="shared" si="99"/>
        <v>1.5</v>
      </c>
      <c r="N209" s="78">
        <f t="shared" si="100"/>
        <v>112.5</v>
      </c>
      <c r="O209" s="78">
        <f t="shared" si="101"/>
        <v>112.5</v>
      </c>
    </row>
    <row r="210" spans="1:15" x14ac:dyDescent="0.25">
      <c r="A210" s="31">
        <v>4</v>
      </c>
      <c r="B210" s="4" t="s">
        <v>1291</v>
      </c>
      <c r="C210" s="5">
        <v>1</v>
      </c>
      <c r="D210" s="7">
        <v>0</v>
      </c>
      <c r="E210" s="3">
        <f t="shared" si="96"/>
        <v>1</v>
      </c>
      <c r="F210" s="3" t="s">
        <v>867</v>
      </c>
      <c r="G210" s="77"/>
      <c r="H210" s="5" t="s">
        <v>1</v>
      </c>
      <c r="I210" s="78">
        <f t="shared" si="97"/>
        <v>0</v>
      </c>
      <c r="J210" s="110">
        <f t="shared" si="98"/>
        <v>75</v>
      </c>
      <c r="K210" s="4">
        <v>2.75</v>
      </c>
      <c r="L210" s="5" t="s">
        <v>1</v>
      </c>
      <c r="M210" s="80">
        <f t="shared" si="99"/>
        <v>2.75</v>
      </c>
      <c r="N210" s="78">
        <f t="shared" si="100"/>
        <v>206.25</v>
      </c>
      <c r="O210" s="78">
        <f t="shared" si="101"/>
        <v>206.25</v>
      </c>
    </row>
    <row r="211" spans="1:15" x14ac:dyDescent="0.25">
      <c r="A211" s="31">
        <v>5</v>
      </c>
      <c r="B211" s="8" t="s">
        <v>1290</v>
      </c>
      <c r="C211" s="5">
        <v>1</v>
      </c>
      <c r="D211" s="7">
        <v>0</v>
      </c>
      <c r="E211" s="3">
        <f t="shared" si="96"/>
        <v>1</v>
      </c>
      <c r="F211" s="3" t="s">
        <v>867</v>
      </c>
      <c r="G211" s="77"/>
      <c r="H211" s="5" t="s">
        <v>1</v>
      </c>
      <c r="I211" s="78">
        <f t="shared" si="97"/>
        <v>0</v>
      </c>
      <c r="J211" s="110">
        <f t="shared" si="98"/>
        <v>75</v>
      </c>
      <c r="K211" s="4">
        <v>3</v>
      </c>
      <c r="L211" s="5" t="s">
        <v>1</v>
      </c>
      <c r="M211" s="80">
        <f t="shared" si="99"/>
        <v>3</v>
      </c>
      <c r="N211" s="78">
        <f t="shared" si="100"/>
        <v>225</v>
      </c>
      <c r="O211" s="78">
        <f t="shared" si="101"/>
        <v>225</v>
      </c>
    </row>
    <row r="212" spans="1:15" x14ac:dyDescent="0.25">
      <c r="A212" s="31">
        <v>6</v>
      </c>
      <c r="B212" s="4" t="s">
        <v>1289</v>
      </c>
      <c r="C212" s="5">
        <v>1</v>
      </c>
      <c r="D212" s="7">
        <v>0</v>
      </c>
      <c r="E212" s="3">
        <f t="shared" si="96"/>
        <v>1</v>
      </c>
      <c r="F212" s="3" t="s">
        <v>867</v>
      </c>
      <c r="G212" s="77"/>
      <c r="H212" s="5" t="s">
        <v>1</v>
      </c>
      <c r="I212" s="78">
        <f t="shared" si="97"/>
        <v>0</v>
      </c>
      <c r="J212" s="110">
        <f t="shared" si="98"/>
        <v>75</v>
      </c>
      <c r="K212" s="4">
        <v>4</v>
      </c>
      <c r="L212" s="5" t="s">
        <v>1</v>
      </c>
      <c r="M212" s="80">
        <f t="shared" si="99"/>
        <v>4</v>
      </c>
      <c r="N212" s="78">
        <f t="shared" si="100"/>
        <v>300</v>
      </c>
      <c r="O212" s="78">
        <f t="shared" si="101"/>
        <v>300</v>
      </c>
    </row>
    <row r="213" spans="1:15" x14ac:dyDescent="0.25">
      <c r="A213" s="31">
        <v>7</v>
      </c>
      <c r="B213" s="4" t="s">
        <v>1288</v>
      </c>
      <c r="C213" s="5">
        <v>1</v>
      </c>
      <c r="D213" s="7">
        <v>0</v>
      </c>
      <c r="E213" s="3">
        <f t="shared" si="96"/>
        <v>1</v>
      </c>
      <c r="F213" s="3" t="s">
        <v>867</v>
      </c>
      <c r="G213" s="77"/>
      <c r="H213" s="5" t="s">
        <v>1</v>
      </c>
      <c r="I213" s="78">
        <f t="shared" si="97"/>
        <v>0</v>
      </c>
      <c r="J213" s="110">
        <f t="shared" si="98"/>
        <v>75</v>
      </c>
      <c r="K213" s="4">
        <v>5</v>
      </c>
      <c r="L213" s="5" t="s">
        <v>1</v>
      </c>
      <c r="M213" s="80">
        <f t="shared" si="99"/>
        <v>5</v>
      </c>
      <c r="N213" s="78">
        <f t="shared" si="100"/>
        <v>375</v>
      </c>
      <c r="O213" s="78">
        <f t="shared" si="101"/>
        <v>375</v>
      </c>
    </row>
    <row r="214" spans="1:15" x14ac:dyDescent="0.25">
      <c r="A214" s="31">
        <v>8</v>
      </c>
      <c r="B214" s="4" t="s">
        <v>1262</v>
      </c>
      <c r="C214" s="5">
        <v>1</v>
      </c>
      <c r="D214" s="7">
        <v>0</v>
      </c>
      <c r="E214" s="3">
        <f t="shared" si="96"/>
        <v>1</v>
      </c>
      <c r="F214" s="3" t="s">
        <v>867</v>
      </c>
      <c r="G214" s="77"/>
      <c r="H214" s="5" t="s">
        <v>1</v>
      </c>
      <c r="I214" s="78">
        <f t="shared" si="97"/>
        <v>0</v>
      </c>
      <c r="J214" s="110">
        <f t="shared" si="98"/>
        <v>75</v>
      </c>
      <c r="K214" s="4">
        <v>7</v>
      </c>
      <c r="L214" s="5" t="s">
        <v>1</v>
      </c>
      <c r="M214" s="80">
        <f t="shared" si="99"/>
        <v>7</v>
      </c>
      <c r="N214" s="78">
        <f t="shared" si="100"/>
        <v>525</v>
      </c>
      <c r="O214" s="78">
        <f t="shared" si="101"/>
        <v>525</v>
      </c>
    </row>
    <row r="215" spans="1:15" x14ac:dyDescent="0.25">
      <c r="A215" s="31">
        <v>9</v>
      </c>
      <c r="B215" s="4" t="s">
        <v>1287</v>
      </c>
      <c r="C215" s="5">
        <v>1</v>
      </c>
      <c r="D215" s="7">
        <v>0</v>
      </c>
      <c r="E215" s="3">
        <f t="shared" si="96"/>
        <v>1</v>
      </c>
      <c r="F215" s="3" t="s">
        <v>867</v>
      </c>
      <c r="G215" s="77"/>
      <c r="H215" s="5" t="s">
        <v>1</v>
      </c>
      <c r="I215" s="78">
        <f t="shared" si="97"/>
        <v>0</v>
      </c>
      <c r="J215" s="110">
        <f t="shared" si="98"/>
        <v>75</v>
      </c>
      <c r="K215" s="4">
        <v>9</v>
      </c>
      <c r="L215" s="5" t="s">
        <v>1</v>
      </c>
      <c r="M215" s="80">
        <f t="shared" si="99"/>
        <v>9</v>
      </c>
      <c r="N215" s="78">
        <f t="shared" si="100"/>
        <v>675</v>
      </c>
      <c r="O215" s="78">
        <f t="shared" si="101"/>
        <v>675</v>
      </c>
    </row>
    <row r="216" spans="1:15" x14ac:dyDescent="0.25">
      <c r="A216" s="31">
        <v>10</v>
      </c>
      <c r="B216" s="4" t="s">
        <v>1286</v>
      </c>
      <c r="C216" s="5">
        <v>1</v>
      </c>
      <c r="D216" s="7">
        <v>0</v>
      </c>
      <c r="E216" s="3">
        <f t="shared" si="96"/>
        <v>1</v>
      </c>
      <c r="F216" s="3" t="s">
        <v>867</v>
      </c>
      <c r="G216" s="77"/>
      <c r="H216" s="5" t="s">
        <v>1</v>
      </c>
      <c r="I216" s="78">
        <f t="shared" si="97"/>
        <v>0</v>
      </c>
      <c r="J216" s="110">
        <f t="shared" si="98"/>
        <v>75</v>
      </c>
      <c r="K216" s="4">
        <v>10</v>
      </c>
      <c r="L216" s="5" t="s">
        <v>1</v>
      </c>
      <c r="M216" s="80">
        <f t="shared" si="99"/>
        <v>10</v>
      </c>
      <c r="N216" s="78">
        <f t="shared" si="100"/>
        <v>750</v>
      </c>
      <c r="O216" s="78">
        <f t="shared" si="101"/>
        <v>750</v>
      </c>
    </row>
    <row r="217" spans="1:15" x14ac:dyDescent="0.25">
      <c r="A217" s="31">
        <v>11</v>
      </c>
      <c r="B217" s="4" t="s">
        <v>1285</v>
      </c>
      <c r="C217" s="5">
        <v>1</v>
      </c>
      <c r="D217" s="7">
        <v>0</v>
      </c>
      <c r="E217" s="3">
        <f t="shared" si="96"/>
        <v>1</v>
      </c>
      <c r="F217" s="3" t="s">
        <v>867</v>
      </c>
      <c r="G217" s="77"/>
      <c r="H217" s="5" t="s">
        <v>1</v>
      </c>
      <c r="I217" s="78">
        <f t="shared" si="97"/>
        <v>0</v>
      </c>
      <c r="J217" s="110">
        <f t="shared" si="98"/>
        <v>75</v>
      </c>
      <c r="K217" s="4">
        <v>11</v>
      </c>
      <c r="L217" s="5" t="s">
        <v>1</v>
      </c>
      <c r="M217" s="80">
        <f t="shared" si="99"/>
        <v>11</v>
      </c>
      <c r="N217" s="78">
        <f t="shared" si="100"/>
        <v>825</v>
      </c>
      <c r="O217" s="78">
        <f t="shared" si="101"/>
        <v>825</v>
      </c>
    </row>
    <row r="218" spans="1:15" x14ac:dyDescent="0.25">
      <c r="A218" s="31">
        <v>12</v>
      </c>
      <c r="B218" s="4" t="s">
        <v>1284</v>
      </c>
      <c r="C218" s="5">
        <v>1</v>
      </c>
      <c r="D218" s="7">
        <v>0</v>
      </c>
      <c r="E218" s="3">
        <f t="shared" si="96"/>
        <v>1</v>
      </c>
      <c r="F218" s="3" t="s">
        <v>867</v>
      </c>
      <c r="G218" s="77"/>
      <c r="H218" s="5" t="s">
        <v>1</v>
      </c>
      <c r="I218" s="78">
        <f t="shared" si="97"/>
        <v>0</v>
      </c>
      <c r="J218" s="110">
        <f t="shared" si="98"/>
        <v>75</v>
      </c>
      <c r="K218" s="4">
        <v>12</v>
      </c>
      <c r="L218" s="5" t="s">
        <v>1</v>
      </c>
      <c r="M218" s="80">
        <f t="shared" si="99"/>
        <v>12</v>
      </c>
      <c r="N218" s="78">
        <f t="shared" si="100"/>
        <v>900</v>
      </c>
      <c r="O218" s="78">
        <f t="shared" si="101"/>
        <v>900</v>
      </c>
    </row>
    <row r="219" spans="1:15" x14ac:dyDescent="0.25">
      <c r="A219" s="31">
        <v>13</v>
      </c>
      <c r="B219" s="4" t="s">
        <v>1283</v>
      </c>
      <c r="C219" s="5">
        <v>1</v>
      </c>
      <c r="D219" s="7">
        <v>0</v>
      </c>
      <c r="E219" s="3">
        <f t="shared" si="96"/>
        <v>1</v>
      </c>
      <c r="F219" s="3" t="s">
        <v>867</v>
      </c>
      <c r="G219" s="77"/>
      <c r="H219" s="5" t="s">
        <v>1</v>
      </c>
      <c r="I219" s="78">
        <f t="shared" si="97"/>
        <v>0</v>
      </c>
      <c r="J219" s="110">
        <f t="shared" si="98"/>
        <v>75</v>
      </c>
      <c r="K219" s="4">
        <v>16</v>
      </c>
      <c r="L219" s="5" t="s">
        <v>1</v>
      </c>
      <c r="M219" s="80">
        <f t="shared" si="99"/>
        <v>16</v>
      </c>
      <c r="N219" s="78">
        <f t="shared" si="100"/>
        <v>1200</v>
      </c>
      <c r="O219" s="78">
        <f t="shared" si="101"/>
        <v>1200</v>
      </c>
    </row>
    <row r="220" spans="1:15" ht="15" customHeight="1" x14ac:dyDescent="0.25">
      <c r="A220" s="31">
        <v>14</v>
      </c>
      <c r="B220" s="8" t="s">
        <v>1282</v>
      </c>
      <c r="C220" s="5">
        <v>1</v>
      </c>
      <c r="D220" s="7">
        <v>0</v>
      </c>
      <c r="E220" s="3">
        <f t="shared" si="96"/>
        <v>1</v>
      </c>
      <c r="F220" s="3" t="s">
        <v>867</v>
      </c>
      <c r="G220" s="77"/>
      <c r="H220" s="5" t="s">
        <v>1</v>
      </c>
      <c r="I220" s="78">
        <f t="shared" si="97"/>
        <v>0</v>
      </c>
      <c r="J220" s="110">
        <f t="shared" si="98"/>
        <v>75</v>
      </c>
      <c r="K220" s="4">
        <v>17</v>
      </c>
      <c r="L220" s="5" t="s">
        <v>1</v>
      </c>
      <c r="M220" s="80">
        <f t="shared" si="99"/>
        <v>17</v>
      </c>
      <c r="N220" s="78">
        <f t="shared" si="100"/>
        <v>1275</v>
      </c>
      <c r="O220" s="78">
        <f t="shared" si="101"/>
        <v>1275</v>
      </c>
    </row>
    <row r="221" spans="1:15" x14ac:dyDescent="0.25">
      <c r="A221" s="31">
        <v>15</v>
      </c>
      <c r="B221" s="4" t="s">
        <v>1281</v>
      </c>
      <c r="C221" s="5">
        <v>1</v>
      </c>
      <c r="D221" s="7">
        <v>0</v>
      </c>
      <c r="E221" s="3">
        <f t="shared" si="96"/>
        <v>1</v>
      </c>
      <c r="F221" s="3" t="s">
        <v>867</v>
      </c>
      <c r="G221" s="77"/>
      <c r="H221" s="5" t="s">
        <v>1</v>
      </c>
      <c r="I221" s="78">
        <f t="shared" si="97"/>
        <v>0</v>
      </c>
      <c r="J221" s="110">
        <f t="shared" si="98"/>
        <v>75</v>
      </c>
      <c r="K221" s="4">
        <v>20</v>
      </c>
      <c r="L221" s="5" t="s">
        <v>1</v>
      </c>
      <c r="M221" s="80">
        <f t="shared" si="99"/>
        <v>20</v>
      </c>
      <c r="N221" s="78">
        <f t="shared" si="100"/>
        <v>1500</v>
      </c>
      <c r="O221" s="78">
        <f t="shared" si="101"/>
        <v>1500</v>
      </c>
    </row>
    <row r="222" spans="1:15" x14ac:dyDescent="0.25">
      <c r="A222" s="31">
        <v>16</v>
      </c>
      <c r="B222" s="4" t="s">
        <v>1280</v>
      </c>
      <c r="C222" s="5">
        <v>1</v>
      </c>
      <c r="D222" s="7">
        <v>0</v>
      </c>
      <c r="E222" s="3">
        <f t="shared" si="96"/>
        <v>1</v>
      </c>
      <c r="F222" s="3" t="s">
        <v>867</v>
      </c>
      <c r="G222" s="77"/>
      <c r="H222" s="5" t="s">
        <v>1</v>
      </c>
      <c r="I222" s="78">
        <f t="shared" si="97"/>
        <v>0</v>
      </c>
      <c r="J222" s="110">
        <f t="shared" si="98"/>
        <v>75</v>
      </c>
      <c r="K222" s="4">
        <v>24</v>
      </c>
      <c r="L222" s="5" t="s">
        <v>1</v>
      </c>
      <c r="M222" s="80">
        <f t="shared" si="99"/>
        <v>24</v>
      </c>
      <c r="N222" s="78">
        <f t="shared" si="100"/>
        <v>1800</v>
      </c>
      <c r="O222" s="78">
        <f t="shared" si="101"/>
        <v>1800</v>
      </c>
    </row>
    <row r="223" spans="1:15" x14ac:dyDescent="0.25">
      <c r="A223" s="31">
        <v>17</v>
      </c>
      <c r="B223" s="4" t="s">
        <v>1279</v>
      </c>
      <c r="C223" s="5">
        <v>1</v>
      </c>
      <c r="D223" s="7">
        <v>0</v>
      </c>
      <c r="E223" s="3">
        <f t="shared" si="96"/>
        <v>1</v>
      </c>
      <c r="F223" s="3" t="s">
        <v>867</v>
      </c>
      <c r="G223" s="77"/>
      <c r="H223" s="5" t="s">
        <v>1</v>
      </c>
      <c r="I223" s="78">
        <f t="shared" si="97"/>
        <v>0</v>
      </c>
      <c r="J223" s="110">
        <f t="shared" si="98"/>
        <v>75</v>
      </c>
      <c r="K223" s="4">
        <v>28</v>
      </c>
      <c r="L223" s="5" t="s">
        <v>1</v>
      </c>
      <c r="M223" s="80">
        <f t="shared" si="99"/>
        <v>28</v>
      </c>
      <c r="N223" s="78">
        <f t="shared" si="100"/>
        <v>2100</v>
      </c>
      <c r="O223" s="78">
        <f t="shared" si="101"/>
        <v>2100</v>
      </c>
    </row>
    <row r="224" spans="1:15" ht="15.75" thickBot="1" x14ac:dyDescent="0.3">
      <c r="A224" s="31"/>
      <c r="B224" s="255"/>
      <c r="C224" s="256"/>
      <c r="D224" s="256"/>
      <c r="E224" s="256"/>
      <c r="F224" s="256"/>
      <c r="G224" s="256"/>
      <c r="H224" s="256"/>
      <c r="I224" s="256"/>
      <c r="J224" s="256"/>
      <c r="K224" s="256"/>
      <c r="L224" s="256"/>
      <c r="M224" s="256"/>
      <c r="N224" s="256"/>
      <c r="O224" s="257"/>
    </row>
    <row r="225" spans="1:15" ht="15.75" thickBot="1" x14ac:dyDescent="0.3">
      <c r="A225" s="60" t="s">
        <v>1262</v>
      </c>
      <c r="B225" s="120" t="s">
        <v>1278</v>
      </c>
      <c r="C225" s="5"/>
      <c r="D225" s="7"/>
      <c r="E225" s="3"/>
      <c r="F225" s="3"/>
      <c r="G225" s="9"/>
      <c r="H225" s="5"/>
      <c r="I225" s="9"/>
      <c r="J225" s="9"/>
      <c r="K225" s="15"/>
      <c r="L225" s="5"/>
      <c r="M225" s="15"/>
      <c r="N225" s="4"/>
      <c r="O225" s="4"/>
    </row>
    <row r="226" spans="1:15" x14ac:dyDescent="0.25">
      <c r="A226" s="31">
        <v>1</v>
      </c>
      <c r="B226" s="4" t="s">
        <v>1277</v>
      </c>
      <c r="C226" s="5">
        <v>1</v>
      </c>
      <c r="D226" s="7">
        <v>0</v>
      </c>
      <c r="E226" s="3">
        <f t="shared" ref="E226:E240" si="102">C226+(C226*D226)</f>
        <v>1</v>
      </c>
      <c r="F226" s="3" t="s">
        <v>867</v>
      </c>
      <c r="G226" s="77"/>
      <c r="H226" s="5" t="s">
        <v>1</v>
      </c>
      <c r="I226" s="78">
        <f t="shared" ref="I226:I240" si="103">IF(H226="C",(G226/100)*E226,IF(H226="M",(G226/1000)*E226,G226*E226))</f>
        <v>0</v>
      </c>
      <c r="J226" s="110">
        <f t="shared" ref="J226:J240" si="104">$O$4</f>
        <v>75</v>
      </c>
      <c r="K226" s="4">
        <v>3</v>
      </c>
      <c r="L226" s="5" t="s">
        <v>1</v>
      </c>
      <c r="M226" s="80">
        <f t="shared" ref="M226:M240" si="105">IF(L226="C",(K226/100)*E226,IF(L226="M",(K226/1000)*E226,K226*E226))</f>
        <v>3</v>
      </c>
      <c r="N226" s="78">
        <f t="shared" ref="N226:N240" si="106">M226*J226</f>
        <v>225</v>
      </c>
      <c r="O226" s="78">
        <f t="shared" ref="O226:O240" si="107">N226+I226</f>
        <v>225</v>
      </c>
    </row>
    <row r="227" spans="1:15" x14ac:dyDescent="0.25">
      <c r="A227" s="31">
        <v>2</v>
      </c>
      <c r="B227" s="4" t="s">
        <v>1276</v>
      </c>
      <c r="C227" s="5">
        <v>1</v>
      </c>
      <c r="D227" s="7">
        <v>0</v>
      </c>
      <c r="E227" s="3">
        <f t="shared" si="102"/>
        <v>1</v>
      </c>
      <c r="F227" s="3" t="s">
        <v>867</v>
      </c>
      <c r="G227" s="77"/>
      <c r="H227" s="5" t="s">
        <v>1</v>
      </c>
      <c r="I227" s="78">
        <f t="shared" si="103"/>
        <v>0</v>
      </c>
      <c r="J227" s="110">
        <f t="shared" si="104"/>
        <v>75</v>
      </c>
      <c r="K227" s="4">
        <v>4</v>
      </c>
      <c r="L227" s="5" t="s">
        <v>1</v>
      </c>
      <c r="M227" s="80">
        <f t="shared" si="105"/>
        <v>4</v>
      </c>
      <c r="N227" s="78">
        <f t="shared" si="106"/>
        <v>300</v>
      </c>
      <c r="O227" s="78">
        <f t="shared" si="107"/>
        <v>300</v>
      </c>
    </row>
    <row r="228" spans="1:15" x14ac:dyDescent="0.25">
      <c r="A228" s="31">
        <v>3</v>
      </c>
      <c r="B228" s="4" t="s">
        <v>1275</v>
      </c>
      <c r="C228" s="5">
        <v>1</v>
      </c>
      <c r="D228" s="7">
        <v>0</v>
      </c>
      <c r="E228" s="3">
        <f t="shared" si="102"/>
        <v>1</v>
      </c>
      <c r="F228" s="3" t="s">
        <v>867</v>
      </c>
      <c r="G228" s="77"/>
      <c r="H228" s="5" t="s">
        <v>1</v>
      </c>
      <c r="I228" s="78">
        <f t="shared" si="103"/>
        <v>0</v>
      </c>
      <c r="J228" s="110">
        <f t="shared" si="104"/>
        <v>75</v>
      </c>
      <c r="K228" s="4">
        <v>6</v>
      </c>
      <c r="L228" s="5" t="s">
        <v>1</v>
      </c>
      <c r="M228" s="80">
        <f t="shared" si="105"/>
        <v>6</v>
      </c>
      <c r="N228" s="78">
        <f t="shared" si="106"/>
        <v>450</v>
      </c>
      <c r="O228" s="78">
        <f t="shared" si="107"/>
        <v>450</v>
      </c>
    </row>
    <row r="229" spans="1:15" x14ac:dyDescent="0.25">
      <c r="A229" s="31">
        <v>4</v>
      </c>
      <c r="B229" s="4" t="s">
        <v>1274</v>
      </c>
      <c r="C229" s="5">
        <v>1</v>
      </c>
      <c r="D229" s="7">
        <v>0</v>
      </c>
      <c r="E229" s="3">
        <f t="shared" si="102"/>
        <v>1</v>
      </c>
      <c r="F229" s="3" t="s">
        <v>867</v>
      </c>
      <c r="G229" s="77"/>
      <c r="H229" s="5" t="s">
        <v>1</v>
      </c>
      <c r="I229" s="78">
        <f t="shared" si="103"/>
        <v>0</v>
      </c>
      <c r="J229" s="110">
        <f t="shared" si="104"/>
        <v>75</v>
      </c>
      <c r="K229" s="4">
        <v>8</v>
      </c>
      <c r="L229" s="5" t="s">
        <v>1</v>
      </c>
      <c r="M229" s="80">
        <f t="shared" si="105"/>
        <v>8</v>
      </c>
      <c r="N229" s="78">
        <f t="shared" si="106"/>
        <v>600</v>
      </c>
      <c r="O229" s="78">
        <f t="shared" si="107"/>
        <v>600</v>
      </c>
    </row>
    <row r="230" spans="1:15" x14ac:dyDescent="0.25">
      <c r="A230" s="31">
        <v>5</v>
      </c>
      <c r="B230" s="4" t="s">
        <v>1273</v>
      </c>
      <c r="C230" s="5">
        <v>1</v>
      </c>
      <c r="D230" s="7">
        <v>0</v>
      </c>
      <c r="E230" s="3">
        <f t="shared" si="102"/>
        <v>1</v>
      </c>
      <c r="F230" s="3" t="s">
        <v>867</v>
      </c>
      <c r="G230" s="77"/>
      <c r="H230" s="5" t="s">
        <v>1</v>
      </c>
      <c r="I230" s="78">
        <f t="shared" si="103"/>
        <v>0</v>
      </c>
      <c r="J230" s="110">
        <f t="shared" si="104"/>
        <v>75</v>
      </c>
      <c r="K230" s="4">
        <v>10</v>
      </c>
      <c r="L230" s="5" t="s">
        <v>1</v>
      </c>
      <c r="M230" s="80">
        <f t="shared" si="105"/>
        <v>10</v>
      </c>
      <c r="N230" s="78">
        <f t="shared" si="106"/>
        <v>750</v>
      </c>
      <c r="O230" s="78">
        <f t="shared" si="107"/>
        <v>750</v>
      </c>
    </row>
    <row r="231" spans="1:15" x14ac:dyDescent="0.25">
      <c r="A231" s="31">
        <v>6</v>
      </c>
      <c r="B231" s="4" t="s">
        <v>1272</v>
      </c>
      <c r="C231" s="5">
        <v>1</v>
      </c>
      <c r="D231" s="7">
        <v>0</v>
      </c>
      <c r="E231" s="3">
        <f t="shared" si="102"/>
        <v>1</v>
      </c>
      <c r="F231" s="3" t="s">
        <v>867</v>
      </c>
      <c r="G231" s="77"/>
      <c r="H231" s="5" t="s">
        <v>1</v>
      </c>
      <c r="I231" s="78">
        <f t="shared" si="103"/>
        <v>0</v>
      </c>
      <c r="J231" s="110">
        <f t="shared" si="104"/>
        <v>75</v>
      </c>
      <c r="K231" s="4">
        <v>11</v>
      </c>
      <c r="L231" s="5" t="s">
        <v>1</v>
      </c>
      <c r="M231" s="80">
        <f t="shared" si="105"/>
        <v>11</v>
      </c>
      <c r="N231" s="78">
        <f t="shared" si="106"/>
        <v>825</v>
      </c>
      <c r="O231" s="78">
        <f t="shared" si="107"/>
        <v>825</v>
      </c>
    </row>
    <row r="232" spans="1:15" x14ac:dyDescent="0.25">
      <c r="A232" s="31">
        <v>7</v>
      </c>
      <c r="B232" s="4" t="s">
        <v>1271</v>
      </c>
      <c r="C232" s="5">
        <v>1</v>
      </c>
      <c r="D232" s="7">
        <v>0</v>
      </c>
      <c r="E232" s="3">
        <f t="shared" si="102"/>
        <v>1</v>
      </c>
      <c r="F232" s="3" t="s">
        <v>867</v>
      </c>
      <c r="G232" s="77"/>
      <c r="H232" s="5" t="s">
        <v>1</v>
      </c>
      <c r="I232" s="78">
        <f t="shared" si="103"/>
        <v>0</v>
      </c>
      <c r="J232" s="110">
        <f t="shared" si="104"/>
        <v>75</v>
      </c>
      <c r="K232" s="4">
        <v>15</v>
      </c>
      <c r="L232" s="5" t="s">
        <v>1</v>
      </c>
      <c r="M232" s="80">
        <f t="shared" si="105"/>
        <v>15</v>
      </c>
      <c r="N232" s="78">
        <f t="shared" si="106"/>
        <v>1125</v>
      </c>
      <c r="O232" s="78">
        <f t="shared" si="107"/>
        <v>1125</v>
      </c>
    </row>
    <row r="233" spans="1:15" x14ac:dyDescent="0.25">
      <c r="A233" s="31">
        <v>8</v>
      </c>
      <c r="B233" s="4" t="s">
        <v>1270</v>
      </c>
      <c r="C233" s="5">
        <v>1</v>
      </c>
      <c r="D233" s="7">
        <v>0</v>
      </c>
      <c r="E233" s="3">
        <f t="shared" si="102"/>
        <v>1</v>
      </c>
      <c r="F233" s="3" t="s">
        <v>867</v>
      </c>
      <c r="G233" s="77"/>
      <c r="H233" s="5" t="s">
        <v>1</v>
      </c>
      <c r="I233" s="78">
        <f t="shared" si="103"/>
        <v>0</v>
      </c>
      <c r="J233" s="110">
        <f t="shared" si="104"/>
        <v>75</v>
      </c>
      <c r="K233" s="4">
        <v>17</v>
      </c>
      <c r="L233" s="5" t="s">
        <v>1</v>
      </c>
      <c r="M233" s="80">
        <f t="shared" si="105"/>
        <v>17</v>
      </c>
      <c r="N233" s="78">
        <f t="shared" si="106"/>
        <v>1275</v>
      </c>
      <c r="O233" s="78">
        <f t="shared" si="107"/>
        <v>1275</v>
      </c>
    </row>
    <row r="234" spans="1:15" x14ac:dyDescent="0.25">
      <c r="A234" s="31">
        <v>9</v>
      </c>
      <c r="B234" s="4" t="s">
        <v>1269</v>
      </c>
      <c r="C234" s="5">
        <v>1</v>
      </c>
      <c r="D234" s="7">
        <v>0</v>
      </c>
      <c r="E234" s="3">
        <f t="shared" si="102"/>
        <v>1</v>
      </c>
      <c r="F234" s="3" t="s">
        <v>867</v>
      </c>
      <c r="G234" s="77"/>
      <c r="H234" s="5" t="s">
        <v>1</v>
      </c>
      <c r="I234" s="78">
        <f t="shared" si="103"/>
        <v>0</v>
      </c>
      <c r="J234" s="110">
        <f t="shared" si="104"/>
        <v>75</v>
      </c>
      <c r="K234" s="4">
        <v>20</v>
      </c>
      <c r="L234" s="5" t="s">
        <v>1</v>
      </c>
      <c r="M234" s="80">
        <f t="shared" si="105"/>
        <v>20</v>
      </c>
      <c r="N234" s="78">
        <f t="shared" si="106"/>
        <v>1500</v>
      </c>
      <c r="O234" s="78">
        <f t="shared" si="107"/>
        <v>1500</v>
      </c>
    </row>
    <row r="235" spans="1:15" x14ac:dyDescent="0.25">
      <c r="A235" s="31">
        <v>10</v>
      </c>
      <c r="B235" s="4" t="s">
        <v>1268</v>
      </c>
      <c r="C235" s="5">
        <v>1</v>
      </c>
      <c r="D235" s="7">
        <v>0</v>
      </c>
      <c r="E235" s="3">
        <f t="shared" si="102"/>
        <v>1</v>
      </c>
      <c r="F235" s="3" t="s">
        <v>867</v>
      </c>
      <c r="G235" s="77"/>
      <c r="H235" s="5" t="s">
        <v>1</v>
      </c>
      <c r="I235" s="78">
        <f t="shared" si="103"/>
        <v>0</v>
      </c>
      <c r="J235" s="110">
        <f t="shared" si="104"/>
        <v>75</v>
      </c>
      <c r="K235" s="4">
        <v>22</v>
      </c>
      <c r="L235" s="5" t="s">
        <v>1</v>
      </c>
      <c r="M235" s="80">
        <f t="shared" si="105"/>
        <v>22</v>
      </c>
      <c r="N235" s="78">
        <f t="shared" si="106"/>
        <v>1650</v>
      </c>
      <c r="O235" s="78">
        <f t="shared" si="107"/>
        <v>1650</v>
      </c>
    </row>
    <row r="236" spans="1:15" x14ac:dyDescent="0.25">
      <c r="A236" s="31">
        <v>11</v>
      </c>
      <c r="B236" s="4" t="s">
        <v>1267</v>
      </c>
      <c r="C236" s="5">
        <v>1</v>
      </c>
      <c r="D236" s="7">
        <v>0</v>
      </c>
      <c r="E236" s="3">
        <f t="shared" si="102"/>
        <v>1</v>
      </c>
      <c r="F236" s="3" t="s">
        <v>867</v>
      </c>
      <c r="G236" s="77"/>
      <c r="H236" s="5" t="s">
        <v>1</v>
      </c>
      <c r="I236" s="78">
        <f t="shared" si="103"/>
        <v>0</v>
      </c>
      <c r="J236" s="110">
        <f t="shared" si="104"/>
        <v>75</v>
      </c>
      <c r="K236" s="4">
        <v>24</v>
      </c>
      <c r="L236" s="5" t="s">
        <v>1</v>
      </c>
      <c r="M236" s="80">
        <f t="shared" si="105"/>
        <v>24</v>
      </c>
      <c r="N236" s="78">
        <f t="shared" si="106"/>
        <v>1800</v>
      </c>
      <c r="O236" s="78">
        <f t="shared" si="107"/>
        <v>1800</v>
      </c>
    </row>
    <row r="237" spans="1:15" x14ac:dyDescent="0.25">
      <c r="A237" s="31">
        <v>12</v>
      </c>
      <c r="B237" s="4" t="s">
        <v>1266</v>
      </c>
      <c r="C237" s="5">
        <v>1</v>
      </c>
      <c r="D237" s="7">
        <v>0</v>
      </c>
      <c r="E237" s="3">
        <f t="shared" si="102"/>
        <v>1</v>
      </c>
      <c r="F237" s="3" t="s">
        <v>867</v>
      </c>
      <c r="G237" s="77"/>
      <c r="H237" s="5" t="s">
        <v>1</v>
      </c>
      <c r="I237" s="78">
        <f t="shared" si="103"/>
        <v>0</v>
      </c>
      <c r="J237" s="110">
        <f t="shared" si="104"/>
        <v>75</v>
      </c>
      <c r="K237" s="4">
        <v>26</v>
      </c>
      <c r="L237" s="5" t="s">
        <v>1</v>
      </c>
      <c r="M237" s="80">
        <f t="shared" si="105"/>
        <v>26</v>
      </c>
      <c r="N237" s="78">
        <f t="shared" si="106"/>
        <v>1950</v>
      </c>
      <c r="O237" s="78">
        <f t="shared" si="107"/>
        <v>1950</v>
      </c>
    </row>
    <row r="238" spans="1:15" x14ac:dyDescent="0.25">
      <c r="A238" s="31">
        <v>13</v>
      </c>
      <c r="B238" s="4" t="s">
        <v>1265</v>
      </c>
      <c r="C238" s="5">
        <v>1</v>
      </c>
      <c r="D238" s="7">
        <v>0</v>
      </c>
      <c r="E238" s="3">
        <f t="shared" si="102"/>
        <v>1</v>
      </c>
      <c r="F238" s="3" t="s">
        <v>867</v>
      </c>
      <c r="G238" s="77"/>
      <c r="H238" s="5" t="s">
        <v>1</v>
      </c>
      <c r="I238" s="78">
        <f t="shared" si="103"/>
        <v>0</v>
      </c>
      <c r="J238" s="110">
        <f t="shared" si="104"/>
        <v>75</v>
      </c>
      <c r="K238" s="4">
        <v>30</v>
      </c>
      <c r="L238" s="5" t="s">
        <v>1</v>
      </c>
      <c r="M238" s="80">
        <f t="shared" si="105"/>
        <v>30</v>
      </c>
      <c r="N238" s="78">
        <f t="shared" si="106"/>
        <v>2250</v>
      </c>
      <c r="O238" s="78">
        <f t="shared" si="107"/>
        <v>2250</v>
      </c>
    </row>
    <row r="239" spans="1:15" x14ac:dyDescent="0.25">
      <c r="A239" s="31">
        <v>14</v>
      </c>
      <c r="B239" s="4" t="s">
        <v>1264</v>
      </c>
      <c r="C239" s="5">
        <v>1</v>
      </c>
      <c r="D239" s="7">
        <v>0</v>
      </c>
      <c r="E239" s="3">
        <f t="shared" si="102"/>
        <v>1</v>
      </c>
      <c r="F239" s="3" t="s">
        <v>867</v>
      </c>
      <c r="G239" s="77"/>
      <c r="H239" s="5" t="s">
        <v>1</v>
      </c>
      <c r="I239" s="78">
        <f t="shared" si="103"/>
        <v>0</v>
      </c>
      <c r="J239" s="110">
        <f t="shared" si="104"/>
        <v>75</v>
      </c>
      <c r="K239" s="4">
        <v>42.5</v>
      </c>
      <c r="L239" s="5" t="s">
        <v>1</v>
      </c>
      <c r="M239" s="80">
        <f t="shared" si="105"/>
        <v>42.5</v>
      </c>
      <c r="N239" s="78">
        <f t="shared" si="106"/>
        <v>3187.5</v>
      </c>
      <c r="O239" s="78">
        <f t="shared" si="107"/>
        <v>3187.5</v>
      </c>
    </row>
    <row r="240" spans="1:15" x14ac:dyDescent="0.25">
      <c r="A240" s="31">
        <v>15</v>
      </c>
      <c r="B240" s="4" t="s">
        <v>1263</v>
      </c>
      <c r="C240" s="5">
        <v>1</v>
      </c>
      <c r="D240" s="7">
        <v>0</v>
      </c>
      <c r="E240" s="3">
        <f t="shared" si="102"/>
        <v>1</v>
      </c>
      <c r="F240" s="3" t="s">
        <v>867</v>
      </c>
      <c r="G240" s="77"/>
      <c r="H240" s="5" t="s">
        <v>1</v>
      </c>
      <c r="I240" s="78">
        <f t="shared" si="103"/>
        <v>0</v>
      </c>
      <c r="J240" s="110">
        <f t="shared" si="104"/>
        <v>75</v>
      </c>
      <c r="K240" s="4">
        <v>47.5</v>
      </c>
      <c r="L240" s="5" t="s">
        <v>1</v>
      </c>
      <c r="M240" s="80">
        <f t="shared" si="105"/>
        <v>47.5</v>
      </c>
      <c r="N240" s="78">
        <f t="shared" si="106"/>
        <v>3562.5</v>
      </c>
      <c r="O240" s="78">
        <f t="shared" si="107"/>
        <v>3562.5</v>
      </c>
    </row>
    <row r="241" spans="1:15" ht="15.75" thickBot="1" x14ac:dyDescent="0.3">
      <c r="A241" s="31"/>
      <c r="B241" s="255"/>
      <c r="C241" s="256"/>
      <c r="D241" s="256"/>
      <c r="E241" s="256"/>
      <c r="F241" s="256"/>
      <c r="G241" s="256"/>
      <c r="H241" s="256"/>
      <c r="I241" s="256"/>
      <c r="J241" s="256"/>
      <c r="K241" s="256"/>
      <c r="L241" s="256"/>
      <c r="M241" s="256"/>
      <c r="N241" s="256"/>
      <c r="O241" s="257"/>
    </row>
    <row r="242" spans="1:15" ht="15.75" thickBot="1" x14ac:dyDescent="0.3">
      <c r="A242" s="60" t="s">
        <v>1262</v>
      </c>
      <c r="B242" s="120" t="s">
        <v>1261</v>
      </c>
      <c r="C242" s="5"/>
      <c r="D242" s="7"/>
      <c r="E242" s="3"/>
      <c r="F242" s="3"/>
      <c r="G242" s="9"/>
      <c r="H242" s="5"/>
      <c r="I242" s="9"/>
      <c r="J242" s="9"/>
      <c r="K242" s="15"/>
      <c r="L242" s="5"/>
      <c r="M242" s="15"/>
      <c r="N242" s="4"/>
      <c r="O242" s="4"/>
    </row>
    <row r="243" spans="1:15" x14ac:dyDescent="0.25">
      <c r="A243" s="31">
        <v>1</v>
      </c>
      <c r="B243" s="4" t="s">
        <v>1260</v>
      </c>
      <c r="C243" s="5">
        <v>1</v>
      </c>
      <c r="D243" s="7">
        <v>0</v>
      </c>
      <c r="E243" s="3">
        <f t="shared" ref="E243:E249" si="108">C243+(C243*D243)</f>
        <v>1</v>
      </c>
      <c r="F243" s="3" t="s">
        <v>867</v>
      </c>
      <c r="G243" s="77"/>
      <c r="H243" s="5" t="s">
        <v>1</v>
      </c>
      <c r="I243" s="78">
        <f t="shared" ref="I243:I249" si="109">IF(H243="C",(G243/100)*E243,IF(H243="M",(G243/1000)*E243,G243*E243))</f>
        <v>0</v>
      </c>
      <c r="J243" s="110">
        <f t="shared" ref="J243:J249" si="110">$O$4</f>
        <v>75</v>
      </c>
      <c r="K243" s="4">
        <v>2</v>
      </c>
      <c r="L243" s="5" t="s">
        <v>1</v>
      </c>
      <c r="M243" s="80">
        <f t="shared" ref="M243:M249" si="111">IF(L243="C",(K243/100)*E243,IF(L243="M",(K243/1000)*E243,K243*E243))</f>
        <v>2</v>
      </c>
      <c r="N243" s="78">
        <f t="shared" ref="N243:N249" si="112">M243*J243</f>
        <v>150</v>
      </c>
      <c r="O243" s="78">
        <f t="shared" ref="O243:O249" si="113">N243+I243</f>
        <v>150</v>
      </c>
    </row>
    <row r="244" spans="1:15" x14ac:dyDescent="0.25">
      <c r="A244" s="31">
        <v>2</v>
      </c>
      <c r="B244" s="4" t="s">
        <v>1259</v>
      </c>
      <c r="C244" s="5">
        <v>1</v>
      </c>
      <c r="D244" s="7">
        <v>0</v>
      </c>
      <c r="E244" s="3">
        <f t="shared" si="108"/>
        <v>1</v>
      </c>
      <c r="F244" s="3" t="s">
        <v>867</v>
      </c>
      <c r="G244" s="77"/>
      <c r="H244" s="5" t="s">
        <v>1</v>
      </c>
      <c r="I244" s="78">
        <f t="shared" si="109"/>
        <v>0</v>
      </c>
      <c r="J244" s="110">
        <f t="shared" si="110"/>
        <v>75</v>
      </c>
      <c r="K244" s="4">
        <v>2.5</v>
      </c>
      <c r="L244" s="5" t="s">
        <v>1</v>
      </c>
      <c r="M244" s="80">
        <f t="shared" si="111"/>
        <v>2.5</v>
      </c>
      <c r="N244" s="78">
        <f t="shared" si="112"/>
        <v>187.5</v>
      </c>
      <c r="O244" s="78">
        <f t="shared" si="113"/>
        <v>187.5</v>
      </c>
    </row>
    <row r="245" spans="1:15" x14ac:dyDescent="0.25">
      <c r="A245" s="31">
        <v>3</v>
      </c>
      <c r="B245" s="4" t="s">
        <v>1258</v>
      </c>
      <c r="C245" s="5">
        <v>1</v>
      </c>
      <c r="D245" s="7">
        <v>0</v>
      </c>
      <c r="E245" s="3">
        <f t="shared" si="108"/>
        <v>1</v>
      </c>
      <c r="F245" s="3" t="s">
        <v>867</v>
      </c>
      <c r="G245" s="77"/>
      <c r="H245" s="5" t="s">
        <v>1</v>
      </c>
      <c r="I245" s="78">
        <f t="shared" si="109"/>
        <v>0</v>
      </c>
      <c r="J245" s="110">
        <f t="shared" si="110"/>
        <v>75</v>
      </c>
      <c r="K245" s="4">
        <v>3.5</v>
      </c>
      <c r="L245" s="5" t="s">
        <v>1</v>
      </c>
      <c r="M245" s="80">
        <f t="shared" si="111"/>
        <v>3.5</v>
      </c>
      <c r="N245" s="78">
        <f t="shared" si="112"/>
        <v>262.5</v>
      </c>
      <c r="O245" s="78">
        <f t="shared" si="113"/>
        <v>262.5</v>
      </c>
    </row>
    <row r="246" spans="1:15" x14ac:dyDescent="0.25">
      <c r="A246" s="31">
        <v>4</v>
      </c>
      <c r="B246" s="4" t="s">
        <v>1257</v>
      </c>
      <c r="C246" s="5">
        <v>1</v>
      </c>
      <c r="D246" s="7">
        <v>0</v>
      </c>
      <c r="E246" s="3">
        <f t="shared" si="108"/>
        <v>1</v>
      </c>
      <c r="F246" s="3" t="s">
        <v>867</v>
      </c>
      <c r="G246" s="77"/>
      <c r="H246" s="5" t="s">
        <v>1</v>
      </c>
      <c r="I246" s="78">
        <f t="shared" si="109"/>
        <v>0</v>
      </c>
      <c r="J246" s="110">
        <f t="shared" si="110"/>
        <v>75</v>
      </c>
      <c r="K246" s="4">
        <v>5</v>
      </c>
      <c r="L246" s="5" t="s">
        <v>1</v>
      </c>
      <c r="M246" s="80">
        <f t="shared" si="111"/>
        <v>5</v>
      </c>
      <c r="N246" s="78">
        <f t="shared" si="112"/>
        <v>375</v>
      </c>
      <c r="O246" s="78">
        <f t="shared" si="113"/>
        <v>375</v>
      </c>
    </row>
    <row r="247" spans="1:15" x14ac:dyDescent="0.25">
      <c r="A247" s="31">
        <v>5</v>
      </c>
      <c r="B247" s="4" t="s">
        <v>1256</v>
      </c>
      <c r="C247" s="5">
        <v>1</v>
      </c>
      <c r="D247" s="7">
        <v>0</v>
      </c>
      <c r="E247" s="3">
        <f t="shared" si="108"/>
        <v>1</v>
      </c>
      <c r="F247" s="3" t="s">
        <v>867</v>
      </c>
      <c r="G247" s="77"/>
      <c r="H247" s="5" t="s">
        <v>1</v>
      </c>
      <c r="I247" s="78">
        <f t="shared" si="109"/>
        <v>0</v>
      </c>
      <c r="J247" s="110">
        <f t="shared" si="110"/>
        <v>75</v>
      </c>
      <c r="K247" s="4">
        <v>7</v>
      </c>
      <c r="L247" s="5" t="s">
        <v>1</v>
      </c>
      <c r="M247" s="80">
        <f t="shared" si="111"/>
        <v>7</v>
      </c>
      <c r="N247" s="78">
        <f t="shared" si="112"/>
        <v>525</v>
      </c>
      <c r="O247" s="78">
        <f t="shared" si="113"/>
        <v>525</v>
      </c>
    </row>
    <row r="248" spans="1:15" x14ac:dyDescent="0.25">
      <c r="A248" s="31">
        <v>6</v>
      </c>
      <c r="B248" s="4" t="s">
        <v>1255</v>
      </c>
      <c r="C248" s="5">
        <v>1</v>
      </c>
      <c r="D248" s="7">
        <v>0</v>
      </c>
      <c r="E248" s="3">
        <f t="shared" si="108"/>
        <v>1</v>
      </c>
      <c r="F248" s="3" t="s">
        <v>867</v>
      </c>
      <c r="G248" s="77"/>
      <c r="H248" s="5" t="s">
        <v>1</v>
      </c>
      <c r="I248" s="78">
        <f t="shared" si="109"/>
        <v>0</v>
      </c>
      <c r="J248" s="110">
        <f t="shared" si="110"/>
        <v>75</v>
      </c>
      <c r="K248" s="4">
        <v>9</v>
      </c>
      <c r="L248" s="5" t="s">
        <v>1</v>
      </c>
      <c r="M248" s="80">
        <f t="shared" si="111"/>
        <v>9</v>
      </c>
      <c r="N248" s="78">
        <f t="shared" si="112"/>
        <v>675</v>
      </c>
      <c r="O248" s="78">
        <f t="shared" si="113"/>
        <v>675</v>
      </c>
    </row>
    <row r="249" spans="1:15" x14ac:dyDescent="0.25">
      <c r="A249" s="31">
        <v>7</v>
      </c>
      <c r="B249" s="4" t="s">
        <v>1254</v>
      </c>
      <c r="C249" s="5">
        <v>1</v>
      </c>
      <c r="D249" s="7">
        <v>0</v>
      </c>
      <c r="E249" s="3">
        <f t="shared" si="108"/>
        <v>1</v>
      </c>
      <c r="F249" s="3" t="s">
        <v>867</v>
      </c>
      <c r="G249" s="77"/>
      <c r="H249" s="5" t="s">
        <v>1</v>
      </c>
      <c r="I249" s="78">
        <f t="shared" si="109"/>
        <v>0</v>
      </c>
      <c r="J249" s="110">
        <f t="shared" si="110"/>
        <v>75</v>
      </c>
      <c r="K249" s="4">
        <v>11</v>
      </c>
      <c r="L249" s="5" t="s">
        <v>1</v>
      </c>
      <c r="M249" s="80">
        <f t="shared" si="111"/>
        <v>11</v>
      </c>
      <c r="N249" s="78">
        <f t="shared" si="112"/>
        <v>825</v>
      </c>
      <c r="O249" s="78">
        <f t="shared" si="113"/>
        <v>825</v>
      </c>
    </row>
    <row r="250" spans="1:15" x14ac:dyDescent="0.25">
      <c r="A250" s="31"/>
      <c r="B250" s="255"/>
      <c r="C250" s="256"/>
      <c r="D250" s="256"/>
      <c r="E250" s="256"/>
      <c r="F250" s="256"/>
      <c r="G250" s="256"/>
      <c r="H250" s="256"/>
      <c r="I250" s="256"/>
      <c r="J250" s="256"/>
      <c r="K250" s="256"/>
      <c r="L250" s="256"/>
      <c r="M250" s="256"/>
      <c r="N250" s="256"/>
      <c r="O250" s="257"/>
    </row>
  </sheetData>
  <mergeCells count="23">
    <mergeCell ref="B250:O250"/>
    <mergeCell ref="B170:O170"/>
    <mergeCell ref="B179:O179"/>
    <mergeCell ref="B197:O197"/>
    <mergeCell ref="B205:O205"/>
    <mergeCell ref="B224:O224"/>
    <mergeCell ref="B241:O241"/>
    <mergeCell ref="B187:O187"/>
    <mergeCell ref="B128:O128"/>
    <mergeCell ref="B136:O136"/>
    <mergeCell ref="B148:O148"/>
    <mergeCell ref="B162:O162"/>
    <mergeCell ref="B66:O66"/>
    <mergeCell ref="B78:O78"/>
    <mergeCell ref="B86:O86"/>
    <mergeCell ref="B91:O91"/>
    <mergeCell ref="B106:O106"/>
    <mergeCell ref="B113:O113"/>
    <mergeCell ref="M4:N4"/>
    <mergeCell ref="B31:O31"/>
    <mergeCell ref="B35:O35"/>
    <mergeCell ref="B47:O47"/>
    <mergeCell ref="B55:O55"/>
  </mergeCells>
  <pageMargins left="0.7" right="0.7" top="0.75" bottom="0.75" header="0.3" footer="0.3"/>
  <pageSetup scale="5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1B56-6918-4DF7-A5AC-9C883A97DEC8}">
  <sheetPr>
    <pageSetUpPr fitToPage="1"/>
  </sheetPr>
  <dimension ref="A3:O522"/>
  <sheetViews>
    <sheetView tabSelected="1" view="pageBreakPreview" zoomScale="90" zoomScaleNormal="85" zoomScaleSheetLayoutView="90" workbookViewId="0"/>
  </sheetViews>
  <sheetFormatPr defaultColWidth="9.140625" defaultRowHeight="15" x14ac:dyDescent="0.25"/>
  <cols>
    <col min="1" max="1" width="5.7109375" style="2" customWidth="1"/>
    <col min="2" max="2" width="60.28515625" style="1" customWidth="1"/>
    <col min="3" max="3" width="10" style="2" bestFit="1" customWidth="1"/>
    <col min="4" max="5" width="9.85546875" style="2" bestFit="1" customWidth="1"/>
    <col min="6" max="6" width="5.42578125" style="2" bestFit="1" customWidth="1"/>
    <col min="7" max="7" width="9.140625" style="10" bestFit="1" customWidth="1"/>
    <col min="8" max="8" width="5.28515625" style="2" bestFit="1" customWidth="1"/>
    <col min="9" max="9" width="10.42578125" style="10" bestFit="1" customWidth="1"/>
    <col min="10" max="10" width="7.42578125" style="10" bestFit="1" customWidth="1"/>
    <col min="11" max="11" width="7.42578125" style="46" bestFit="1" customWidth="1"/>
    <col min="12" max="12" width="5.85546875" style="2" bestFit="1" customWidth="1"/>
    <col min="13" max="13" width="7.28515625" style="46" bestFit="1" customWidth="1"/>
    <col min="14" max="15" width="9.28515625" style="1" bestFit="1" customWidth="1"/>
    <col min="16" max="16384" width="9.140625" style="1"/>
  </cols>
  <sheetData>
    <row r="3" spans="1:15" ht="15.75" thickBot="1" x14ac:dyDescent="0.3"/>
    <row r="4" spans="1:15" ht="16.5" thickBot="1" x14ac:dyDescent="0.3">
      <c r="D4" s="1"/>
      <c r="E4" s="1"/>
      <c r="F4" s="1"/>
      <c r="I4" s="43"/>
      <c r="J4" s="1"/>
      <c r="K4" s="1"/>
      <c r="M4" s="253" t="s">
        <v>1199</v>
      </c>
      <c r="N4" s="254"/>
      <c r="O4" s="108">
        <v>75</v>
      </c>
    </row>
    <row r="5" spans="1:15" ht="41.1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285</v>
      </c>
      <c r="L5" s="82" t="s">
        <v>284</v>
      </c>
      <c r="M5" s="81" t="s">
        <v>286</v>
      </c>
      <c r="N5" s="83" t="s">
        <v>871</v>
      </c>
      <c r="O5" s="86" t="s">
        <v>872</v>
      </c>
    </row>
    <row r="6" spans="1:15" ht="15.75" thickBot="1" x14ac:dyDescent="0.3">
      <c r="A6" s="53"/>
      <c r="B6" s="54"/>
      <c r="C6" s="55"/>
      <c r="D6" s="55"/>
      <c r="E6" s="55"/>
      <c r="F6" s="55"/>
      <c r="G6" s="56"/>
      <c r="H6" s="56"/>
      <c r="I6" s="56"/>
      <c r="J6" s="56"/>
      <c r="K6" s="57"/>
      <c r="L6" s="55"/>
      <c r="M6" s="57"/>
      <c r="N6" s="56"/>
      <c r="O6" s="195"/>
    </row>
    <row r="7" spans="1:15" ht="15.75" thickBot="1" x14ac:dyDescent="0.3">
      <c r="A7" s="60"/>
      <c r="B7" s="145" t="s">
        <v>1963</v>
      </c>
      <c r="C7" s="5">
        <v>1</v>
      </c>
      <c r="D7" s="7">
        <v>0</v>
      </c>
      <c r="E7" s="3">
        <f t="shared" ref="E7:E13" si="0">C7+(C7*D7)</f>
        <v>1</v>
      </c>
      <c r="F7" s="3"/>
      <c r="G7" s="9"/>
      <c r="H7" s="5"/>
      <c r="I7" s="9"/>
      <c r="J7" s="9"/>
      <c r="K7" s="15"/>
      <c r="L7" s="5"/>
      <c r="M7" s="15"/>
      <c r="N7" s="4"/>
      <c r="O7" s="134"/>
    </row>
    <row r="8" spans="1:15" x14ac:dyDescent="0.25">
      <c r="A8" s="31">
        <v>1</v>
      </c>
      <c r="B8" s="4" t="s">
        <v>1962</v>
      </c>
      <c r="C8" s="5">
        <v>1</v>
      </c>
      <c r="D8" s="7">
        <v>0</v>
      </c>
      <c r="E8" s="3">
        <f t="shared" si="0"/>
        <v>1</v>
      </c>
      <c r="F8" s="3" t="s">
        <v>867</v>
      </c>
      <c r="G8" s="77"/>
      <c r="H8" s="5" t="s">
        <v>1</v>
      </c>
      <c r="I8" s="78">
        <f t="shared" ref="I8:I13" si="1">IF(H8="C",(G8/100)*E8,IF(H8="M",(G8/1000)*E8,G8*E8))</f>
        <v>0</v>
      </c>
      <c r="J8" s="110">
        <f t="shared" ref="J8:J14" si="2">$O$4</f>
        <v>75</v>
      </c>
      <c r="K8" s="4">
        <v>7</v>
      </c>
      <c r="L8" s="5" t="s">
        <v>1</v>
      </c>
      <c r="M8" s="80">
        <f t="shared" ref="M8:M13" si="3">IF(L8="C",(K8/100)*E8,IF(L8="M",(K8/1000)*E8,K8*E8))</f>
        <v>7</v>
      </c>
      <c r="N8" s="78">
        <f t="shared" ref="N8:N13" si="4">M8*J8</f>
        <v>525</v>
      </c>
      <c r="O8" s="188">
        <f t="shared" ref="O8:O13" si="5">N8+I8</f>
        <v>525</v>
      </c>
    </row>
    <row r="9" spans="1:15" x14ac:dyDescent="0.25">
      <c r="A9" s="31"/>
      <c r="B9" s="4" t="s">
        <v>1961</v>
      </c>
      <c r="C9" s="5">
        <v>1</v>
      </c>
      <c r="D9" s="7">
        <v>0</v>
      </c>
      <c r="E9" s="3">
        <f t="shared" si="0"/>
        <v>1</v>
      </c>
      <c r="F9" s="3" t="s">
        <v>867</v>
      </c>
      <c r="G9" s="77"/>
      <c r="H9" s="5" t="s">
        <v>1</v>
      </c>
      <c r="I9" s="78">
        <f t="shared" si="1"/>
        <v>0</v>
      </c>
      <c r="J9" s="110">
        <f t="shared" si="2"/>
        <v>75</v>
      </c>
      <c r="K9" s="4">
        <v>14</v>
      </c>
      <c r="L9" s="5" t="s">
        <v>1</v>
      </c>
      <c r="M9" s="80">
        <f t="shared" si="3"/>
        <v>14</v>
      </c>
      <c r="N9" s="78">
        <f t="shared" si="4"/>
        <v>1050</v>
      </c>
      <c r="O9" s="188">
        <f t="shared" si="5"/>
        <v>1050</v>
      </c>
    </row>
    <row r="10" spans="1:15" x14ac:dyDescent="0.25">
      <c r="A10" s="31"/>
      <c r="B10" s="4" t="s">
        <v>1960</v>
      </c>
      <c r="C10" s="5">
        <v>1</v>
      </c>
      <c r="D10" s="7">
        <v>0</v>
      </c>
      <c r="E10" s="3">
        <f t="shared" si="0"/>
        <v>1</v>
      </c>
      <c r="F10" s="3" t="s">
        <v>867</v>
      </c>
      <c r="G10" s="77"/>
      <c r="H10" s="5" t="s">
        <v>1</v>
      </c>
      <c r="I10" s="78">
        <f t="shared" si="1"/>
        <v>0</v>
      </c>
      <c r="J10" s="110">
        <f t="shared" si="2"/>
        <v>75</v>
      </c>
      <c r="K10" s="4">
        <v>21</v>
      </c>
      <c r="L10" s="5" t="s">
        <v>1</v>
      </c>
      <c r="M10" s="80">
        <f t="shared" si="3"/>
        <v>21</v>
      </c>
      <c r="N10" s="78">
        <f t="shared" si="4"/>
        <v>1575</v>
      </c>
      <c r="O10" s="188">
        <f t="shared" si="5"/>
        <v>1575</v>
      </c>
    </row>
    <row r="11" spans="1:15" x14ac:dyDescent="0.25">
      <c r="A11" s="31"/>
      <c r="B11" s="4" t="s">
        <v>1959</v>
      </c>
      <c r="C11" s="5">
        <v>1</v>
      </c>
      <c r="D11" s="7">
        <v>0</v>
      </c>
      <c r="E11" s="3">
        <f t="shared" si="0"/>
        <v>1</v>
      </c>
      <c r="F11" s="3" t="s">
        <v>867</v>
      </c>
      <c r="G11" s="77"/>
      <c r="H11" s="5" t="s">
        <v>1</v>
      </c>
      <c r="I11" s="78">
        <f t="shared" si="1"/>
        <v>0</v>
      </c>
      <c r="J11" s="110">
        <f t="shared" si="2"/>
        <v>75</v>
      </c>
      <c r="K11" s="4">
        <v>28</v>
      </c>
      <c r="L11" s="5" t="s">
        <v>1</v>
      </c>
      <c r="M11" s="80">
        <f t="shared" si="3"/>
        <v>28</v>
      </c>
      <c r="N11" s="78">
        <f t="shared" si="4"/>
        <v>2100</v>
      </c>
      <c r="O11" s="188">
        <f t="shared" si="5"/>
        <v>2100</v>
      </c>
    </row>
    <row r="12" spans="1:15" x14ac:dyDescent="0.25">
      <c r="A12" s="31"/>
      <c r="B12" s="4" t="s">
        <v>1958</v>
      </c>
      <c r="C12" s="5">
        <v>1</v>
      </c>
      <c r="D12" s="7">
        <v>0</v>
      </c>
      <c r="E12" s="3">
        <f t="shared" si="0"/>
        <v>1</v>
      </c>
      <c r="F12" s="3" t="s">
        <v>867</v>
      </c>
      <c r="G12" s="77"/>
      <c r="H12" s="5" t="s">
        <v>1</v>
      </c>
      <c r="I12" s="78">
        <f t="shared" si="1"/>
        <v>0</v>
      </c>
      <c r="J12" s="110">
        <f t="shared" si="2"/>
        <v>75</v>
      </c>
      <c r="K12" s="4">
        <v>35</v>
      </c>
      <c r="L12" s="5" t="s">
        <v>1</v>
      </c>
      <c r="M12" s="80">
        <f t="shared" si="3"/>
        <v>35</v>
      </c>
      <c r="N12" s="78">
        <f t="shared" si="4"/>
        <v>2625</v>
      </c>
      <c r="O12" s="188">
        <f t="shared" si="5"/>
        <v>2625</v>
      </c>
    </row>
    <row r="13" spans="1:15" x14ac:dyDescent="0.25">
      <c r="A13" s="31"/>
      <c r="B13" s="4" t="s">
        <v>1957</v>
      </c>
      <c r="C13" s="5">
        <v>1</v>
      </c>
      <c r="D13" s="7">
        <v>0</v>
      </c>
      <c r="E13" s="3">
        <f t="shared" si="0"/>
        <v>1</v>
      </c>
      <c r="F13" s="3" t="s">
        <v>867</v>
      </c>
      <c r="G13" s="77"/>
      <c r="H13" s="5" t="s">
        <v>1</v>
      </c>
      <c r="I13" s="78">
        <f t="shared" si="1"/>
        <v>0</v>
      </c>
      <c r="J13" s="110">
        <f t="shared" si="2"/>
        <v>75</v>
      </c>
      <c r="K13" s="4">
        <v>42</v>
      </c>
      <c r="L13" s="5" t="s">
        <v>1</v>
      </c>
      <c r="M13" s="80">
        <f t="shared" si="3"/>
        <v>42</v>
      </c>
      <c r="N13" s="78">
        <f t="shared" si="4"/>
        <v>3150</v>
      </c>
      <c r="O13" s="188">
        <f t="shared" si="5"/>
        <v>3150</v>
      </c>
    </row>
    <row r="14" spans="1:15" x14ac:dyDescent="0.25">
      <c r="A14" s="96"/>
      <c r="B14" s="97" t="s">
        <v>2634</v>
      </c>
      <c r="C14" s="5">
        <v>1</v>
      </c>
      <c r="D14" s="7">
        <v>0</v>
      </c>
      <c r="E14" s="3">
        <f t="shared" ref="E14" si="6">C14+(C14*D14)</f>
        <v>1</v>
      </c>
      <c r="F14" s="3" t="s">
        <v>867</v>
      </c>
      <c r="G14" s="77">
        <v>430</v>
      </c>
      <c r="H14" s="5" t="s">
        <v>1</v>
      </c>
      <c r="I14" s="78">
        <f t="shared" ref="I14" si="7">IF(H14="C",(G14/100)*E14,IF(H14="M",(G14/1000)*E14,G14*E14))</f>
        <v>430</v>
      </c>
      <c r="J14" s="110">
        <f t="shared" si="2"/>
        <v>75</v>
      </c>
      <c r="K14" s="4">
        <v>42</v>
      </c>
      <c r="L14" s="5" t="s">
        <v>1</v>
      </c>
      <c r="M14" s="80">
        <f t="shared" ref="M14" si="8">IF(L14="C",(K14/100)*E14,IF(L14="M",(K14/1000)*E14,K14*E14))</f>
        <v>42</v>
      </c>
      <c r="N14" s="78">
        <f t="shared" ref="N14" si="9">M14*J14</f>
        <v>3150</v>
      </c>
      <c r="O14" s="188">
        <f t="shared" ref="O14" si="10">N14+I14</f>
        <v>3580</v>
      </c>
    </row>
    <row r="15" spans="1:15" x14ac:dyDescent="0.25">
      <c r="A15" s="96"/>
      <c r="B15" s="97"/>
      <c r="C15" s="98"/>
      <c r="D15" s="261"/>
      <c r="E15" s="262"/>
      <c r="F15" s="262"/>
      <c r="G15" s="263"/>
      <c r="H15" s="98"/>
      <c r="I15" s="264"/>
      <c r="J15" s="265"/>
      <c r="K15" s="97"/>
      <c r="L15" s="98"/>
      <c r="M15" s="266"/>
      <c r="N15" s="264"/>
      <c r="O15" s="188"/>
    </row>
    <row r="16" spans="1:15" ht="15.75" thickBot="1" x14ac:dyDescent="0.3">
      <c r="A16" s="53"/>
      <c r="B16" s="54"/>
      <c r="C16" s="55"/>
      <c r="D16" s="55"/>
      <c r="E16" s="55"/>
      <c r="F16" s="55"/>
      <c r="G16" s="56"/>
      <c r="H16" s="56"/>
      <c r="I16" s="56"/>
      <c r="J16" s="56"/>
      <c r="K16" s="57"/>
      <c r="L16" s="55"/>
      <c r="M16" s="57"/>
      <c r="N16" s="56"/>
      <c r="O16" s="188"/>
    </row>
    <row r="17" spans="1:15" ht="15.75" thickBot="1" x14ac:dyDescent="0.3">
      <c r="A17" s="60"/>
      <c r="B17" s="145" t="s">
        <v>1956</v>
      </c>
      <c r="C17" s="5">
        <v>1</v>
      </c>
      <c r="D17" s="7">
        <v>0</v>
      </c>
      <c r="E17" s="3">
        <f t="shared" ref="E17:E23" si="11">C17+(C17*D17)</f>
        <v>1</v>
      </c>
      <c r="F17" s="3"/>
      <c r="G17" s="9"/>
      <c r="H17" s="5"/>
      <c r="I17" s="9"/>
      <c r="J17" s="9"/>
      <c r="K17" s="15"/>
      <c r="L17" s="5"/>
      <c r="M17" s="15"/>
      <c r="N17" s="4"/>
      <c r="O17" s="134"/>
    </row>
    <row r="18" spans="1:15" x14ac:dyDescent="0.25">
      <c r="A18" s="31">
        <v>1</v>
      </c>
      <c r="B18" s="4" t="s">
        <v>1955</v>
      </c>
      <c r="C18" s="5">
        <v>1</v>
      </c>
      <c r="D18" s="7">
        <v>0</v>
      </c>
      <c r="E18" s="3">
        <f t="shared" si="11"/>
        <v>1</v>
      </c>
      <c r="F18" s="3" t="s">
        <v>867</v>
      </c>
      <c r="G18" s="77"/>
      <c r="H18" s="5" t="s">
        <v>1</v>
      </c>
      <c r="I18" s="78">
        <f t="shared" ref="I18:I23" si="12">IF(H18="C",(G18/100)*E18,IF(H18="M",(G18/1000)*E18,G18*E18))</f>
        <v>0</v>
      </c>
      <c r="J18" s="110">
        <f t="shared" ref="J18:J23" si="13">$O$4</f>
        <v>75</v>
      </c>
      <c r="K18" s="4">
        <v>8</v>
      </c>
      <c r="L18" s="5" t="s">
        <v>1</v>
      </c>
      <c r="M18" s="80">
        <f t="shared" ref="M18:M23" si="14">IF(L18="C",(K18/100)*E18,IF(L18="M",(K18/1000)*E18,K18*E18))</f>
        <v>8</v>
      </c>
      <c r="N18" s="78">
        <f t="shared" ref="N18:N23" si="15">M18*J18</f>
        <v>600</v>
      </c>
      <c r="O18" s="188">
        <f t="shared" ref="O18:O23" si="16">N18+I18</f>
        <v>600</v>
      </c>
    </row>
    <row r="19" spans="1:15" x14ac:dyDescent="0.25">
      <c r="A19" s="31"/>
      <c r="B19" s="4" t="s">
        <v>1954</v>
      </c>
      <c r="C19" s="5">
        <v>1</v>
      </c>
      <c r="D19" s="7">
        <v>0</v>
      </c>
      <c r="E19" s="3">
        <f t="shared" si="11"/>
        <v>1</v>
      </c>
      <c r="F19" s="3" t="s">
        <v>867</v>
      </c>
      <c r="G19" s="77"/>
      <c r="H19" s="5" t="s">
        <v>1</v>
      </c>
      <c r="I19" s="78">
        <f t="shared" si="12"/>
        <v>0</v>
      </c>
      <c r="J19" s="110">
        <f t="shared" si="13"/>
        <v>75</v>
      </c>
      <c r="K19" s="4">
        <v>16</v>
      </c>
      <c r="L19" s="5" t="s">
        <v>1</v>
      </c>
      <c r="M19" s="80">
        <f t="shared" si="14"/>
        <v>16</v>
      </c>
      <c r="N19" s="78">
        <f t="shared" si="15"/>
        <v>1200</v>
      </c>
      <c r="O19" s="188">
        <f t="shared" si="16"/>
        <v>1200</v>
      </c>
    </row>
    <row r="20" spans="1:15" x14ac:dyDescent="0.25">
      <c r="A20" s="31"/>
      <c r="B20" s="4" t="s">
        <v>1953</v>
      </c>
      <c r="C20" s="5">
        <v>1</v>
      </c>
      <c r="D20" s="7">
        <v>0</v>
      </c>
      <c r="E20" s="3">
        <f t="shared" si="11"/>
        <v>1</v>
      </c>
      <c r="F20" s="3" t="s">
        <v>867</v>
      </c>
      <c r="G20" s="77"/>
      <c r="H20" s="5" t="s">
        <v>1</v>
      </c>
      <c r="I20" s="78">
        <f t="shared" si="12"/>
        <v>0</v>
      </c>
      <c r="J20" s="110">
        <f t="shared" si="13"/>
        <v>75</v>
      </c>
      <c r="K20" s="4">
        <v>24</v>
      </c>
      <c r="L20" s="5" t="s">
        <v>1</v>
      </c>
      <c r="M20" s="80">
        <f t="shared" si="14"/>
        <v>24</v>
      </c>
      <c r="N20" s="78">
        <f t="shared" si="15"/>
        <v>1800</v>
      </c>
      <c r="O20" s="188">
        <f t="shared" si="16"/>
        <v>1800</v>
      </c>
    </row>
    <row r="21" spans="1:15" x14ac:dyDescent="0.25">
      <c r="A21" s="31"/>
      <c r="B21" s="4" t="s">
        <v>1952</v>
      </c>
      <c r="C21" s="5">
        <v>1</v>
      </c>
      <c r="D21" s="7">
        <v>0</v>
      </c>
      <c r="E21" s="3">
        <f t="shared" si="11"/>
        <v>1</v>
      </c>
      <c r="F21" s="3" t="s">
        <v>867</v>
      </c>
      <c r="G21" s="77"/>
      <c r="H21" s="5" t="s">
        <v>1</v>
      </c>
      <c r="I21" s="78">
        <f t="shared" si="12"/>
        <v>0</v>
      </c>
      <c r="J21" s="110">
        <f t="shared" si="13"/>
        <v>75</v>
      </c>
      <c r="K21" s="4">
        <v>32</v>
      </c>
      <c r="L21" s="5" t="s">
        <v>1</v>
      </c>
      <c r="M21" s="80">
        <f t="shared" si="14"/>
        <v>32</v>
      </c>
      <c r="N21" s="78">
        <f t="shared" si="15"/>
        <v>2400</v>
      </c>
      <c r="O21" s="188">
        <f t="shared" si="16"/>
        <v>2400</v>
      </c>
    </row>
    <row r="22" spans="1:15" x14ac:dyDescent="0.25">
      <c r="A22" s="31"/>
      <c r="B22" s="4" t="s">
        <v>1951</v>
      </c>
      <c r="C22" s="5">
        <v>1</v>
      </c>
      <c r="D22" s="7">
        <v>0</v>
      </c>
      <c r="E22" s="3">
        <f t="shared" si="11"/>
        <v>1</v>
      </c>
      <c r="F22" s="3" t="s">
        <v>867</v>
      </c>
      <c r="G22" s="77"/>
      <c r="H22" s="5" t="s">
        <v>1</v>
      </c>
      <c r="I22" s="78">
        <f t="shared" si="12"/>
        <v>0</v>
      </c>
      <c r="J22" s="110">
        <f t="shared" si="13"/>
        <v>75</v>
      </c>
      <c r="K22" s="4">
        <v>40</v>
      </c>
      <c r="L22" s="5" t="s">
        <v>1</v>
      </c>
      <c r="M22" s="80">
        <f t="shared" si="14"/>
        <v>40</v>
      </c>
      <c r="N22" s="78">
        <f t="shared" si="15"/>
        <v>3000</v>
      </c>
      <c r="O22" s="188">
        <f t="shared" si="16"/>
        <v>3000</v>
      </c>
    </row>
    <row r="23" spans="1:15" x14ac:dyDescent="0.25">
      <c r="A23" s="31"/>
      <c r="B23" s="4" t="s">
        <v>1950</v>
      </c>
      <c r="C23" s="5">
        <v>1</v>
      </c>
      <c r="D23" s="7">
        <v>0</v>
      </c>
      <c r="E23" s="3">
        <f t="shared" si="11"/>
        <v>1</v>
      </c>
      <c r="F23" s="3" t="s">
        <v>867</v>
      </c>
      <c r="G23" s="77"/>
      <c r="H23" s="5" t="s">
        <v>1</v>
      </c>
      <c r="I23" s="78">
        <f t="shared" si="12"/>
        <v>0</v>
      </c>
      <c r="J23" s="110">
        <f t="shared" si="13"/>
        <v>75</v>
      </c>
      <c r="K23" s="4">
        <v>48</v>
      </c>
      <c r="L23" s="5" t="s">
        <v>1</v>
      </c>
      <c r="M23" s="80">
        <f t="shared" si="14"/>
        <v>48</v>
      </c>
      <c r="N23" s="78">
        <f t="shared" si="15"/>
        <v>3600</v>
      </c>
      <c r="O23" s="188">
        <f t="shared" si="16"/>
        <v>3600</v>
      </c>
    </row>
    <row r="24" spans="1:15" ht="15.75" thickBot="1" x14ac:dyDescent="0.3">
      <c r="A24" s="53"/>
      <c r="B24" s="54"/>
      <c r="C24" s="55"/>
      <c r="D24" s="55"/>
      <c r="E24" s="55"/>
      <c r="F24" s="55"/>
      <c r="G24" s="56"/>
      <c r="H24" s="56"/>
      <c r="I24" s="56"/>
      <c r="J24" s="56"/>
      <c r="K24" s="57"/>
      <c r="L24" s="55"/>
      <c r="M24" s="57"/>
      <c r="N24" s="56"/>
      <c r="O24" s="188"/>
    </row>
    <row r="25" spans="1:15" ht="15.75" thickBot="1" x14ac:dyDescent="0.3">
      <c r="A25" s="60"/>
      <c r="B25" s="145" t="s">
        <v>1949</v>
      </c>
      <c r="C25" s="5">
        <v>1</v>
      </c>
      <c r="D25" s="7">
        <v>0</v>
      </c>
      <c r="E25" s="3">
        <f t="shared" ref="E25:E31" si="17">C25+(C25*D25)</f>
        <v>1</v>
      </c>
      <c r="F25" s="3"/>
      <c r="G25" s="9"/>
      <c r="H25" s="5"/>
      <c r="I25" s="9"/>
      <c r="J25" s="9"/>
      <c r="K25" s="15"/>
      <c r="L25" s="5"/>
      <c r="M25" s="15"/>
      <c r="N25" s="4"/>
      <c r="O25" s="188"/>
    </row>
    <row r="26" spans="1:15" x14ac:dyDescent="0.25">
      <c r="A26" s="31">
        <v>1</v>
      </c>
      <c r="B26" s="4" t="s">
        <v>1948</v>
      </c>
      <c r="C26" s="5">
        <v>1</v>
      </c>
      <c r="D26" s="7">
        <v>0</v>
      </c>
      <c r="E26" s="3">
        <f t="shared" si="17"/>
        <v>1</v>
      </c>
      <c r="F26" s="3" t="s">
        <v>867</v>
      </c>
      <c r="G26" s="77"/>
      <c r="H26" s="5" t="s">
        <v>1</v>
      </c>
      <c r="I26" s="78">
        <f t="shared" ref="I26:I31" si="18">IF(H26="C",(G26/100)*E26,IF(H26="M",(G26/1000)*E26,G26*E26))</f>
        <v>0</v>
      </c>
      <c r="J26" s="110">
        <f t="shared" ref="J26:J31" si="19">$O$4</f>
        <v>75</v>
      </c>
      <c r="K26" s="4">
        <v>10</v>
      </c>
      <c r="L26" s="5" t="s">
        <v>1</v>
      </c>
      <c r="M26" s="80">
        <f t="shared" ref="M26:M31" si="20">IF(L26="C",(K26/100)*E26,IF(L26="M",(K26/1000)*E26,K26*E26))</f>
        <v>10</v>
      </c>
      <c r="N26" s="78">
        <f t="shared" ref="N26:N31" si="21">M26*J26</f>
        <v>750</v>
      </c>
      <c r="O26" s="188">
        <f t="shared" ref="O26:O31" si="22">N26+I26</f>
        <v>750</v>
      </c>
    </row>
    <row r="27" spans="1:15" x14ac:dyDescent="0.25">
      <c r="A27" s="31"/>
      <c r="B27" s="4" t="s">
        <v>1947</v>
      </c>
      <c r="C27" s="5">
        <v>1</v>
      </c>
      <c r="D27" s="7">
        <v>0</v>
      </c>
      <c r="E27" s="3">
        <f t="shared" si="17"/>
        <v>1</v>
      </c>
      <c r="F27" s="3" t="s">
        <v>867</v>
      </c>
      <c r="G27" s="77"/>
      <c r="H27" s="5" t="s">
        <v>1</v>
      </c>
      <c r="I27" s="78">
        <f t="shared" si="18"/>
        <v>0</v>
      </c>
      <c r="J27" s="110">
        <f t="shared" si="19"/>
        <v>75</v>
      </c>
      <c r="K27" s="4">
        <v>20</v>
      </c>
      <c r="L27" s="5" t="s">
        <v>1</v>
      </c>
      <c r="M27" s="80">
        <f t="shared" si="20"/>
        <v>20</v>
      </c>
      <c r="N27" s="78">
        <f t="shared" si="21"/>
        <v>1500</v>
      </c>
      <c r="O27" s="188">
        <f t="shared" si="22"/>
        <v>1500</v>
      </c>
    </row>
    <row r="28" spans="1:15" x14ac:dyDescent="0.25">
      <c r="A28" s="31"/>
      <c r="B28" s="4" t="s">
        <v>1946</v>
      </c>
      <c r="C28" s="5">
        <v>1</v>
      </c>
      <c r="D28" s="7">
        <v>0</v>
      </c>
      <c r="E28" s="3">
        <f t="shared" si="17"/>
        <v>1</v>
      </c>
      <c r="F28" s="3" t="s">
        <v>867</v>
      </c>
      <c r="G28" s="77"/>
      <c r="H28" s="5" t="s">
        <v>1</v>
      </c>
      <c r="I28" s="78">
        <f t="shared" si="18"/>
        <v>0</v>
      </c>
      <c r="J28" s="110">
        <f t="shared" si="19"/>
        <v>75</v>
      </c>
      <c r="K28" s="4">
        <v>30</v>
      </c>
      <c r="L28" s="5" t="s">
        <v>1</v>
      </c>
      <c r="M28" s="80">
        <f t="shared" si="20"/>
        <v>30</v>
      </c>
      <c r="N28" s="78">
        <f t="shared" si="21"/>
        <v>2250</v>
      </c>
      <c r="O28" s="188">
        <f t="shared" si="22"/>
        <v>2250</v>
      </c>
    </row>
    <row r="29" spans="1:15" x14ac:dyDescent="0.25">
      <c r="A29" s="31"/>
      <c r="B29" s="4" t="s">
        <v>1945</v>
      </c>
      <c r="C29" s="5">
        <v>1</v>
      </c>
      <c r="D29" s="7">
        <v>0</v>
      </c>
      <c r="E29" s="3">
        <f t="shared" si="17"/>
        <v>1</v>
      </c>
      <c r="F29" s="3" t="s">
        <v>867</v>
      </c>
      <c r="G29" s="77"/>
      <c r="H29" s="5" t="s">
        <v>1</v>
      </c>
      <c r="I29" s="78">
        <f t="shared" si="18"/>
        <v>0</v>
      </c>
      <c r="J29" s="110">
        <f t="shared" si="19"/>
        <v>75</v>
      </c>
      <c r="K29" s="4">
        <v>40</v>
      </c>
      <c r="L29" s="5" t="s">
        <v>1</v>
      </c>
      <c r="M29" s="80">
        <f t="shared" si="20"/>
        <v>40</v>
      </c>
      <c r="N29" s="78">
        <f t="shared" si="21"/>
        <v>3000</v>
      </c>
      <c r="O29" s="188">
        <f t="shared" si="22"/>
        <v>3000</v>
      </c>
    </row>
    <row r="30" spans="1:15" x14ac:dyDescent="0.25">
      <c r="A30" s="31"/>
      <c r="B30" s="4" t="s">
        <v>1944</v>
      </c>
      <c r="C30" s="5">
        <v>1</v>
      </c>
      <c r="D30" s="7">
        <v>0</v>
      </c>
      <c r="E30" s="3">
        <f t="shared" si="17"/>
        <v>1</v>
      </c>
      <c r="F30" s="3" t="s">
        <v>867</v>
      </c>
      <c r="G30" s="77"/>
      <c r="H30" s="5" t="s">
        <v>1</v>
      </c>
      <c r="I30" s="78">
        <f t="shared" si="18"/>
        <v>0</v>
      </c>
      <c r="J30" s="110">
        <f t="shared" si="19"/>
        <v>75</v>
      </c>
      <c r="K30" s="4">
        <v>50</v>
      </c>
      <c r="L30" s="5" t="s">
        <v>1</v>
      </c>
      <c r="M30" s="80">
        <f t="shared" si="20"/>
        <v>50</v>
      </c>
      <c r="N30" s="78">
        <f t="shared" si="21"/>
        <v>3750</v>
      </c>
      <c r="O30" s="188">
        <f t="shared" si="22"/>
        <v>3750</v>
      </c>
    </row>
    <row r="31" spans="1:15" x14ac:dyDescent="0.25">
      <c r="A31" s="31"/>
      <c r="B31" s="4" t="s">
        <v>1943</v>
      </c>
      <c r="C31" s="5">
        <v>1</v>
      </c>
      <c r="D31" s="7">
        <v>0</v>
      </c>
      <c r="E31" s="3">
        <f t="shared" si="17"/>
        <v>1</v>
      </c>
      <c r="F31" s="3" t="s">
        <v>867</v>
      </c>
      <c r="G31" s="77"/>
      <c r="H31" s="5" t="s">
        <v>1</v>
      </c>
      <c r="I31" s="78">
        <f t="shared" si="18"/>
        <v>0</v>
      </c>
      <c r="J31" s="110">
        <f t="shared" si="19"/>
        <v>75</v>
      </c>
      <c r="K31" s="4">
        <v>60</v>
      </c>
      <c r="L31" s="5" t="s">
        <v>1</v>
      </c>
      <c r="M31" s="80">
        <f t="shared" si="20"/>
        <v>60</v>
      </c>
      <c r="N31" s="78">
        <f t="shared" si="21"/>
        <v>4500</v>
      </c>
      <c r="O31" s="188">
        <f t="shared" si="22"/>
        <v>4500</v>
      </c>
    </row>
    <row r="32" spans="1:15" ht="15.75" thickBot="1" x14ac:dyDescent="0.3">
      <c r="A32" s="53"/>
      <c r="B32" s="54"/>
      <c r="C32" s="55"/>
      <c r="D32" s="55"/>
      <c r="E32" s="55"/>
      <c r="F32" s="55"/>
      <c r="G32" s="56"/>
      <c r="H32" s="56"/>
      <c r="I32" s="56"/>
      <c r="J32" s="56"/>
      <c r="K32" s="57"/>
      <c r="L32" s="55"/>
      <c r="M32" s="57"/>
      <c r="N32" s="56"/>
      <c r="O32" s="188"/>
    </row>
    <row r="33" spans="1:15" ht="15.75" thickBot="1" x14ac:dyDescent="0.3">
      <c r="A33" s="60"/>
      <c r="B33" s="145" t="s">
        <v>1942</v>
      </c>
      <c r="C33" s="5">
        <v>1</v>
      </c>
      <c r="D33" s="7">
        <v>0</v>
      </c>
      <c r="E33" s="3">
        <f t="shared" ref="E33:E45" si="23">C33+(C33*D33)</f>
        <v>1</v>
      </c>
      <c r="F33" s="3"/>
      <c r="G33" s="9"/>
      <c r="H33" s="5"/>
      <c r="I33" s="9"/>
      <c r="J33" s="9"/>
      <c r="K33" s="15"/>
      <c r="L33" s="5"/>
      <c r="M33" s="15"/>
      <c r="N33" s="4"/>
      <c r="O33" s="188"/>
    </row>
    <row r="34" spans="1:15" x14ac:dyDescent="0.25">
      <c r="A34" s="31">
        <v>1</v>
      </c>
      <c r="B34" s="4" t="s">
        <v>1941</v>
      </c>
      <c r="C34" s="5">
        <v>1</v>
      </c>
      <c r="D34" s="7">
        <v>0</v>
      </c>
      <c r="E34" s="3">
        <f t="shared" si="23"/>
        <v>1</v>
      </c>
      <c r="F34" s="3" t="s">
        <v>867</v>
      </c>
      <c r="G34" s="77"/>
      <c r="H34" s="5" t="s">
        <v>1</v>
      </c>
      <c r="I34" s="78">
        <f t="shared" ref="I34:I45" si="24">IF(H34="C",(G34/100)*E34,IF(H34="M",(G34/1000)*E34,G34*E34))</f>
        <v>0</v>
      </c>
      <c r="J34" s="110">
        <f t="shared" ref="J34:J45" si="25">$O$4</f>
        <v>75</v>
      </c>
      <c r="K34" s="4">
        <v>12</v>
      </c>
      <c r="L34" s="5" t="s">
        <v>1</v>
      </c>
      <c r="M34" s="80">
        <f t="shared" ref="M34:M45" si="26">IF(L34="C",(K34/100)*E34,IF(L34="M",(K34/1000)*E34,K34*E34))</f>
        <v>12</v>
      </c>
      <c r="N34" s="78">
        <f t="shared" ref="N34:N45" si="27">M34*J34</f>
        <v>900</v>
      </c>
      <c r="O34" s="188">
        <f t="shared" ref="O34:O45" si="28">N34+I34</f>
        <v>900</v>
      </c>
    </row>
    <row r="35" spans="1:15" ht="15" customHeight="1" x14ac:dyDescent="0.25">
      <c r="A35" s="60"/>
      <c r="B35" s="8" t="s">
        <v>1940</v>
      </c>
      <c r="C35" s="5">
        <v>1</v>
      </c>
      <c r="D35" s="7">
        <v>0</v>
      </c>
      <c r="E35" s="3">
        <f t="shared" si="23"/>
        <v>1</v>
      </c>
      <c r="F35" s="3" t="s">
        <v>867</v>
      </c>
      <c r="G35" s="77"/>
      <c r="H35" s="5" t="s">
        <v>1</v>
      </c>
      <c r="I35" s="78">
        <f t="shared" si="24"/>
        <v>0</v>
      </c>
      <c r="J35" s="110">
        <f t="shared" si="25"/>
        <v>75</v>
      </c>
      <c r="K35" s="4">
        <v>24</v>
      </c>
      <c r="L35" s="5" t="s">
        <v>1</v>
      </c>
      <c r="M35" s="80">
        <f t="shared" si="26"/>
        <v>24</v>
      </c>
      <c r="N35" s="78">
        <f t="shared" si="27"/>
        <v>1800</v>
      </c>
      <c r="O35" s="188">
        <f t="shared" si="28"/>
        <v>1800</v>
      </c>
    </row>
    <row r="36" spans="1:15" x14ac:dyDescent="0.25">
      <c r="A36" s="31"/>
      <c r="B36" s="4" t="s">
        <v>1939</v>
      </c>
      <c r="C36" s="5">
        <v>1</v>
      </c>
      <c r="D36" s="7">
        <v>0</v>
      </c>
      <c r="E36" s="3">
        <f t="shared" si="23"/>
        <v>1</v>
      </c>
      <c r="F36" s="3" t="s">
        <v>867</v>
      </c>
      <c r="G36" s="77"/>
      <c r="H36" s="5" t="s">
        <v>1</v>
      </c>
      <c r="I36" s="78">
        <f t="shared" si="24"/>
        <v>0</v>
      </c>
      <c r="J36" s="110">
        <f t="shared" si="25"/>
        <v>75</v>
      </c>
      <c r="K36" s="4">
        <v>36</v>
      </c>
      <c r="L36" s="5" t="s">
        <v>1</v>
      </c>
      <c r="M36" s="80">
        <f t="shared" si="26"/>
        <v>36</v>
      </c>
      <c r="N36" s="78">
        <f t="shared" si="27"/>
        <v>2700</v>
      </c>
      <c r="O36" s="188">
        <f t="shared" si="28"/>
        <v>2700</v>
      </c>
    </row>
    <row r="37" spans="1:15" x14ac:dyDescent="0.25">
      <c r="A37" s="31"/>
      <c r="B37" s="4" t="s">
        <v>1938</v>
      </c>
      <c r="C37" s="5">
        <v>1</v>
      </c>
      <c r="D37" s="7">
        <v>0</v>
      </c>
      <c r="E37" s="3">
        <f t="shared" si="23"/>
        <v>1</v>
      </c>
      <c r="F37" s="3" t="s">
        <v>867</v>
      </c>
      <c r="G37" s="77"/>
      <c r="H37" s="5" t="s">
        <v>1</v>
      </c>
      <c r="I37" s="78">
        <f t="shared" si="24"/>
        <v>0</v>
      </c>
      <c r="J37" s="110">
        <f t="shared" si="25"/>
        <v>75</v>
      </c>
      <c r="K37" s="4">
        <v>48</v>
      </c>
      <c r="L37" s="5" t="s">
        <v>1</v>
      </c>
      <c r="M37" s="80">
        <f t="shared" si="26"/>
        <v>48</v>
      </c>
      <c r="N37" s="78">
        <f t="shared" si="27"/>
        <v>3600</v>
      </c>
      <c r="O37" s="188">
        <f t="shared" si="28"/>
        <v>3600</v>
      </c>
    </row>
    <row r="38" spans="1:15" x14ac:dyDescent="0.25">
      <c r="A38" s="31"/>
      <c r="B38" s="4" t="s">
        <v>1937</v>
      </c>
      <c r="C38" s="5">
        <v>1</v>
      </c>
      <c r="D38" s="7">
        <v>0</v>
      </c>
      <c r="E38" s="3">
        <f t="shared" si="23"/>
        <v>1</v>
      </c>
      <c r="F38" s="3" t="s">
        <v>867</v>
      </c>
      <c r="G38" s="77"/>
      <c r="H38" s="5" t="s">
        <v>1</v>
      </c>
      <c r="I38" s="78">
        <f t="shared" si="24"/>
        <v>0</v>
      </c>
      <c r="J38" s="110">
        <f t="shared" si="25"/>
        <v>75</v>
      </c>
      <c r="K38" s="4">
        <v>60</v>
      </c>
      <c r="L38" s="5" t="s">
        <v>1</v>
      </c>
      <c r="M38" s="80">
        <f t="shared" si="26"/>
        <v>60</v>
      </c>
      <c r="N38" s="78">
        <f t="shared" si="27"/>
        <v>4500</v>
      </c>
      <c r="O38" s="188">
        <f t="shared" si="28"/>
        <v>4500</v>
      </c>
    </row>
    <row r="39" spans="1:15" x14ac:dyDescent="0.25">
      <c r="A39" s="31"/>
      <c r="B39" s="4" t="s">
        <v>1936</v>
      </c>
      <c r="C39" s="5">
        <v>1</v>
      </c>
      <c r="D39" s="7">
        <v>0</v>
      </c>
      <c r="E39" s="3">
        <f t="shared" si="23"/>
        <v>1</v>
      </c>
      <c r="F39" s="3" t="s">
        <v>867</v>
      </c>
      <c r="G39" s="77"/>
      <c r="H39" s="5" t="s">
        <v>1</v>
      </c>
      <c r="I39" s="78">
        <f t="shared" si="24"/>
        <v>0</v>
      </c>
      <c r="J39" s="110">
        <f t="shared" si="25"/>
        <v>75</v>
      </c>
      <c r="K39" s="4">
        <v>72</v>
      </c>
      <c r="L39" s="5" t="s">
        <v>1</v>
      </c>
      <c r="M39" s="80">
        <f t="shared" si="26"/>
        <v>72</v>
      </c>
      <c r="N39" s="78">
        <f t="shared" si="27"/>
        <v>5400</v>
      </c>
      <c r="O39" s="188">
        <f t="shared" si="28"/>
        <v>5400</v>
      </c>
    </row>
    <row r="40" spans="1:15" x14ac:dyDescent="0.25">
      <c r="A40" s="31"/>
      <c r="B40" s="4" t="s">
        <v>1935</v>
      </c>
      <c r="C40" s="5">
        <v>1</v>
      </c>
      <c r="D40" s="7">
        <v>0</v>
      </c>
      <c r="E40" s="3">
        <f t="shared" si="23"/>
        <v>1</v>
      </c>
      <c r="F40" s="3" t="s">
        <v>867</v>
      </c>
      <c r="G40" s="77"/>
      <c r="H40" s="5" t="s">
        <v>1</v>
      </c>
      <c r="I40" s="78">
        <f t="shared" si="24"/>
        <v>0</v>
      </c>
      <c r="J40" s="110">
        <f t="shared" si="25"/>
        <v>75</v>
      </c>
      <c r="K40" s="4">
        <v>84</v>
      </c>
      <c r="L40" s="5" t="s">
        <v>1</v>
      </c>
      <c r="M40" s="80">
        <f t="shared" si="26"/>
        <v>84</v>
      </c>
      <c r="N40" s="78">
        <f t="shared" si="27"/>
        <v>6300</v>
      </c>
      <c r="O40" s="188">
        <f t="shared" si="28"/>
        <v>6300</v>
      </c>
    </row>
    <row r="41" spans="1:15" x14ac:dyDescent="0.25">
      <c r="A41" s="31"/>
      <c r="B41" s="4" t="s">
        <v>1934</v>
      </c>
      <c r="C41" s="5">
        <v>1</v>
      </c>
      <c r="D41" s="7">
        <v>0</v>
      </c>
      <c r="E41" s="3">
        <f t="shared" si="23"/>
        <v>1</v>
      </c>
      <c r="F41" s="3" t="s">
        <v>867</v>
      </c>
      <c r="G41" s="77"/>
      <c r="H41" s="5" t="s">
        <v>1</v>
      </c>
      <c r="I41" s="78">
        <f t="shared" si="24"/>
        <v>0</v>
      </c>
      <c r="J41" s="110">
        <f t="shared" si="25"/>
        <v>75</v>
      </c>
      <c r="K41" s="4">
        <v>96</v>
      </c>
      <c r="L41" s="5" t="s">
        <v>1</v>
      </c>
      <c r="M41" s="80">
        <f t="shared" si="26"/>
        <v>96</v>
      </c>
      <c r="N41" s="78">
        <f t="shared" si="27"/>
        <v>7200</v>
      </c>
      <c r="O41" s="188">
        <f t="shared" si="28"/>
        <v>7200</v>
      </c>
    </row>
    <row r="42" spans="1:15" x14ac:dyDescent="0.25">
      <c r="A42" s="31"/>
      <c r="B42" s="4" t="s">
        <v>1933</v>
      </c>
      <c r="C42" s="5">
        <v>1</v>
      </c>
      <c r="D42" s="7">
        <v>0</v>
      </c>
      <c r="E42" s="3">
        <f t="shared" si="23"/>
        <v>1</v>
      </c>
      <c r="F42" s="3" t="s">
        <v>867</v>
      </c>
      <c r="G42" s="77"/>
      <c r="H42" s="5" t="s">
        <v>1</v>
      </c>
      <c r="I42" s="78">
        <f t="shared" si="24"/>
        <v>0</v>
      </c>
      <c r="J42" s="110">
        <f t="shared" si="25"/>
        <v>75</v>
      </c>
      <c r="K42" s="4">
        <v>108</v>
      </c>
      <c r="L42" s="5" t="s">
        <v>1</v>
      </c>
      <c r="M42" s="80">
        <f t="shared" si="26"/>
        <v>108</v>
      </c>
      <c r="N42" s="78">
        <f t="shared" si="27"/>
        <v>8100</v>
      </c>
      <c r="O42" s="188">
        <f t="shared" si="28"/>
        <v>8100</v>
      </c>
    </row>
    <row r="43" spans="1:15" x14ac:dyDescent="0.25">
      <c r="A43" s="31"/>
      <c r="B43" s="4" t="s">
        <v>1932</v>
      </c>
      <c r="C43" s="5">
        <v>1</v>
      </c>
      <c r="D43" s="7">
        <v>0</v>
      </c>
      <c r="E43" s="3">
        <f t="shared" si="23"/>
        <v>1</v>
      </c>
      <c r="F43" s="3" t="s">
        <v>867</v>
      </c>
      <c r="G43" s="77"/>
      <c r="H43" s="5" t="s">
        <v>1</v>
      </c>
      <c r="I43" s="78">
        <f t="shared" si="24"/>
        <v>0</v>
      </c>
      <c r="J43" s="110">
        <f t="shared" si="25"/>
        <v>75</v>
      </c>
      <c r="K43" s="4">
        <v>120</v>
      </c>
      <c r="L43" s="5" t="s">
        <v>1</v>
      </c>
      <c r="M43" s="80">
        <f t="shared" si="26"/>
        <v>120</v>
      </c>
      <c r="N43" s="78">
        <f t="shared" si="27"/>
        <v>9000</v>
      </c>
      <c r="O43" s="188">
        <f t="shared" si="28"/>
        <v>9000</v>
      </c>
    </row>
    <row r="44" spans="1:15" x14ac:dyDescent="0.25">
      <c r="A44" s="31"/>
      <c r="B44" s="4" t="s">
        <v>1931</v>
      </c>
      <c r="C44" s="5">
        <v>1</v>
      </c>
      <c r="D44" s="7">
        <v>0</v>
      </c>
      <c r="E44" s="3">
        <f t="shared" si="23"/>
        <v>1</v>
      </c>
      <c r="F44" s="3" t="s">
        <v>867</v>
      </c>
      <c r="G44" s="77"/>
      <c r="H44" s="5" t="s">
        <v>1</v>
      </c>
      <c r="I44" s="78">
        <f t="shared" si="24"/>
        <v>0</v>
      </c>
      <c r="J44" s="110">
        <f t="shared" si="25"/>
        <v>75</v>
      </c>
      <c r="K44" s="4">
        <v>132</v>
      </c>
      <c r="L44" s="5" t="s">
        <v>1</v>
      </c>
      <c r="M44" s="80">
        <f t="shared" si="26"/>
        <v>132</v>
      </c>
      <c r="N44" s="78">
        <f t="shared" si="27"/>
        <v>9900</v>
      </c>
      <c r="O44" s="188">
        <f t="shared" si="28"/>
        <v>9900</v>
      </c>
    </row>
    <row r="45" spans="1:15" x14ac:dyDescent="0.25">
      <c r="A45" s="31"/>
      <c r="B45" s="4" t="s">
        <v>1930</v>
      </c>
      <c r="C45" s="5">
        <v>1</v>
      </c>
      <c r="D45" s="7">
        <v>0</v>
      </c>
      <c r="E45" s="3">
        <f t="shared" si="23"/>
        <v>1</v>
      </c>
      <c r="F45" s="3" t="s">
        <v>867</v>
      </c>
      <c r="G45" s="77"/>
      <c r="H45" s="5" t="s">
        <v>1</v>
      </c>
      <c r="I45" s="78">
        <f t="shared" si="24"/>
        <v>0</v>
      </c>
      <c r="J45" s="110">
        <f t="shared" si="25"/>
        <v>75</v>
      </c>
      <c r="K45" s="4">
        <v>144</v>
      </c>
      <c r="L45" s="5" t="s">
        <v>1</v>
      </c>
      <c r="M45" s="80">
        <f t="shared" si="26"/>
        <v>144</v>
      </c>
      <c r="N45" s="78">
        <f t="shared" si="27"/>
        <v>10800</v>
      </c>
      <c r="O45" s="188">
        <f t="shared" si="28"/>
        <v>10800</v>
      </c>
    </row>
    <row r="46" spans="1:15" ht="15.75" thickBot="1" x14ac:dyDescent="0.3">
      <c r="A46" s="31"/>
      <c r="B46" s="255"/>
      <c r="C46" s="256"/>
      <c r="D46" s="256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257"/>
    </row>
    <row r="47" spans="1:15" ht="15.75" thickBot="1" x14ac:dyDescent="0.3">
      <c r="A47" s="60"/>
      <c r="B47" s="145" t="s">
        <v>1929</v>
      </c>
      <c r="C47" s="5">
        <v>1</v>
      </c>
      <c r="D47" s="7">
        <v>0</v>
      </c>
      <c r="E47" s="3">
        <f t="shared" ref="E47:E59" si="29">C47+(C47*D47)</f>
        <v>1</v>
      </c>
      <c r="F47" s="3"/>
      <c r="G47" s="9"/>
      <c r="H47" s="5"/>
      <c r="I47" s="9"/>
      <c r="J47" s="9"/>
      <c r="K47" s="15"/>
      <c r="L47" s="5"/>
      <c r="M47" s="15"/>
      <c r="N47" s="4"/>
      <c r="O47" s="134"/>
    </row>
    <row r="48" spans="1:15" x14ac:dyDescent="0.25">
      <c r="A48" s="31">
        <v>1</v>
      </c>
      <c r="B48" s="4" t="s">
        <v>1928</v>
      </c>
      <c r="C48" s="5">
        <v>1</v>
      </c>
      <c r="D48" s="7">
        <v>0</v>
      </c>
      <c r="E48" s="3">
        <f t="shared" si="29"/>
        <v>1</v>
      </c>
      <c r="F48" s="3" t="s">
        <v>867</v>
      </c>
      <c r="G48" s="77"/>
      <c r="H48" s="5" t="s">
        <v>1</v>
      </c>
      <c r="I48" s="78">
        <f t="shared" ref="I48:I59" si="30">IF(H48="C",(G48/100)*E48,IF(H48="M",(G48/1000)*E48,G48*E48))</f>
        <v>0</v>
      </c>
      <c r="J48" s="110">
        <f t="shared" ref="J48:J59" si="31">$O$4</f>
        <v>75</v>
      </c>
      <c r="K48" s="4">
        <v>14</v>
      </c>
      <c r="L48" s="5" t="s">
        <v>1</v>
      </c>
      <c r="M48" s="80">
        <f t="shared" ref="M48:M59" si="32">IF(L48="C",(K48/100)*E48,IF(L48="M",(K48/1000)*E48,K48*E48))</f>
        <v>14</v>
      </c>
      <c r="N48" s="78">
        <f t="shared" ref="N48:N59" si="33">M48*J48</f>
        <v>1050</v>
      </c>
      <c r="O48" s="188">
        <f t="shared" ref="O48:O59" si="34">N48+I48</f>
        <v>1050</v>
      </c>
    </row>
    <row r="49" spans="1:15" x14ac:dyDescent="0.25">
      <c r="A49" s="31"/>
      <c r="B49" s="4" t="s">
        <v>1927</v>
      </c>
      <c r="C49" s="5">
        <v>1</v>
      </c>
      <c r="D49" s="7">
        <v>0</v>
      </c>
      <c r="E49" s="3">
        <f t="shared" si="29"/>
        <v>1</v>
      </c>
      <c r="F49" s="3" t="s">
        <v>867</v>
      </c>
      <c r="G49" s="77"/>
      <c r="H49" s="5" t="s">
        <v>1</v>
      </c>
      <c r="I49" s="78">
        <f t="shared" si="30"/>
        <v>0</v>
      </c>
      <c r="J49" s="110">
        <f t="shared" si="31"/>
        <v>75</v>
      </c>
      <c r="K49" s="4">
        <v>28</v>
      </c>
      <c r="L49" s="5" t="s">
        <v>1</v>
      </c>
      <c r="M49" s="80">
        <f t="shared" si="32"/>
        <v>28</v>
      </c>
      <c r="N49" s="78">
        <f t="shared" si="33"/>
        <v>2100</v>
      </c>
      <c r="O49" s="188">
        <f t="shared" si="34"/>
        <v>2100</v>
      </c>
    </row>
    <row r="50" spans="1:15" x14ac:dyDescent="0.25">
      <c r="A50" s="31"/>
      <c r="B50" s="4" t="s">
        <v>1926</v>
      </c>
      <c r="C50" s="5">
        <v>1</v>
      </c>
      <c r="D50" s="7">
        <v>0</v>
      </c>
      <c r="E50" s="3">
        <f t="shared" si="29"/>
        <v>1</v>
      </c>
      <c r="F50" s="3" t="s">
        <v>867</v>
      </c>
      <c r="G50" s="77"/>
      <c r="H50" s="5" t="s">
        <v>1</v>
      </c>
      <c r="I50" s="78">
        <f t="shared" si="30"/>
        <v>0</v>
      </c>
      <c r="J50" s="110">
        <f t="shared" si="31"/>
        <v>75</v>
      </c>
      <c r="K50" s="4">
        <v>42</v>
      </c>
      <c r="L50" s="5" t="s">
        <v>1</v>
      </c>
      <c r="M50" s="80">
        <f t="shared" si="32"/>
        <v>42</v>
      </c>
      <c r="N50" s="78">
        <f t="shared" si="33"/>
        <v>3150</v>
      </c>
      <c r="O50" s="188">
        <f t="shared" si="34"/>
        <v>3150</v>
      </c>
    </row>
    <row r="51" spans="1:15" x14ac:dyDescent="0.25">
      <c r="A51" s="31"/>
      <c r="B51" s="4" t="s">
        <v>1925</v>
      </c>
      <c r="C51" s="5">
        <v>1</v>
      </c>
      <c r="D51" s="7">
        <v>0</v>
      </c>
      <c r="E51" s="3">
        <f t="shared" si="29"/>
        <v>1</v>
      </c>
      <c r="F51" s="3" t="s">
        <v>867</v>
      </c>
      <c r="G51" s="77"/>
      <c r="H51" s="5" t="s">
        <v>1</v>
      </c>
      <c r="I51" s="78">
        <f t="shared" si="30"/>
        <v>0</v>
      </c>
      <c r="J51" s="110">
        <f t="shared" si="31"/>
        <v>75</v>
      </c>
      <c r="K51" s="4">
        <v>56</v>
      </c>
      <c r="L51" s="5" t="s">
        <v>1</v>
      </c>
      <c r="M51" s="80">
        <f t="shared" si="32"/>
        <v>56</v>
      </c>
      <c r="N51" s="78">
        <f t="shared" si="33"/>
        <v>4200</v>
      </c>
      <c r="O51" s="188">
        <f t="shared" si="34"/>
        <v>4200</v>
      </c>
    </row>
    <row r="52" spans="1:15" x14ac:dyDescent="0.25">
      <c r="A52" s="31"/>
      <c r="B52" s="4" t="s">
        <v>1924</v>
      </c>
      <c r="C52" s="5">
        <v>1</v>
      </c>
      <c r="D52" s="7">
        <v>0</v>
      </c>
      <c r="E52" s="3">
        <f t="shared" si="29"/>
        <v>1</v>
      </c>
      <c r="F52" s="3" t="s">
        <v>867</v>
      </c>
      <c r="G52" s="77"/>
      <c r="H52" s="5" t="s">
        <v>1</v>
      </c>
      <c r="I52" s="78">
        <f t="shared" si="30"/>
        <v>0</v>
      </c>
      <c r="J52" s="110">
        <f t="shared" si="31"/>
        <v>75</v>
      </c>
      <c r="K52" s="4">
        <v>70</v>
      </c>
      <c r="L52" s="5" t="s">
        <v>1</v>
      </c>
      <c r="M52" s="80">
        <f t="shared" si="32"/>
        <v>70</v>
      </c>
      <c r="N52" s="78">
        <f t="shared" si="33"/>
        <v>5250</v>
      </c>
      <c r="O52" s="188">
        <f t="shared" si="34"/>
        <v>5250</v>
      </c>
    </row>
    <row r="53" spans="1:15" x14ac:dyDescent="0.25">
      <c r="A53" s="31"/>
      <c r="B53" s="4" t="s">
        <v>1923</v>
      </c>
      <c r="C53" s="5">
        <v>1</v>
      </c>
      <c r="D53" s="7">
        <v>0</v>
      </c>
      <c r="E53" s="3">
        <f t="shared" si="29"/>
        <v>1</v>
      </c>
      <c r="F53" s="3" t="s">
        <v>867</v>
      </c>
      <c r="G53" s="77"/>
      <c r="H53" s="5" t="s">
        <v>1</v>
      </c>
      <c r="I53" s="78">
        <f t="shared" si="30"/>
        <v>0</v>
      </c>
      <c r="J53" s="110">
        <f t="shared" si="31"/>
        <v>75</v>
      </c>
      <c r="K53" s="4">
        <v>84</v>
      </c>
      <c r="L53" s="5" t="s">
        <v>1</v>
      </c>
      <c r="M53" s="80">
        <f t="shared" si="32"/>
        <v>84</v>
      </c>
      <c r="N53" s="78">
        <f t="shared" si="33"/>
        <v>6300</v>
      </c>
      <c r="O53" s="188">
        <f t="shared" si="34"/>
        <v>6300</v>
      </c>
    </row>
    <row r="54" spans="1:15" x14ac:dyDescent="0.25">
      <c r="A54" s="31"/>
      <c r="B54" s="4" t="s">
        <v>1922</v>
      </c>
      <c r="C54" s="5">
        <v>1</v>
      </c>
      <c r="D54" s="7">
        <v>0</v>
      </c>
      <c r="E54" s="3">
        <f t="shared" si="29"/>
        <v>1</v>
      </c>
      <c r="F54" s="3" t="s">
        <v>867</v>
      </c>
      <c r="G54" s="77"/>
      <c r="H54" s="5" t="s">
        <v>1</v>
      </c>
      <c r="I54" s="78">
        <f t="shared" si="30"/>
        <v>0</v>
      </c>
      <c r="J54" s="110">
        <f t="shared" si="31"/>
        <v>75</v>
      </c>
      <c r="K54" s="4">
        <v>98</v>
      </c>
      <c r="L54" s="5" t="s">
        <v>1</v>
      </c>
      <c r="M54" s="80">
        <f t="shared" si="32"/>
        <v>98</v>
      </c>
      <c r="N54" s="78">
        <f t="shared" si="33"/>
        <v>7350</v>
      </c>
      <c r="O54" s="188">
        <f t="shared" si="34"/>
        <v>7350</v>
      </c>
    </row>
    <row r="55" spans="1:15" x14ac:dyDescent="0.25">
      <c r="A55" s="31"/>
      <c r="B55" s="4" t="s">
        <v>1921</v>
      </c>
      <c r="C55" s="5">
        <v>1</v>
      </c>
      <c r="D55" s="7">
        <v>0</v>
      </c>
      <c r="E55" s="3">
        <f t="shared" si="29"/>
        <v>1</v>
      </c>
      <c r="F55" s="3" t="s">
        <v>867</v>
      </c>
      <c r="G55" s="77"/>
      <c r="H55" s="5" t="s">
        <v>1</v>
      </c>
      <c r="I55" s="78">
        <f t="shared" si="30"/>
        <v>0</v>
      </c>
      <c r="J55" s="110">
        <f t="shared" si="31"/>
        <v>75</v>
      </c>
      <c r="K55" s="4">
        <v>112</v>
      </c>
      <c r="L55" s="5" t="s">
        <v>1</v>
      </c>
      <c r="M55" s="80">
        <f t="shared" si="32"/>
        <v>112</v>
      </c>
      <c r="N55" s="78">
        <f t="shared" si="33"/>
        <v>8400</v>
      </c>
      <c r="O55" s="188">
        <f t="shared" si="34"/>
        <v>8400</v>
      </c>
    </row>
    <row r="56" spans="1:15" x14ac:dyDescent="0.25">
      <c r="A56" s="31"/>
      <c r="B56" s="4" t="s">
        <v>1920</v>
      </c>
      <c r="C56" s="5">
        <v>1</v>
      </c>
      <c r="D56" s="7">
        <v>0</v>
      </c>
      <c r="E56" s="3">
        <f t="shared" si="29"/>
        <v>1</v>
      </c>
      <c r="F56" s="3" t="s">
        <v>867</v>
      </c>
      <c r="G56" s="77"/>
      <c r="H56" s="5" t="s">
        <v>1</v>
      </c>
      <c r="I56" s="78">
        <f t="shared" si="30"/>
        <v>0</v>
      </c>
      <c r="J56" s="110">
        <f t="shared" si="31"/>
        <v>75</v>
      </c>
      <c r="K56" s="4">
        <v>126</v>
      </c>
      <c r="L56" s="5" t="s">
        <v>1</v>
      </c>
      <c r="M56" s="80">
        <f t="shared" si="32"/>
        <v>126</v>
      </c>
      <c r="N56" s="78">
        <f t="shared" si="33"/>
        <v>9450</v>
      </c>
      <c r="O56" s="188">
        <f t="shared" si="34"/>
        <v>9450</v>
      </c>
    </row>
    <row r="57" spans="1:15" x14ac:dyDescent="0.25">
      <c r="A57" s="31"/>
      <c r="B57" s="4" t="s">
        <v>1919</v>
      </c>
      <c r="C57" s="5">
        <v>1</v>
      </c>
      <c r="D57" s="7">
        <v>0</v>
      </c>
      <c r="E57" s="3">
        <f t="shared" si="29"/>
        <v>1</v>
      </c>
      <c r="F57" s="3" t="s">
        <v>867</v>
      </c>
      <c r="G57" s="77"/>
      <c r="H57" s="5" t="s">
        <v>1</v>
      </c>
      <c r="I57" s="78">
        <f t="shared" si="30"/>
        <v>0</v>
      </c>
      <c r="J57" s="110">
        <f t="shared" si="31"/>
        <v>75</v>
      </c>
      <c r="K57" s="4">
        <v>140</v>
      </c>
      <c r="L57" s="5" t="s">
        <v>1</v>
      </c>
      <c r="M57" s="80">
        <f t="shared" si="32"/>
        <v>140</v>
      </c>
      <c r="N57" s="78">
        <f t="shared" si="33"/>
        <v>10500</v>
      </c>
      <c r="O57" s="188">
        <f t="shared" si="34"/>
        <v>10500</v>
      </c>
    </row>
    <row r="58" spans="1:15" x14ac:dyDescent="0.25">
      <c r="A58" s="31"/>
      <c r="B58" s="4" t="s">
        <v>1918</v>
      </c>
      <c r="C58" s="5">
        <v>1</v>
      </c>
      <c r="D58" s="7">
        <v>0</v>
      </c>
      <c r="E58" s="3">
        <f t="shared" si="29"/>
        <v>1</v>
      </c>
      <c r="F58" s="3" t="s">
        <v>867</v>
      </c>
      <c r="G58" s="77"/>
      <c r="H58" s="5" t="s">
        <v>1</v>
      </c>
      <c r="I58" s="78">
        <f t="shared" si="30"/>
        <v>0</v>
      </c>
      <c r="J58" s="110">
        <f t="shared" si="31"/>
        <v>75</v>
      </c>
      <c r="K58" s="4">
        <v>154</v>
      </c>
      <c r="L58" s="5" t="s">
        <v>1</v>
      </c>
      <c r="M58" s="80">
        <f t="shared" si="32"/>
        <v>154</v>
      </c>
      <c r="N58" s="78">
        <f t="shared" si="33"/>
        <v>11550</v>
      </c>
      <c r="O58" s="188">
        <f t="shared" si="34"/>
        <v>11550</v>
      </c>
    </row>
    <row r="59" spans="1:15" x14ac:dyDescent="0.25">
      <c r="A59" s="31"/>
      <c r="B59" s="4" t="s">
        <v>1917</v>
      </c>
      <c r="C59" s="5">
        <v>1</v>
      </c>
      <c r="D59" s="7">
        <v>0</v>
      </c>
      <c r="E59" s="3">
        <f t="shared" si="29"/>
        <v>1</v>
      </c>
      <c r="F59" s="3" t="s">
        <v>867</v>
      </c>
      <c r="G59" s="77"/>
      <c r="H59" s="5" t="s">
        <v>1</v>
      </c>
      <c r="I59" s="78">
        <f t="shared" si="30"/>
        <v>0</v>
      </c>
      <c r="J59" s="110">
        <f t="shared" si="31"/>
        <v>75</v>
      </c>
      <c r="K59" s="4">
        <v>168</v>
      </c>
      <c r="L59" s="5" t="s">
        <v>1</v>
      </c>
      <c r="M59" s="80">
        <f t="shared" si="32"/>
        <v>168</v>
      </c>
      <c r="N59" s="78">
        <f t="shared" si="33"/>
        <v>12600</v>
      </c>
      <c r="O59" s="188">
        <f t="shared" si="34"/>
        <v>12600</v>
      </c>
    </row>
    <row r="60" spans="1:15" ht="15.75" thickBot="1" x14ac:dyDescent="0.3">
      <c r="A60" s="53"/>
      <c r="B60" s="54"/>
      <c r="C60" s="55"/>
      <c r="D60" s="55"/>
      <c r="E60" s="55"/>
      <c r="F60" s="55"/>
      <c r="G60" s="56"/>
      <c r="H60" s="56"/>
      <c r="I60" s="56"/>
      <c r="J60" s="56"/>
      <c r="K60" s="57"/>
      <c r="L60" s="55"/>
      <c r="M60" s="57"/>
      <c r="N60" s="56"/>
      <c r="O60" s="188"/>
    </row>
    <row r="61" spans="1:15" ht="15.75" thickBot="1" x14ac:dyDescent="0.3">
      <c r="A61" s="60"/>
      <c r="B61" s="145" t="s">
        <v>1916</v>
      </c>
      <c r="C61" s="5">
        <v>1</v>
      </c>
      <c r="D61" s="7">
        <v>0</v>
      </c>
      <c r="E61" s="3">
        <f t="shared" ref="E61:E68" si="35">C61+(C61*D61)</f>
        <v>1</v>
      </c>
      <c r="F61" s="3"/>
      <c r="G61" s="9"/>
      <c r="H61" s="5"/>
      <c r="I61" s="9"/>
      <c r="J61" s="9"/>
      <c r="K61" s="15"/>
      <c r="L61" s="5"/>
      <c r="M61" s="15"/>
      <c r="N61" s="4"/>
      <c r="O61" s="188"/>
    </row>
    <row r="62" spans="1:15" x14ac:dyDescent="0.25">
      <c r="A62" s="31">
        <v>1</v>
      </c>
      <c r="B62" s="4" t="s">
        <v>1915</v>
      </c>
      <c r="C62" s="5">
        <v>1</v>
      </c>
      <c r="D62" s="7">
        <v>0</v>
      </c>
      <c r="E62" s="3">
        <f t="shared" si="35"/>
        <v>1</v>
      </c>
      <c r="F62" s="3" t="s">
        <v>867</v>
      </c>
      <c r="G62" s="77"/>
      <c r="H62" s="5" t="s">
        <v>1</v>
      </c>
      <c r="I62" s="78">
        <f t="shared" ref="I62:I81" si="36">IF(H62="C",(G62/100)*E62,IF(H62="M",(G62/1000)*E62,G62*E62))</f>
        <v>0</v>
      </c>
      <c r="J62" s="110">
        <f t="shared" ref="J62:J81" si="37">$O$4</f>
        <v>75</v>
      </c>
      <c r="K62" s="4">
        <v>16</v>
      </c>
      <c r="L62" s="5" t="s">
        <v>1</v>
      </c>
      <c r="M62" s="80">
        <f t="shared" ref="M62:M81" si="38">IF(L62="C",(K62/100)*E62,IF(L62="M",(K62/1000)*E62,K62*E62))</f>
        <v>16</v>
      </c>
      <c r="N62" s="78">
        <f t="shared" ref="N62:N81" si="39">M62*J62</f>
        <v>1200</v>
      </c>
      <c r="O62" s="188">
        <f t="shared" ref="O62:O81" si="40">N62+I62</f>
        <v>1200</v>
      </c>
    </row>
    <row r="63" spans="1:15" x14ac:dyDescent="0.25">
      <c r="A63" s="31"/>
      <c r="B63" s="4" t="s">
        <v>1914</v>
      </c>
      <c r="C63" s="5">
        <v>1</v>
      </c>
      <c r="D63" s="7">
        <v>0</v>
      </c>
      <c r="E63" s="3">
        <f t="shared" si="35"/>
        <v>1</v>
      </c>
      <c r="F63" s="3" t="s">
        <v>867</v>
      </c>
      <c r="G63" s="77"/>
      <c r="H63" s="5" t="s">
        <v>1</v>
      </c>
      <c r="I63" s="78">
        <f t="shared" si="36"/>
        <v>0</v>
      </c>
      <c r="J63" s="110">
        <f t="shared" si="37"/>
        <v>75</v>
      </c>
      <c r="K63" s="4">
        <v>32</v>
      </c>
      <c r="L63" s="5" t="s">
        <v>1</v>
      </c>
      <c r="M63" s="80">
        <f t="shared" si="38"/>
        <v>32</v>
      </c>
      <c r="N63" s="78">
        <f t="shared" si="39"/>
        <v>2400</v>
      </c>
      <c r="O63" s="188">
        <f t="shared" si="40"/>
        <v>2400</v>
      </c>
    </row>
    <row r="64" spans="1:15" x14ac:dyDescent="0.25">
      <c r="A64" s="31"/>
      <c r="B64" s="4" t="s">
        <v>1913</v>
      </c>
      <c r="C64" s="5">
        <v>1</v>
      </c>
      <c r="D64" s="7">
        <v>0</v>
      </c>
      <c r="E64" s="3">
        <f t="shared" si="35"/>
        <v>1</v>
      </c>
      <c r="F64" s="3" t="s">
        <v>867</v>
      </c>
      <c r="G64" s="77"/>
      <c r="H64" s="5" t="s">
        <v>1</v>
      </c>
      <c r="I64" s="78">
        <f t="shared" si="36"/>
        <v>0</v>
      </c>
      <c r="J64" s="110">
        <f t="shared" si="37"/>
        <v>75</v>
      </c>
      <c r="K64" s="4">
        <v>48</v>
      </c>
      <c r="L64" s="5" t="s">
        <v>1</v>
      </c>
      <c r="M64" s="80">
        <f t="shared" si="38"/>
        <v>48</v>
      </c>
      <c r="N64" s="78">
        <f t="shared" si="39"/>
        <v>3600</v>
      </c>
      <c r="O64" s="188">
        <f t="shared" si="40"/>
        <v>3600</v>
      </c>
    </row>
    <row r="65" spans="1:15" x14ac:dyDescent="0.25">
      <c r="A65" s="31"/>
      <c r="B65" s="4" t="s">
        <v>1912</v>
      </c>
      <c r="C65" s="5">
        <v>1</v>
      </c>
      <c r="D65" s="7">
        <v>0</v>
      </c>
      <c r="E65" s="3">
        <f t="shared" si="35"/>
        <v>1</v>
      </c>
      <c r="F65" s="3" t="s">
        <v>867</v>
      </c>
      <c r="G65" s="77"/>
      <c r="H65" s="5" t="s">
        <v>1</v>
      </c>
      <c r="I65" s="78">
        <f t="shared" si="36"/>
        <v>0</v>
      </c>
      <c r="J65" s="110">
        <f t="shared" si="37"/>
        <v>75</v>
      </c>
      <c r="K65" s="4">
        <v>64</v>
      </c>
      <c r="L65" s="5" t="s">
        <v>1</v>
      </c>
      <c r="M65" s="80">
        <f t="shared" si="38"/>
        <v>64</v>
      </c>
      <c r="N65" s="78">
        <f t="shared" si="39"/>
        <v>4800</v>
      </c>
      <c r="O65" s="188">
        <f t="shared" si="40"/>
        <v>4800</v>
      </c>
    </row>
    <row r="66" spans="1:15" x14ac:dyDescent="0.25">
      <c r="A66" s="31"/>
      <c r="B66" s="4" t="s">
        <v>1911</v>
      </c>
      <c r="C66" s="5">
        <v>1</v>
      </c>
      <c r="D66" s="7">
        <v>0</v>
      </c>
      <c r="E66" s="3">
        <f t="shared" si="35"/>
        <v>1</v>
      </c>
      <c r="F66" s="3" t="s">
        <v>867</v>
      </c>
      <c r="G66" s="77"/>
      <c r="H66" s="5" t="s">
        <v>1</v>
      </c>
      <c r="I66" s="78">
        <f t="shared" si="36"/>
        <v>0</v>
      </c>
      <c r="J66" s="110">
        <f t="shared" si="37"/>
        <v>75</v>
      </c>
      <c r="K66" s="4">
        <v>80</v>
      </c>
      <c r="L66" s="5" t="s">
        <v>1</v>
      </c>
      <c r="M66" s="80">
        <f t="shared" si="38"/>
        <v>80</v>
      </c>
      <c r="N66" s="78">
        <f t="shared" si="39"/>
        <v>6000</v>
      </c>
      <c r="O66" s="188">
        <f t="shared" si="40"/>
        <v>6000</v>
      </c>
    </row>
    <row r="67" spans="1:15" x14ac:dyDescent="0.25">
      <c r="A67" s="31"/>
      <c r="B67" s="4" t="s">
        <v>1910</v>
      </c>
      <c r="C67" s="5">
        <v>1</v>
      </c>
      <c r="D67" s="7">
        <v>0</v>
      </c>
      <c r="E67" s="3">
        <f t="shared" si="35"/>
        <v>1</v>
      </c>
      <c r="F67" s="3" t="s">
        <v>867</v>
      </c>
      <c r="G67" s="77"/>
      <c r="H67" s="5" t="s">
        <v>1</v>
      </c>
      <c r="I67" s="78">
        <f t="shared" si="36"/>
        <v>0</v>
      </c>
      <c r="J67" s="110">
        <f t="shared" si="37"/>
        <v>75</v>
      </c>
      <c r="K67" s="4">
        <v>96</v>
      </c>
      <c r="L67" s="5" t="s">
        <v>1</v>
      </c>
      <c r="M67" s="80">
        <f t="shared" si="38"/>
        <v>96</v>
      </c>
      <c r="N67" s="78">
        <f t="shared" si="39"/>
        <v>7200</v>
      </c>
      <c r="O67" s="188">
        <f t="shared" si="40"/>
        <v>7200</v>
      </c>
    </row>
    <row r="68" spans="1:15" x14ac:dyDescent="0.25">
      <c r="A68" s="31"/>
      <c r="B68" s="4" t="s">
        <v>1909</v>
      </c>
      <c r="C68" s="5">
        <v>1</v>
      </c>
      <c r="D68" s="7">
        <v>0</v>
      </c>
      <c r="E68" s="3">
        <f t="shared" si="35"/>
        <v>1</v>
      </c>
      <c r="F68" s="3" t="s">
        <v>867</v>
      </c>
      <c r="G68" s="77"/>
      <c r="H68" s="5" t="s">
        <v>1</v>
      </c>
      <c r="I68" s="78">
        <f t="shared" si="36"/>
        <v>0</v>
      </c>
      <c r="J68" s="110">
        <f t="shared" si="37"/>
        <v>75</v>
      </c>
      <c r="K68" s="4">
        <v>112</v>
      </c>
      <c r="L68" s="5" t="s">
        <v>1</v>
      </c>
      <c r="M68" s="80">
        <f t="shared" si="38"/>
        <v>112</v>
      </c>
      <c r="N68" s="78">
        <f t="shared" si="39"/>
        <v>8400</v>
      </c>
      <c r="O68" s="188">
        <f t="shared" si="40"/>
        <v>8400</v>
      </c>
    </row>
    <row r="69" spans="1:15" x14ac:dyDescent="0.25">
      <c r="A69" s="31"/>
      <c r="B69" s="4" t="s">
        <v>1908</v>
      </c>
      <c r="C69" s="5"/>
      <c r="D69" s="7">
        <v>0</v>
      </c>
      <c r="E69" s="3"/>
      <c r="F69" s="3" t="s">
        <v>867</v>
      </c>
      <c r="G69" s="77"/>
      <c r="H69" s="5" t="s">
        <v>1</v>
      </c>
      <c r="I69" s="78">
        <f t="shared" si="36"/>
        <v>0</v>
      </c>
      <c r="J69" s="110">
        <f t="shared" si="37"/>
        <v>75</v>
      </c>
      <c r="K69" s="4">
        <v>128</v>
      </c>
      <c r="L69" s="5" t="s">
        <v>1</v>
      </c>
      <c r="M69" s="80">
        <f t="shared" si="38"/>
        <v>0</v>
      </c>
      <c r="N69" s="78">
        <f t="shared" si="39"/>
        <v>0</v>
      </c>
      <c r="O69" s="188">
        <f t="shared" si="40"/>
        <v>0</v>
      </c>
    </row>
    <row r="70" spans="1:15" x14ac:dyDescent="0.25">
      <c r="A70" s="60"/>
      <c r="B70" s="8" t="s">
        <v>1907</v>
      </c>
      <c r="C70" s="5">
        <v>1</v>
      </c>
      <c r="D70" s="7">
        <v>0</v>
      </c>
      <c r="E70" s="3">
        <f t="shared" ref="E70:E81" si="41">C70+(C70*D70)</f>
        <v>1</v>
      </c>
      <c r="F70" s="3" t="s">
        <v>867</v>
      </c>
      <c r="G70" s="77"/>
      <c r="H70" s="5" t="s">
        <v>1</v>
      </c>
      <c r="I70" s="78">
        <f t="shared" si="36"/>
        <v>0</v>
      </c>
      <c r="J70" s="110">
        <f t="shared" si="37"/>
        <v>75</v>
      </c>
      <c r="K70" s="4">
        <v>144</v>
      </c>
      <c r="L70" s="5" t="s">
        <v>1</v>
      </c>
      <c r="M70" s="80">
        <f t="shared" si="38"/>
        <v>144</v>
      </c>
      <c r="N70" s="78">
        <f t="shared" si="39"/>
        <v>10800</v>
      </c>
      <c r="O70" s="188">
        <f t="shared" si="40"/>
        <v>10800</v>
      </c>
    </row>
    <row r="71" spans="1:15" x14ac:dyDescent="0.25">
      <c r="A71" s="31"/>
      <c r="B71" s="4" t="s">
        <v>1906</v>
      </c>
      <c r="C71" s="5">
        <v>1</v>
      </c>
      <c r="D71" s="7">
        <v>0</v>
      </c>
      <c r="E71" s="3">
        <f t="shared" si="41"/>
        <v>1</v>
      </c>
      <c r="F71" s="3" t="s">
        <v>867</v>
      </c>
      <c r="G71" s="77"/>
      <c r="H71" s="5" t="s">
        <v>1</v>
      </c>
      <c r="I71" s="78">
        <f t="shared" si="36"/>
        <v>0</v>
      </c>
      <c r="J71" s="110">
        <f t="shared" si="37"/>
        <v>75</v>
      </c>
      <c r="K71" s="4">
        <v>160</v>
      </c>
      <c r="L71" s="5" t="s">
        <v>1</v>
      </c>
      <c r="M71" s="80">
        <f t="shared" si="38"/>
        <v>160</v>
      </c>
      <c r="N71" s="78">
        <f t="shared" si="39"/>
        <v>12000</v>
      </c>
      <c r="O71" s="188">
        <f t="shared" si="40"/>
        <v>12000</v>
      </c>
    </row>
    <row r="72" spans="1:15" x14ac:dyDescent="0.25">
      <c r="A72" s="31"/>
      <c r="B72" s="4" t="s">
        <v>1905</v>
      </c>
      <c r="C72" s="5">
        <v>1</v>
      </c>
      <c r="D72" s="7">
        <v>0</v>
      </c>
      <c r="E72" s="3">
        <f t="shared" si="41"/>
        <v>1</v>
      </c>
      <c r="F72" s="3" t="s">
        <v>867</v>
      </c>
      <c r="G72" s="77"/>
      <c r="H72" s="5" t="s">
        <v>1</v>
      </c>
      <c r="I72" s="78">
        <f t="shared" si="36"/>
        <v>0</v>
      </c>
      <c r="J72" s="110">
        <f t="shared" si="37"/>
        <v>75</v>
      </c>
      <c r="K72" s="4">
        <v>176</v>
      </c>
      <c r="L72" s="5" t="s">
        <v>1</v>
      </c>
      <c r="M72" s="80">
        <f t="shared" si="38"/>
        <v>176</v>
      </c>
      <c r="N72" s="78">
        <f t="shared" si="39"/>
        <v>13200</v>
      </c>
      <c r="O72" s="188">
        <f t="shared" si="40"/>
        <v>13200</v>
      </c>
    </row>
    <row r="73" spans="1:15" x14ac:dyDescent="0.25">
      <c r="A73" s="31"/>
      <c r="B73" s="4" t="s">
        <v>1904</v>
      </c>
      <c r="C73" s="5">
        <v>1</v>
      </c>
      <c r="D73" s="7">
        <v>0</v>
      </c>
      <c r="E73" s="3">
        <f t="shared" si="41"/>
        <v>1</v>
      </c>
      <c r="F73" s="3" t="s">
        <v>867</v>
      </c>
      <c r="G73" s="77"/>
      <c r="H73" s="5" t="s">
        <v>1</v>
      </c>
      <c r="I73" s="78">
        <f t="shared" si="36"/>
        <v>0</v>
      </c>
      <c r="J73" s="110">
        <f t="shared" si="37"/>
        <v>75</v>
      </c>
      <c r="K73" s="4">
        <v>192</v>
      </c>
      <c r="L73" s="5" t="s">
        <v>1</v>
      </c>
      <c r="M73" s="80">
        <f t="shared" si="38"/>
        <v>192</v>
      </c>
      <c r="N73" s="78">
        <f t="shared" si="39"/>
        <v>14400</v>
      </c>
      <c r="O73" s="188">
        <f t="shared" si="40"/>
        <v>14400</v>
      </c>
    </row>
    <row r="74" spans="1:15" x14ac:dyDescent="0.25">
      <c r="A74" s="31"/>
      <c r="B74" s="4" t="s">
        <v>1903</v>
      </c>
      <c r="C74" s="5">
        <v>1</v>
      </c>
      <c r="D74" s="7">
        <v>0</v>
      </c>
      <c r="E74" s="3">
        <f t="shared" si="41"/>
        <v>1</v>
      </c>
      <c r="F74" s="3" t="s">
        <v>867</v>
      </c>
      <c r="G74" s="77"/>
      <c r="H74" s="5" t="s">
        <v>1</v>
      </c>
      <c r="I74" s="78">
        <f t="shared" si="36"/>
        <v>0</v>
      </c>
      <c r="J74" s="110">
        <f t="shared" si="37"/>
        <v>75</v>
      </c>
      <c r="K74" s="4">
        <v>208</v>
      </c>
      <c r="L74" s="5" t="s">
        <v>1</v>
      </c>
      <c r="M74" s="80">
        <f t="shared" si="38"/>
        <v>208</v>
      </c>
      <c r="N74" s="78">
        <f t="shared" si="39"/>
        <v>15600</v>
      </c>
      <c r="O74" s="188">
        <f t="shared" si="40"/>
        <v>15600</v>
      </c>
    </row>
    <row r="75" spans="1:15" x14ac:dyDescent="0.25">
      <c r="A75" s="31"/>
      <c r="B75" s="4" t="s">
        <v>1902</v>
      </c>
      <c r="C75" s="5">
        <v>1</v>
      </c>
      <c r="D75" s="7">
        <v>0</v>
      </c>
      <c r="E75" s="3">
        <f t="shared" si="41"/>
        <v>1</v>
      </c>
      <c r="F75" s="3" t="s">
        <v>867</v>
      </c>
      <c r="G75" s="77"/>
      <c r="H75" s="5" t="s">
        <v>1</v>
      </c>
      <c r="I75" s="78">
        <f t="shared" si="36"/>
        <v>0</v>
      </c>
      <c r="J75" s="110">
        <f t="shared" si="37"/>
        <v>75</v>
      </c>
      <c r="K75" s="4">
        <v>224</v>
      </c>
      <c r="L75" s="5" t="s">
        <v>1</v>
      </c>
      <c r="M75" s="80">
        <f t="shared" si="38"/>
        <v>224</v>
      </c>
      <c r="N75" s="78">
        <f t="shared" si="39"/>
        <v>16800</v>
      </c>
      <c r="O75" s="188">
        <f t="shared" si="40"/>
        <v>16800</v>
      </c>
    </row>
    <row r="76" spans="1:15" x14ac:dyDescent="0.25">
      <c r="A76" s="31"/>
      <c r="B76" s="4" t="s">
        <v>1901</v>
      </c>
      <c r="C76" s="5">
        <v>1</v>
      </c>
      <c r="D76" s="7">
        <v>0</v>
      </c>
      <c r="E76" s="3">
        <f t="shared" si="41"/>
        <v>1</v>
      </c>
      <c r="F76" s="3" t="s">
        <v>867</v>
      </c>
      <c r="G76" s="77"/>
      <c r="H76" s="5" t="s">
        <v>1</v>
      </c>
      <c r="I76" s="78">
        <f t="shared" si="36"/>
        <v>0</v>
      </c>
      <c r="J76" s="110">
        <f t="shared" si="37"/>
        <v>75</v>
      </c>
      <c r="K76" s="4">
        <v>240</v>
      </c>
      <c r="L76" s="5" t="s">
        <v>1</v>
      </c>
      <c r="M76" s="80">
        <f t="shared" si="38"/>
        <v>240</v>
      </c>
      <c r="N76" s="78">
        <f t="shared" si="39"/>
        <v>18000</v>
      </c>
      <c r="O76" s="188">
        <f t="shared" si="40"/>
        <v>18000</v>
      </c>
    </row>
    <row r="77" spans="1:15" x14ac:dyDescent="0.25">
      <c r="A77" s="31"/>
      <c r="B77" s="4" t="s">
        <v>1900</v>
      </c>
      <c r="C77" s="5">
        <v>1</v>
      </c>
      <c r="D77" s="7">
        <v>0</v>
      </c>
      <c r="E77" s="3">
        <f t="shared" si="41"/>
        <v>1</v>
      </c>
      <c r="F77" s="3" t="s">
        <v>867</v>
      </c>
      <c r="G77" s="77"/>
      <c r="H77" s="5" t="s">
        <v>1</v>
      </c>
      <c r="I77" s="78">
        <f t="shared" si="36"/>
        <v>0</v>
      </c>
      <c r="J77" s="110">
        <f t="shared" si="37"/>
        <v>75</v>
      </c>
      <c r="K77" s="4">
        <v>256</v>
      </c>
      <c r="L77" s="5" t="s">
        <v>1</v>
      </c>
      <c r="M77" s="80">
        <f t="shared" si="38"/>
        <v>256</v>
      </c>
      <c r="N77" s="78">
        <f t="shared" si="39"/>
        <v>19200</v>
      </c>
      <c r="O77" s="188">
        <f t="shared" si="40"/>
        <v>19200</v>
      </c>
    </row>
    <row r="78" spans="1:15" x14ac:dyDescent="0.25">
      <c r="A78" s="31"/>
      <c r="B78" s="4" t="s">
        <v>1899</v>
      </c>
      <c r="C78" s="5">
        <v>1</v>
      </c>
      <c r="D78" s="7">
        <v>0</v>
      </c>
      <c r="E78" s="3">
        <f t="shared" si="41"/>
        <v>1</v>
      </c>
      <c r="F78" s="3" t="s">
        <v>867</v>
      </c>
      <c r="G78" s="77"/>
      <c r="H78" s="5" t="s">
        <v>1</v>
      </c>
      <c r="I78" s="78">
        <f t="shared" si="36"/>
        <v>0</v>
      </c>
      <c r="J78" s="110">
        <f t="shared" si="37"/>
        <v>75</v>
      </c>
      <c r="K78" s="4">
        <v>272</v>
      </c>
      <c r="L78" s="5" t="s">
        <v>1</v>
      </c>
      <c r="M78" s="80">
        <f t="shared" si="38"/>
        <v>272</v>
      </c>
      <c r="N78" s="78">
        <f t="shared" si="39"/>
        <v>20400</v>
      </c>
      <c r="O78" s="188">
        <f t="shared" si="40"/>
        <v>20400</v>
      </c>
    </row>
    <row r="79" spans="1:15" x14ac:dyDescent="0.25">
      <c r="A79" s="31"/>
      <c r="B79" s="4" t="s">
        <v>1898</v>
      </c>
      <c r="C79" s="5">
        <v>1</v>
      </c>
      <c r="D79" s="7">
        <v>0</v>
      </c>
      <c r="E79" s="3">
        <f t="shared" si="41"/>
        <v>1</v>
      </c>
      <c r="F79" s="3" t="s">
        <v>867</v>
      </c>
      <c r="G79" s="77"/>
      <c r="H79" s="5" t="s">
        <v>1</v>
      </c>
      <c r="I79" s="78">
        <f t="shared" si="36"/>
        <v>0</v>
      </c>
      <c r="J79" s="110">
        <f t="shared" si="37"/>
        <v>75</v>
      </c>
      <c r="K79" s="4">
        <v>288</v>
      </c>
      <c r="L79" s="5" t="s">
        <v>1</v>
      </c>
      <c r="M79" s="80">
        <f t="shared" si="38"/>
        <v>288</v>
      </c>
      <c r="N79" s="78">
        <f t="shared" si="39"/>
        <v>21600</v>
      </c>
      <c r="O79" s="188">
        <f t="shared" si="40"/>
        <v>21600</v>
      </c>
    </row>
    <row r="80" spans="1:15" x14ac:dyDescent="0.25">
      <c r="A80" s="31"/>
      <c r="B80" s="4" t="s">
        <v>1897</v>
      </c>
      <c r="C80" s="5">
        <v>1</v>
      </c>
      <c r="D80" s="7">
        <v>0</v>
      </c>
      <c r="E80" s="3">
        <f t="shared" si="41"/>
        <v>1</v>
      </c>
      <c r="F80" s="3" t="s">
        <v>867</v>
      </c>
      <c r="G80" s="77"/>
      <c r="H80" s="5" t="s">
        <v>1</v>
      </c>
      <c r="I80" s="78">
        <f t="shared" si="36"/>
        <v>0</v>
      </c>
      <c r="J80" s="110">
        <f t="shared" si="37"/>
        <v>75</v>
      </c>
      <c r="K80" s="4">
        <v>304</v>
      </c>
      <c r="L80" s="5" t="s">
        <v>1</v>
      </c>
      <c r="M80" s="80">
        <f t="shared" si="38"/>
        <v>304</v>
      </c>
      <c r="N80" s="78">
        <f t="shared" si="39"/>
        <v>22800</v>
      </c>
      <c r="O80" s="188">
        <f t="shared" si="40"/>
        <v>22800</v>
      </c>
    </row>
    <row r="81" spans="1:15" x14ac:dyDescent="0.25">
      <c r="A81" s="31"/>
      <c r="B81" s="4" t="s">
        <v>1896</v>
      </c>
      <c r="C81" s="5">
        <v>1</v>
      </c>
      <c r="D81" s="7">
        <v>0</v>
      </c>
      <c r="E81" s="3">
        <f t="shared" si="41"/>
        <v>1</v>
      </c>
      <c r="F81" s="3" t="s">
        <v>867</v>
      </c>
      <c r="G81" s="77"/>
      <c r="H81" s="5" t="s">
        <v>1</v>
      </c>
      <c r="I81" s="78">
        <f t="shared" si="36"/>
        <v>0</v>
      </c>
      <c r="J81" s="110">
        <f t="shared" si="37"/>
        <v>75</v>
      </c>
      <c r="K81" s="4">
        <v>320</v>
      </c>
      <c r="L81" s="5" t="s">
        <v>1</v>
      </c>
      <c r="M81" s="80">
        <f t="shared" si="38"/>
        <v>320</v>
      </c>
      <c r="N81" s="78">
        <f t="shared" si="39"/>
        <v>24000</v>
      </c>
      <c r="O81" s="188">
        <f t="shared" si="40"/>
        <v>24000</v>
      </c>
    </row>
    <row r="82" spans="1:15" ht="15.75" thickBot="1" x14ac:dyDescent="0.3">
      <c r="A82" s="53"/>
      <c r="B82" s="54"/>
      <c r="C82" s="55"/>
      <c r="D82" s="55"/>
      <c r="E82" s="55"/>
      <c r="F82" s="55"/>
      <c r="G82" s="56"/>
      <c r="H82" s="56"/>
      <c r="I82" s="56"/>
      <c r="J82" s="56"/>
      <c r="K82" s="57"/>
      <c r="L82" s="55"/>
      <c r="M82" s="57"/>
      <c r="N82" s="56"/>
      <c r="O82" s="188"/>
    </row>
    <row r="83" spans="1:15" ht="15.75" thickBot="1" x14ac:dyDescent="0.3">
      <c r="A83" s="60"/>
      <c r="B83" s="145" t="s">
        <v>1895</v>
      </c>
      <c r="C83" s="5">
        <v>1</v>
      </c>
      <c r="D83" s="7">
        <v>0</v>
      </c>
      <c r="E83" s="3">
        <f t="shared" ref="E83:E103" si="42">C83+(C83*D83)</f>
        <v>1</v>
      </c>
      <c r="F83" s="3"/>
      <c r="G83" s="9"/>
      <c r="H83" s="5"/>
      <c r="I83" s="9"/>
      <c r="J83" s="9"/>
      <c r="K83" s="15"/>
      <c r="L83" s="5"/>
      <c r="M83" s="15"/>
      <c r="N83" s="4"/>
      <c r="O83" s="188"/>
    </row>
    <row r="84" spans="1:15" x14ac:dyDescent="0.25">
      <c r="A84" s="31">
        <v>1</v>
      </c>
      <c r="B84" s="4" t="s">
        <v>1894</v>
      </c>
      <c r="C84" s="5">
        <v>1</v>
      </c>
      <c r="D84" s="7">
        <v>0</v>
      </c>
      <c r="E84" s="3">
        <f t="shared" si="42"/>
        <v>1</v>
      </c>
      <c r="F84" s="3" t="s">
        <v>867</v>
      </c>
      <c r="G84" s="77"/>
      <c r="H84" s="5" t="s">
        <v>1</v>
      </c>
      <c r="I84" s="78">
        <f t="shared" ref="I84:I103" si="43">IF(H84="C",(G84/100)*E84,IF(H84="M",(G84/1000)*E84,G84*E84))</f>
        <v>0</v>
      </c>
      <c r="J84" s="110">
        <f t="shared" ref="J84:J103" si="44">$O$4</f>
        <v>75</v>
      </c>
      <c r="K84" s="4">
        <v>18</v>
      </c>
      <c r="L84" s="5" t="s">
        <v>1</v>
      </c>
      <c r="M84" s="80">
        <f t="shared" ref="M84:M103" si="45">IF(L84="C",(K84/100)*E84,IF(L84="M",(K84/1000)*E84,K84*E84))</f>
        <v>18</v>
      </c>
      <c r="N84" s="78">
        <f t="shared" ref="N84:N103" si="46">M84*J84</f>
        <v>1350</v>
      </c>
      <c r="O84" s="188">
        <f t="shared" ref="O84:O103" si="47">N84+I84</f>
        <v>1350</v>
      </c>
    </row>
    <row r="85" spans="1:15" x14ac:dyDescent="0.25">
      <c r="A85" s="60"/>
      <c r="B85" s="8" t="s">
        <v>1893</v>
      </c>
      <c r="C85" s="5">
        <v>1</v>
      </c>
      <c r="D85" s="7">
        <v>0</v>
      </c>
      <c r="E85" s="3">
        <f t="shared" si="42"/>
        <v>1</v>
      </c>
      <c r="F85" s="3" t="s">
        <v>867</v>
      </c>
      <c r="G85" s="77"/>
      <c r="H85" s="5" t="s">
        <v>1</v>
      </c>
      <c r="I85" s="78">
        <f t="shared" si="43"/>
        <v>0</v>
      </c>
      <c r="J85" s="110">
        <f t="shared" si="44"/>
        <v>75</v>
      </c>
      <c r="K85" s="4">
        <v>36</v>
      </c>
      <c r="L85" s="5" t="s">
        <v>1</v>
      </c>
      <c r="M85" s="80">
        <f t="shared" si="45"/>
        <v>36</v>
      </c>
      <c r="N85" s="78">
        <f t="shared" si="46"/>
        <v>2700</v>
      </c>
      <c r="O85" s="188">
        <f t="shared" si="47"/>
        <v>2700</v>
      </c>
    </row>
    <row r="86" spans="1:15" x14ac:dyDescent="0.25">
      <c r="A86" s="31"/>
      <c r="B86" s="4" t="s">
        <v>1892</v>
      </c>
      <c r="C86" s="5">
        <v>1</v>
      </c>
      <c r="D86" s="7">
        <v>0</v>
      </c>
      <c r="E86" s="3">
        <f t="shared" si="42"/>
        <v>1</v>
      </c>
      <c r="F86" s="3" t="s">
        <v>867</v>
      </c>
      <c r="G86" s="77"/>
      <c r="H86" s="5" t="s">
        <v>1</v>
      </c>
      <c r="I86" s="78">
        <f t="shared" si="43"/>
        <v>0</v>
      </c>
      <c r="J86" s="110">
        <f t="shared" si="44"/>
        <v>75</v>
      </c>
      <c r="K86" s="4">
        <v>54</v>
      </c>
      <c r="L86" s="5" t="s">
        <v>1</v>
      </c>
      <c r="M86" s="80">
        <f t="shared" si="45"/>
        <v>54</v>
      </c>
      <c r="N86" s="78">
        <f t="shared" si="46"/>
        <v>4050</v>
      </c>
      <c r="O86" s="188">
        <f t="shared" si="47"/>
        <v>4050</v>
      </c>
    </row>
    <row r="87" spans="1:15" x14ac:dyDescent="0.25">
      <c r="A87" s="31"/>
      <c r="B87" s="4" t="s">
        <v>1891</v>
      </c>
      <c r="C87" s="5">
        <v>1</v>
      </c>
      <c r="D87" s="7">
        <v>0</v>
      </c>
      <c r="E87" s="3">
        <f t="shared" si="42"/>
        <v>1</v>
      </c>
      <c r="F87" s="3" t="s">
        <v>867</v>
      </c>
      <c r="G87" s="77"/>
      <c r="H87" s="5" t="s">
        <v>1</v>
      </c>
      <c r="I87" s="78">
        <f t="shared" si="43"/>
        <v>0</v>
      </c>
      <c r="J87" s="110">
        <f t="shared" si="44"/>
        <v>75</v>
      </c>
      <c r="K87" s="4">
        <v>72</v>
      </c>
      <c r="L87" s="5" t="s">
        <v>1</v>
      </c>
      <c r="M87" s="80">
        <f t="shared" si="45"/>
        <v>72</v>
      </c>
      <c r="N87" s="78">
        <f t="shared" si="46"/>
        <v>5400</v>
      </c>
      <c r="O87" s="188">
        <f t="shared" si="47"/>
        <v>5400</v>
      </c>
    </row>
    <row r="88" spans="1:15" x14ac:dyDescent="0.25">
      <c r="A88" s="31"/>
      <c r="B88" s="4" t="s">
        <v>1890</v>
      </c>
      <c r="C88" s="5">
        <v>1</v>
      </c>
      <c r="D88" s="7">
        <v>0</v>
      </c>
      <c r="E88" s="3">
        <f t="shared" si="42"/>
        <v>1</v>
      </c>
      <c r="F88" s="3" t="s">
        <v>867</v>
      </c>
      <c r="G88" s="77"/>
      <c r="H88" s="5" t="s">
        <v>1</v>
      </c>
      <c r="I88" s="78">
        <f t="shared" si="43"/>
        <v>0</v>
      </c>
      <c r="J88" s="110">
        <f t="shared" si="44"/>
        <v>75</v>
      </c>
      <c r="K88" s="4">
        <v>90</v>
      </c>
      <c r="L88" s="5" t="s">
        <v>1</v>
      </c>
      <c r="M88" s="80">
        <f t="shared" si="45"/>
        <v>90</v>
      </c>
      <c r="N88" s="78">
        <f t="shared" si="46"/>
        <v>6750</v>
      </c>
      <c r="O88" s="188">
        <f t="shared" si="47"/>
        <v>6750</v>
      </c>
    </row>
    <row r="89" spans="1:15" x14ac:dyDescent="0.25">
      <c r="A89" s="31"/>
      <c r="B89" s="4" t="s">
        <v>1889</v>
      </c>
      <c r="C89" s="5">
        <v>1</v>
      </c>
      <c r="D89" s="7">
        <v>0</v>
      </c>
      <c r="E89" s="3">
        <f t="shared" si="42"/>
        <v>1</v>
      </c>
      <c r="F89" s="3" t="s">
        <v>867</v>
      </c>
      <c r="G89" s="77"/>
      <c r="H89" s="5" t="s">
        <v>1</v>
      </c>
      <c r="I89" s="78">
        <f t="shared" si="43"/>
        <v>0</v>
      </c>
      <c r="J89" s="110">
        <f t="shared" si="44"/>
        <v>75</v>
      </c>
      <c r="K89" s="4">
        <v>108</v>
      </c>
      <c r="L89" s="5" t="s">
        <v>1</v>
      </c>
      <c r="M89" s="80">
        <f t="shared" si="45"/>
        <v>108</v>
      </c>
      <c r="N89" s="78">
        <f t="shared" si="46"/>
        <v>8100</v>
      </c>
      <c r="O89" s="188">
        <f t="shared" si="47"/>
        <v>8100</v>
      </c>
    </row>
    <row r="90" spans="1:15" x14ac:dyDescent="0.25">
      <c r="A90" s="31"/>
      <c r="B90" s="4" t="s">
        <v>1888</v>
      </c>
      <c r="C90" s="5">
        <v>1</v>
      </c>
      <c r="D90" s="7">
        <v>0</v>
      </c>
      <c r="E90" s="3">
        <f t="shared" si="42"/>
        <v>1</v>
      </c>
      <c r="F90" s="3" t="s">
        <v>867</v>
      </c>
      <c r="G90" s="77"/>
      <c r="H90" s="5" t="s">
        <v>1</v>
      </c>
      <c r="I90" s="78">
        <f t="shared" si="43"/>
        <v>0</v>
      </c>
      <c r="J90" s="110">
        <f t="shared" si="44"/>
        <v>75</v>
      </c>
      <c r="K90" s="4">
        <v>126</v>
      </c>
      <c r="L90" s="5" t="s">
        <v>1</v>
      </c>
      <c r="M90" s="80">
        <f t="shared" si="45"/>
        <v>126</v>
      </c>
      <c r="N90" s="78">
        <f t="shared" si="46"/>
        <v>9450</v>
      </c>
      <c r="O90" s="188">
        <f t="shared" si="47"/>
        <v>9450</v>
      </c>
    </row>
    <row r="91" spans="1:15" x14ac:dyDescent="0.25">
      <c r="A91" s="31"/>
      <c r="B91" s="4" t="s">
        <v>1887</v>
      </c>
      <c r="C91" s="5">
        <v>1</v>
      </c>
      <c r="D91" s="7">
        <v>0</v>
      </c>
      <c r="E91" s="3">
        <f t="shared" si="42"/>
        <v>1</v>
      </c>
      <c r="F91" s="3" t="s">
        <v>867</v>
      </c>
      <c r="G91" s="77"/>
      <c r="H91" s="5" t="s">
        <v>1</v>
      </c>
      <c r="I91" s="78">
        <f t="shared" si="43"/>
        <v>0</v>
      </c>
      <c r="J91" s="110">
        <f t="shared" si="44"/>
        <v>75</v>
      </c>
      <c r="K91" s="4">
        <v>144</v>
      </c>
      <c r="L91" s="5" t="s">
        <v>1</v>
      </c>
      <c r="M91" s="80">
        <f t="shared" si="45"/>
        <v>144</v>
      </c>
      <c r="N91" s="78">
        <f t="shared" si="46"/>
        <v>10800</v>
      </c>
      <c r="O91" s="188">
        <f t="shared" si="47"/>
        <v>10800</v>
      </c>
    </row>
    <row r="92" spans="1:15" x14ac:dyDescent="0.25">
      <c r="A92" s="31"/>
      <c r="B92" s="4" t="s">
        <v>1886</v>
      </c>
      <c r="C92" s="5">
        <v>1</v>
      </c>
      <c r="D92" s="7">
        <v>0</v>
      </c>
      <c r="E92" s="3">
        <f t="shared" si="42"/>
        <v>1</v>
      </c>
      <c r="F92" s="3" t="s">
        <v>867</v>
      </c>
      <c r="G92" s="77"/>
      <c r="H92" s="5" t="s">
        <v>1</v>
      </c>
      <c r="I92" s="78">
        <f t="shared" si="43"/>
        <v>0</v>
      </c>
      <c r="J92" s="110">
        <f t="shared" si="44"/>
        <v>75</v>
      </c>
      <c r="K92" s="4">
        <v>162</v>
      </c>
      <c r="L92" s="5" t="s">
        <v>1</v>
      </c>
      <c r="M92" s="80">
        <f t="shared" si="45"/>
        <v>162</v>
      </c>
      <c r="N92" s="78">
        <f t="shared" si="46"/>
        <v>12150</v>
      </c>
      <c r="O92" s="188">
        <f t="shared" si="47"/>
        <v>12150</v>
      </c>
    </row>
    <row r="93" spans="1:15" x14ac:dyDescent="0.25">
      <c r="A93" s="31"/>
      <c r="B93" s="4" t="s">
        <v>1885</v>
      </c>
      <c r="C93" s="5">
        <v>1</v>
      </c>
      <c r="D93" s="7">
        <v>0</v>
      </c>
      <c r="E93" s="3">
        <f t="shared" si="42"/>
        <v>1</v>
      </c>
      <c r="F93" s="3" t="s">
        <v>867</v>
      </c>
      <c r="G93" s="77"/>
      <c r="H93" s="5" t="s">
        <v>1</v>
      </c>
      <c r="I93" s="78">
        <f t="shared" si="43"/>
        <v>0</v>
      </c>
      <c r="J93" s="110">
        <f t="shared" si="44"/>
        <v>75</v>
      </c>
      <c r="K93" s="4">
        <v>180</v>
      </c>
      <c r="L93" s="5" t="s">
        <v>1</v>
      </c>
      <c r="M93" s="80">
        <f t="shared" si="45"/>
        <v>180</v>
      </c>
      <c r="N93" s="78">
        <f t="shared" si="46"/>
        <v>13500</v>
      </c>
      <c r="O93" s="188">
        <f t="shared" si="47"/>
        <v>13500</v>
      </c>
    </row>
    <row r="94" spans="1:15" ht="15" customHeight="1" x14ac:dyDescent="0.25">
      <c r="A94" s="60"/>
      <c r="B94" s="8" t="s">
        <v>1884</v>
      </c>
      <c r="C94" s="5">
        <v>1</v>
      </c>
      <c r="D94" s="7">
        <v>0</v>
      </c>
      <c r="E94" s="3">
        <f t="shared" si="42"/>
        <v>1</v>
      </c>
      <c r="F94" s="3" t="s">
        <v>867</v>
      </c>
      <c r="G94" s="77"/>
      <c r="H94" s="5" t="s">
        <v>1</v>
      </c>
      <c r="I94" s="78">
        <f t="shared" si="43"/>
        <v>0</v>
      </c>
      <c r="J94" s="110">
        <f t="shared" si="44"/>
        <v>75</v>
      </c>
      <c r="K94" s="4">
        <v>198</v>
      </c>
      <c r="L94" s="5" t="s">
        <v>1</v>
      </c>
      <c r="M94" s="80">
        <f t="shared" si="45"/>
        <v>198</v>
      </c>
      <c r="N94" s="78">
        <f t="shared" si="46"/>
        <v>14850</v>
      </c>
      <c r="O94" s="188">
        <f t="shared" si="47"/>
        <v>14850</v>
      </c>
    </row>
    <row r="95" spans="1:15" x14ac:dyDescent="0.25">
      <c r="A95" s="31"/>
      <c r="B95" s="4" t="s">
        <v>1883</v>
      </c>
      <c r="C95" s="5">
        <v>1</v>
      </c>
      <c r="D95" s="7">
        <v>0</v>
      </c>
      <c r="E95" s="3">
        <f t="shared" si="42"/>
        <v>1</v>
      </c>
      <c r="F95" s="3" t="s">
        <v>867</v>
      </c>
      <c r="G95" s="77"/>
      <c r="H95" s="5" t="s">
        <v>1</v>
      </c>
      <c r="I95" s="78">
        <f t="shared" si="43"/>
        <v>0</v>
      </c>
      <c r="J95" s="110">
        <f t="shared" si="44"/>
        <v>75</v>
      </c>
      <c r="K95" s="4">
        <v>216</v>
      </c>
      <c r="L95" s="5" t="s">
        <v>1</v>
      </c>
      <c r="M95" s="80">
        <f t="shared" si="45"/>
        <v>216</v>
      </c>
      <c r="N95" s="78">
        <f t="shared" si="46"/>
        <v>16200</v>
      </c>
      <c r="O95" s="188">
        <f t="shared" si="47"/>
        <v>16200</v>
      </c>
    </row>
    <row r="96" spans="1:15" x14ac:dyDescent="0.25">
      <c r="A96" s="31"/>
      <c r="B96" s="4" t="s">
        <v>1882</v>
      </c>
      <c r="C96" s="5">
        <v>1</v>
      </c>
      <c r="D96" s="7">
        <v>0</v>
      </c>
      <c r="E96" s="3">
        <f t="shared" si="42"/>
        <v>1</v>
      </c>
      <c r="F96" s="3" t="s">
        <v>867</v>
      </c>
      <c r="G96" s="77"/>
      <c r="H96" s="5" t="s">
        <v>1</v>
      </c>
      <c r="I96" s="78">
        <f t="shared" si="43"/>
        <v>0</v>
      </c>
      <c r="J96" s="110">
        <f t="shared" si="44"/>
        <v>75</v>
      </c>
      <c r="K96" s="4">
        <v>234</v>
      </c>
      <c r="L96" s="5" t="s">
        <v>1</v>
      </c>
      <c r="M96" s="80">
        <f t="shared" si="45"/>
        <v>234</v>
      </c>
      <c r="N96" s="78">
        <f t="shared" si="46"/>
        <v>17550</v>
      </c>
      <c r="O96" s="188">
        <f t="shared" si="47"/>
        <v>17550</v>
      </c>
    </row>
    <row r="97" spans="1:15" x14ac:dyDescent="0.25">
      <c r="A97" s="31"/>
      <c r="B97" s="4" t="s">
        <v>1881</v>
      </c>
      <c r="C97" s="5">
        <v>1</v>
      </c>
      <c r="D97" s="7">
        <v>0</v>
      </c>
      <c r="E97" s="3">
        <f t="shared" si="42"/>
        <v>1</v>
      </c>
      <c r="F97" s="3" t="s">
        <v>867</v>
      </c>
      <c r="G97" s="77"/>
      <c r="H97" s="5" t="s">
        <v>1</v>
      </c>
      <c r="I97" s="78">
        <f t="shared" si="43"/>
        <v>0</v>
      </c>
      <c r="J97" s="110">
        <f t="shared" si="44"/>
        <v>75</v>
      </c>
      <c r="K97" s="4">
        <v>252</v>
      </c>
      <c r="L97" s="5" t="s">
        <v>1</v>
      </c>
      <c r="M97" s="80">
        <f t="shared" si="45"/>
        <v>252</v>
      </c>
      <c r="N97" s="78">
        <f t="shared" si="46"/>
        <v>18900</v>
      </c>
      <c r="O97" s="188">
        <f t="shared" si="47"/>
        <v>18900</v>
      </c>
    </row>
    <row r="98" spans="1:15" x14ac:dyDescent="0.25">
      <c r="A98" s="31"/>
      <c r="B98" s="4" t="s">
        <v>1880</v>
      </c>
      <c r="C98" s="5">
        <v>1</v>
      </c>
      <c r="D98" s="7">
        <v>0</v>
      </c>
      <c r="E98" s="3">
        <f t="shared" si="42"/>
        <v>1</v>
      </c>
      <c r="F98" s="3" t="s">
        <v>867</v>
      </c>
      <c r="G98" s="77"/>
      <c r="H98" s="5" t="s">
        <v>1</v>
      </c>
      <c r="I98" s="78">
        <f t="shared" si="43"/>
        <v>0</v>
      </c>
      <c r="J98" s="110">
        <f t="shared" si="44"/>
        <v>75</v>
      </c>
      <c r="K98" s="4">
        <v>270</v>
      </c>
      <c r="L98" s="5" t="s">
        <v>1</v>
      </c>
      <c r="M98" s="80">
        <f t="shared" si="45"/>
        <v>270</v>
      </c>
      <c r="N98" s="78">
        <f t="shared" si="46"/>
        <v>20250</v>
      </c>
      <c r="O98" s="188">
        <f t="shared" si="47"/>
        <v>20250</v>
      </c>
    </row>
    <row r="99" spans="1:15" x14ac:dyDescent="0.25">
      <c r="A99" s="31"/>
      <c r="B99" s="4" t="s">
        <v>1879</v>
      </c>
      <c r="C99" s="5">
        <v>1</v>
      </c>
      <c r="D99" s="7">
        <v>0</v>
      </c>
      <c r="E99" s="3">
        <f t="shared" si="42"/>
        <v>1</v>
      </c>
      <c r="F99" s="3" t="s">
        <v>867</v>
      </c>
      <c r="G99" s="77"/>
      <c r="H99" s="5" t="s">
        <v>1</v>
      </c>
      <c r="I99" s="78">
        <f t="shared" si="43"/>
        <v>0</v>
      </c>
      <c r="J99" s="110">
        <f t="shared" si="44"/>
        <v>75</v>
      </c>
      <c r="K99" s="4">
        <v>288</v>
      </c>
      <c r="L99" s="5" t="s">
        <v>1</v>
      </c>
      <c r="M99" s="80">
        <f t="shared" si="45"/>
        <v>288</v>
      </c>
      <c r="N99" s="78">
        <f t="shared" si="46"/>
        <v>21600</v>
      </c>
      <c r="O99" s="188">
        <f t="shared" si="47"/>
        <v>21600</v>
      </c>
    </row>
    <row r="100" spans="1:15" x14ac:dyDescent="0.25">
      <c r="A100" s="31"/>
      <c r="B100" s="4" t="s">
        <v>1878</v>
      </c>
      <c r="C100" s="5">
        <v>1</v>
      </c>
      <c r="D100" s="7">
        <v>0</v>
      </c>
      <c r="E100" s="3">
        <f t="shared" si="42"/>
        <v>1</v>
      </c>
      <c r="F100" s="3" t="s">
        <v>867</v>
      </c>
      <c r="G100" s="77"/>
      <c r="H100" s="5" t="s">
        <v>1</v>
      </c>
      <c r="I100" s="78">
        <f t="shared" si="43"/>
        <v>0</v>
      </c>
      <c r="J100" s="110">
        <f t="shared" si="44"/>
        <v>75</v>
      </c>
      <c r="K100" s="4">
        <v>306</v>
      </c>
      <c r="L100" s="5" t="s">
        <v>1</v>
      </c>
      <c r="M100" s="80">
        <f t="shared" si="45"/>
        <v>306</v>
      </c>
      <c r="N100" s="78">
        <f t="shared" si="46"/>
        <v>22950</v>
      </c>
      <c r="O100" s="188">
        <f t="shared" si="47"/>
        <v>22950</v>
      </c>
    </row>
    <row r="101" spans="1:15" x14ac:dyDescent="0.25">
      <c r="A101" s="31"/>
      <c r="B101" s="4" t="s">
        <v>1877</v>
      </c>
      <c r="C101" s="5">
        <v>1</v>
      </c>
      <c r="D101" s="7">
        <v>0</v>
      </c>
      <c r="E101" s="3">
        <f t="shared" si="42"/>
        <v>1</v>
      </c>
      <c r="F101" s="3" t="s">
        <v>867</v>
      </c>
      <c r="G101" s="77"/>
      <c r="H101" s="5" t="s">
        <v>1</v>
      </c>
      <c r="I101" s="78">
        <f t="shared" si="43"/>
        <v>0</v>
      </c>
      <c r="J101" s="110">
        <f t="shared" si="44"/>
        <v>75</v>
      </c>
      <c r="K101" s="4">
        <v>324</v>
      </c>
      <c r="L101" s="5" t="s">
        <v>1</v>
      </c>
      <c r="M101" s="80">
        <f t="shared" si="45"/>
        <v>324</v>
      </c>
      <c r="N101" s="78">
        <f t="shared" si="46"/>
        <v>24300</v>
      </c>
      <c r="O101" s="188">
        <f t="shared" si="47"/>
        <v>24300</v>
      </c>
    </row>
    <row r="102" spans="1:15" x14ac:dyDescent="0.25">
      <c r="A102" s="31"/>
      <c r="B102" s="4" t="s">
        <v>1876</v>
      </c>
      <c r="C102" s="5">
        <v>1</v>
      </c>
      <c r="D102" s="7">
        <v>0</v>
      </c>
      <c r="E102" s="3">
        <f t="shared" si="42"/>
        <v>1</v>
      </c>
      <c r="F102" s="3" t="s">
        <v>867</v>
      </c>
      <c r="G102" s="77"/>
      <c r="H102" s="5" t="s">
        <v>1</v>
      </c>
      <c r="I102" s="78">
        <f t="shared" si="43"/>
        <v>0</v>
      </c>
      <c r="J102" s="110">
        <f t="shared" si="44"/>
        <v>75</v>
      </c>
      <c r="K102" s="4">
        <v>342</v>
      </c>
      <c r="L102" s="5" t="s">
        <v>1</v>
      </c>
      <c r="M102" s="80">
        <f t="shared" si="45"/>
        <v>342</v>
      </c>
      <c r="N102" s="78">
        <f t="shared" si="46"/>
        <v>25650</v>
      </c>
      <c r="O102" s="188">
        <f t="shared" si="47"/>
        <v>25650</v>
      </c>
    </row>
    <row r="103" spans="1:15" x14ac:dyDescent="0.25">
      <c r="A103" s="31"/>
      <c r="B103" s="4" t="s">
        <v>1875</v>
      </c>
      <c r="C103" s="5">
        <v>1</v>
      </c>
      <c r="D103" s="7">
        <v>0</v>
      </c>
      <c r="E103" s="3">
        <f t="shared" si="42"/>
        <v>1</v>
      </c>
      <c r="F103" s="3" t="s">
        <v>867</v>
      </c>
      <c r="G103" s="77"/>
      <c r="H103" s="5" t="s">
        <v>1</v>
      </c>
      <c r="I103" s="78">
        <f t="shared" si="43"/>
        <v>0</v>
      </c>
      <c r="J103" s="110">
        <f t="shared" si="44"/>
        <v>75</v>
      </c>
      <c r="K103" s="4">
        <v>360</v>
      </c>
      <c r="L103" s="5" t="s">
        <v>1</v>
      </c>
      <c r="M103" s="80">
        <f t="shared" si="45"/>
        <v>360</v>
      </c>
      <c r="N103" s="78">
        <f t="shared" si="46"/>
        <v>27000</v>
      </c>
      <c r="O103" s="188">
        <f t="shared" si="47"/>
        <v>27000</v>
      </c>
    </row>
    <row r="104" spans="1:15" ht="15.75" thickBot="1" x14ac:dyDescent="0.3">
      <c r="A104" s="53"/>
      <c r="B104" s="54"/>
      <c r="C104" s="55"/>
      <c r="D104" s="55"/>
      <c r="E104" s="55"/>
      <c r="F104" s="55"/>
      <c r="G104" s="56"/>
      <c r="H104" s="56"/>
      <c r="I104" s="56"/>
      <c r="J104" s="56"/>
      <c r="K104" s="57"/>
      <c r="L104" s="55"/>
      <c r="M104" s="57"/>
      <c r="N104" s="56"/>
      <c r="O104" s="188"/>
    </row>
    <row r="105" spans="1:15" ht="15.75" thickBot="1" x14ac:dyDescent="0.3">
      <c r="A105" s="60"/>
      <c r="B105" s="145" t="s">
        <v>1874</v>
      </c>
      <c r="C105" s="5">
        <v>1</v>
      </c>
      <c r="D105" s="7">
        <v>0</v>
      </c>
      <c r="E105" s="3">
        <f t="shared" ref="E105:E125" si="48">C105+(C105*D105)</f>
        <v>1</v>
      </c>
      <c r="F105" s="3"/>
      <c r="G105" s="9"/>
      <c r="H105" s="5"/>
      <c r="I105" s="9"/>
      <c r="J105" s="9"/>
      <c r="K105" s="15"/>
      <c r="L105" s="5"/>
      <c r="M105" s="15"/>
      <c r="N105" s="4"/>
      <c r="O105" s="188"/>
    </row>
    <row r="106" spans="1:15" x14ac:dyDescent="0.25">
      <c r="A106" s="31">
        <v>1</v>
      </c>
      <c r="B106" s="4" t="s">
        <v>1873</v>
      </c>
      <c r="C106" s="5">
        <v>1</v>
      </c>
      <c r="D106" s="7">
        <v>0</v>
      </c>
      <c r="E106" s="3">
        <f t="shared" si="48"/>
        <v>1</v>
      </c>
      <c r="F106" s="3" t="s">
        <v>867</v>
      </c>
      <c r="G106" s="77"/>
      <c r="H106" s="5" t="s">
        <v>1</v>
      </c>
      <c r="I106" s="78">
        <f t="shared" ref="I106:I125" si="49">IF(H106="C",(G106/100)*E106,IF(H106="M",(G106/1000)*E106,G106*E106))</f>
        <v>0</v>
      </c>
      <c r="J106" s="110">
        <f t="shared" ref="J106:J125" si="50">$O$4</f>
        <v>75</v>
      </c>
      <c r="K106" s="4">
        <v>22</v>
      </c>
      <c r="L106" s="5" t="s">
        <v>1</v>
      </c>
      <c r="M106" s="80">
        <f t="shared" ref="M106:M125" si="51">IF(L106="C",(K106/100)*E106,IF(L106="M",(K106/1000)*E106,K106*E106))</f>
        <v>22</v>
      </c>
      <c r="N106" s="78">
        <f t="shared" ref="N106:N125" si="52">M106*J106</f>
        <v>1650</v>
      </c>
      <c r="O106" s="188">
        <f t="shared" ref="O106:O125" si="53">N106+I106</f>
        <v>1650</v>
      </c>
    </row>
    <row r="107" spans="1:15" x14ac:dyDescent="0.25">
      <c r="A107" s="31"/>
      <c r="B107" s="4" t="s">
        <v>1872</v>
      </c>
      <c r="C107" s="5">
        <v>1</v>
      </c>
      <c r="D107" s="7">
        <v>0</v>
      </c>
      <c r="E107" s="3">
        <f t="shared" si="48"/>
        <v>1</v>
      </c>
      <c r="F107" s="3" t="s">
        <v>867</v>
      </c>
      <c r="G107" s="77"/>
      <c r="H107" s="5" t="s">
        <v>1</v>
      </c>
      <c r="I107" s="78">
        <f t="shared" si="49"/>
        <v>0</v>
      </c>
      <c r="J107" s="110">
        <f t="shared" si="50"/>
        <v>75</v>
      </c>
      <c r="K107" s="4">
        <v>44</v>
      </c>
      <c r="L107" s="5" t="s">
        <v>1</v>
      </c>
      <c r="M107" s="80">
        <f t="shared" si="51"/>
        <v>44</v>
      </c>
      <c r="N107" s="78">
        <f t="shared" si="52"/>
        <v>3300</v>
      </c>
      <c r="O107" s="188">
        <f t="shared" si="53"/>
        <v>3300</v>
      </c>
    </row>
    <row r="108" spans="1:15" x14ac:dyDescent="0.25">
      <c r="A108" s="31"/>
      <c r="B108" s="4" t="s">
        <v>1871</v>
      </c>
      <c r="C108" s="5">
        <v>1</v>
      </c>
      <c r="D108" s="7">
        <v>0</v>
      </c>
      <c r="E108" s="3">
        <f t="shared" si="48"/>
        <v>1</v>
      </c>
      <c r="F108" s="3" t="s">
        <v>867</v>
      </c>
      <c r="G108" s="77"/>
      <c r="H108" s="5" t="s">
        <v>1</v>
      </c>
      <c r="I108" s="78">
        <f t="shared" si="49"/>
        <v>0</v>
      </c>
      <c r="J108" s="110">
        <f t="shared" si="50"/>
        <v>75</v>
      </c>
      <c r="K108" s="4">
        <v>66</v>
      </c>
      <c r="L108" s="5" t="s">
        <v>1</v>
      </c>
      <c r="M108" s="80">
        <f t="shared" si="51"/>
        <v>66</v>
      </c>
      <c r="N108" s="78">
        <f t="shared" si="52"/>
        <v>4950</v>
      </c>
      <c r="O108" s="188">
        <f t="shared" si="53"/>
        <v>4950</v>
      </c>
    </row>
    <row r="109" spans="1:15" x14ac:dyDescent="0.25">
      <c r="A109" s="31"/>
      <c r="B109" s="4" t="s">
        <v>1870</v>
      </c>
      <c r="C109" s="5">
        <v>1</v>
      </c>
      <c r="D109" s="7">
        <v>0</v>
      </c>
      <c r="E109" s="3">
        <f t="shared" si="48"/>
        <v>1</v>
      </c>
      <c r="F109" s="3" t="s">
        <v>867</v>
      </c>
      <c r="G109" s="77"/>
      <c r="H109" s="5" t="s">
        <v>1</v>
      </c>
      <c r="I109" s="78">
        <f t="shared" si="49"/>
        <v>0</v>
      </c>
      <c r="J109" s="110">
        <f t="shared" si="50"/>
        <v>75</v>
      </c>
      <c r="K109" s="4">
        <v>88</v>
      </c>
      <c r="L109" s="5" t="s">
        <v>1</v>
      </c>
      <c r="M109" s="80">
        <f t="shared" si="51"/>
        <v>88</v>
      </c>
      <c r="N109" s="78">
        <f t="shared" si="52"/>
        <v>6600</v>
      </c>
      <c r="O109" s="188">
        <f t="shared" si="53"/>
        <v>6600</v>
      </c>
    </row>
    <row r="110" spans="1:15" x14ac:dyDescent="0.25">
      <c r="A110" s="31"/>
      <c r="B110" s="4" t="s">
        <v>1869</v>
      </c>
      <c r="C110" s="5">
        <v>1</v>
      </c>
      <c r="D110" s="7">
        <v>0</v>
      </c>
      <c r="E110" s="3">
        <f t="shared" si="48"/>
        <v>1</v>
      </c>
      <c r="F110" s="3" t="s">
        <v>867</v>
      </c>
      <c r="G110" s="77"/>
      <c r="H110" s="5" t="s">
        <v>1</v>
      </c>
      <c r="I110" s="78">
        <f t="shared" si="49"/>
        <v>0</v>
      </c>
      <c r="J110" s="110">
        <f t="shared" si="50"/>
        <v>75</v>
      </c>
      <c r="K110" s="4">
        <v>110</v>
      </c>
      <c r="L110" s="5" t="s">
        <v>1</v>
      </c>
      <c r="M110" s="80">
        <f t="shared" si="51"/>
        <v>110</v>
      </c>
      <c r="N110" s="78">
        <f t="shared" si="52"/>
        <v>8250</v>
      </c>
      <c r="O110" s="188">
        <f t="shared" si="53"/>
        <v>8250</v>
      </c>
    </row>
    <row r="111" spans="1:15" x14ac:dyDescent="0.25">
      <c r="A111" s="31"/>
      <c r="B111" s="4" t="s">
        <v>1868</v>
      </c>
      <c r="C111" s="5">
        <v>1</v>
      </c>
      <c r="D111" s="7">
        <v>0</v>
      </c>
      <c r="E111" s="3">
        <f t="shared" si="48"/>
        <v>1</v>
      </c>
      <c r="F111" s="3" t="s">
        <v>867</v>
      </c>
      <c r="G111" s="77"/>
      <c r="H111" s="5" t="s">
        <v>1</v>
      </c>
      <c r="I111" s="78">
        <f t="shared" si="49"/>
        <v>0</v>
      </c>
      <c r="J111" s="110">
        <f t="shared" si="50"/>
        <v>75</v>
      </c>
      <c r="K111" s="4">
        <v>132</v>
      </c>
      <c r="L111" s="5" t="s">
        <v>1</v>
      </c>
      <c r="M111" s="80">
        <f t="shared" si="51"/>
        <v>132</v>
      </c>
      <c r="N111" s="78">
        <f t="shared" si="52"/>
        <v>9900</v>
      </c>
      <c r="O111" s="188">
        <f t="shared" si="53"/>
        <v>9900</v>
      </c>
    </row>
    <row r="112" spans="1:15" x14ac:dyDescent="0.25">
      <c r="A112" s="31"/>
      <c r="B112" s="4" t="s">
        <v>1867</v>
      </c>
      <c r="C112" s="5">
        <v>1</v>
      </c>
      <c r="D112" s="7">
        <v>0</v>
      </c>
      <c r="E112" s="3">
        <f t="shared" si="48"/>
        <v>1</v>
      </c>
      <c r="F112" s="3" t="s">
        <v>867</v>
      </c>
      <c r="G112" s="77"/>
      <c r="H112" s="5" t="s">
        <v>1</v>
      </c>
      <c r="I112" s="78">
        <f t="shared" si="49"/>
        <v>0</v>
      </c>
      <c r="J112" s="110">
        <f t="shared" si="50"/>
        <v>75</v>
      </c>
      <c r="K112" s="4">
        <v>154</v>
      </c>
      <c r="L112" s="5" t="s">
        <v>1</v>
      </c>
      <c r="M112" s="80">
        <f t="shared" si="51"/>
        <v>154</v>
      </c>
      <c r="N112" s="78">
        <f t="shared" si="52"/>
        <v>11550</v>
      </c>
      <c r="O112" s="188">
        <f t="shared" si="53"/>
        <v>11550</v>
      </c>
    </row>
    <row r="113" spans="1:15" x14ac:dyDescent="0.25">
      <c r="A113" s="31"/>
      <c r="B113" s="4" t="s">
        <v>1866</v>
      </c>
      <c r="C113" s="5">
        <v>1</v>
      </c>
      <c r="D113" s="7">
        <v>0</v>
      </c>
      <c r="E113" s="3">
        <f t="shared" si="48"/>
        <v>1</v>
      </c>
      <c r="F113" s="3" t="s">
        <v>867</v>
      </c>
      <c r="G113" s="77"/>
      <c r="H113" s="5" t="s">
        <v>1</v>
      </c>
      <c r="I113" s="78">
        <f t="shared" si="49"/>
        <v>0</v>
      </c>
      <c r="J113" s="110">
        <f t="shared" si="50"/>
        <v>75</v>
      </c>
      <c r="K113" s="4">
        <v>176</v>
      </c>
      <c r="L113" s="5" t="s">
        <v>1</v>
      </c>
      <c r="M113" s="80">
        <f t="shared" si="51"/>
        <v>176</v>
      </c>
      <c r="N113" s="78">
        <f t="shared" si="52"/>
        <v>13200</v>
      </c>
      <c r="O113" s="188">
        <f t="shared" si="53"/>
        <v>13200</v>
      </c>
    </row>
    <row r="114" spans="1:15" x14ac:dyDescent="0.25">
      <c r="A114" s="31"/>
      <c r="B114" s="4" t="s">
        <v>1865</v>
      </c>
      <c r="C114" s="5">
        <v>1</v>
      </c>
      <c r="D114" s="7">
        <v>0</v>
      </c>
      <c r="E114" s="3">
        <f t="shared" si="48"/>
        <v>1</v>
      </c>
      <c r="F114" s="3" t="s">
        <v>867</v>
      </c>
      <c r="G114" s="77"/>
      <c r="H114" s="5" t="s">
        <v>1</v>
      </c>
      <c r="I114" s="78">
        <f t="shared" si="49"/>
        <v>0</v>
      </c>
      <c r="J114" s="110">
        <f t="shared" si="50"/>
        <v>75</v>
      </c>
      <c r="K114" s="4">
        <v>198</v>
      </c>
      <c r="L114" s="5" t="s">
        <v>1</v>
      </c>
      <c r="M114" s="80">
        <f t="shared" si="51"/>
        <v>198</v>
      </c>
      <c r="N114" s="78">
        <f t="shared" si="52"/>
        <v>14850</v>
      </c>
      <c r="O114" s="188">
        <f t="shared" si="53"/>
        <v>14850</v>
      </c>
    </row>
    <row r="115" spans="1:15" x14ac:dyDescent="0.25">
      <c r="A115" s="31"/>
      <c r="B115" s="4" t="s">
        <v>1864</v>
      </c>
      <c r="C115" s="5">
        <v>1</v>
      </c>
      <c r="D115" s="7">
        <v>0</v>
      </c>
      <c r="E115" s="3">
        <f t="shared" si="48"/>
        <v>1</v>
      </c>
      <c r="F115" s="3" t="s">
        <v>867</v>
      </c>
      <c r="G115" s="77"/>
      <c r="H115" s="5" t="s">
        <v>1</v>
      </c>
      <c r="I115" s="78">
        <f t="shared" si="49"/>
        <v>0</v>
      </c>
      <c r="J115" s="110">
        <f t="shared" si="50"/>
        <v>75</v>
      </c>
      <c r="K115" s="4">
        <v>220</v>
      </c>
      <c r="L115" s="5" t="s">
        <v>1</v>
      </c>
      <c r="M115" s="80">
        <f t="shared" si="51"/>
        <v>220</v>
      </c>
      <c r="N115" s="78">
        <f t="shared" si="52"/>
        <v>16500</v>
      </c>
      <c r="O115" s="188">
        <f t="shared" si="53"/>
        <v>16500</v>
      </c>
    </row>
    <row r="116" spans="1:15" x14ac:dyDescent="0.25">
      <c r="A116" s="31"/>
      <c r="B116" s="4" t="s">
        <v>1863</v>
      </c>
      <c r="C116" s="5">
        <v>1</v>
      </c>
      <c r="D116" s="7">
        <v>0</v>
      </c>
      <c r="E116" s="3">
        <f t="shared" si="48"/>
        <v>1</v>
      </c>
      <c r="F116" s="3" t="s">
        <v>867</v>
      </c>
      <c r="G116" s="77"/>
      <c r="H116" s="5" t="s">
        <v>1</v>
      </c>
      <c r="I116" s="78">
        <f t="shared" si="49"/>
        <v>0</v>
      </c>
      <c r="J116" s="110">
        <f t="shared" si="50"/>
        <v>75</v>
      </c>
      <c r="K116" s="4">
        <v>242</v>
      </c>
      <c r="L116" s="5" t="s">
        <v>1</v>
      </c>
      <c r="M116" s="80">
        <f t="shared" si="51"/>
        <v>242</v>
      </c>
      <c r="N116" s="78">
        <f t="shared" si="52"/>
        <v>18150</v>
      </c>
      <c r="O116" s="188">
        <f t="shared" si="53"/>
        <v>18150</v>
      </c>
    </row>
    <row r="117" spans="1:15" x14ac:dyDescent="0.25">
      <c r="A117" s="31"/>
      <c r="B117" s="4" t="s">
        <v>1862</v>
      </c>
      <c r="C117" s="5">
        <v>1</v>
      </c>
      <c r="D117" s="7">
        <v>0</v>
      </c>
      <c r="E117" s="3">
        <f t="shared" si="48"/>
        <v>1</v>
      </c>
      <c r="F117" s="3" t="s">
        <v>867</v>
      </c>
      <c r="G117" s="77"/>
      <c r="H117" s="5" t="s">
        <v>1</v>
      </c>
      <c r="I117" s="78">
        <f t="shared" si="49"/>
        <v>0</v>
      </c>
      <c r="J117" s="110">
        <f t="shared" si="50"/>
        <v>75</v>
      </c>
      <c r="K117" s="4">
        <v>264</v>
      </c>
      <c r="L117" s="5" t="s">
        <v>1</v>
      </c>
      <c r="M117" s="80">
        <f t="shared" si="51"/>
        <v>264</v>
      </c>
      <c r="N117" s="78">
        <f t="shared" si="52"/>
        <v>19800</v>
      </c>
      <c r="O117" s="188">
        <f t="shared" si="53"/>
        <v>19800</v>
      </c>
    </row>
    <row r="118" spans="1:15" x14ac:dyDescent="0.25">
      <c r="A118" s="31"/>
      <c r="B118" s="4" t="s">
        <v>1861</v>
      </c>
      <c r="C118" s="5">
        <v>1</v>
      </c>
      <c r="D118" s="7">
        <v>0</v>
      </c>
      <c r="E118" s="3">
        <f t="shared" si="48"/>
        <v>1</v>
      </c>
      <c r="F118" s="3" t="s">
        <v>867</v>
      </c>
      <c r="G118" s="77"/>
      <c r="H118" s="5" t="s">
        <v>1</v>
      </c>
      <c r="I118" s="78">
        <f t="shared" si="49"/>
        <v>0</v>
      </c>
      <c r="J118" s="110">
        <f t="shared" si="50"/>
        <v>75</v>
      </c>
      <c r="K118" s="4">
        <v>286</v>
      </c>
      <c r="L118" s="5" t="s">
        <v>1</v>
      </c>
      <c r="M118" s="80">
        <f t="shared" si="51"/>
        <v>286</v>
      </c>
      <c r="N118" s="78">
        <f t="shared" si="52"/>
        <v>21450</v>
      </c>
      <c r="O118" s="188">
        <f t="shared" si="53"/>
        <v>21450</v>
      </c>
    </row>
    <row r="119" spans="1:15" x14ac:dyDescent="0.25">
      <c r="A119" s="31"/>
      <c r="B119" s="4" t="s">
        <v>1860</v>
      </c>
      <c r="C119" s="5">
        <v>1</v>
      </c>
      <c r="D119" s="7">
        <v>0</v>
      </c>
      <c r="E119" s="3">
        <f t="shared" si="48"/>
        <v>1</v>
      </c>
      <c r="F119" s="3" t="s">
        <v>867</v>
      </c>
      <c r="G119" s="77"/>
      <c r="H119" s="5" t="s">
        <v>1</v>
      </c>
      <c r="I119" s="78">
        <f t="shared" si="49"/>
        <v>0</v>
      </c>
      <c r="J119" s="110">
        <f t="shared" si="50"/>
        <v>75</v>
      </c>
      <c r="K119" s="4">
        <v>308</v>
      </c>
      <c r="L119" s="5" t="s">
        <v>1</v>
      </c>
      <c r="M119" s="80">
        <f t="shared" si="51"/>
        <v>308</v>
      </c>
      <c r="N119" s="78">
        <f t="shared" si="52"/>
        <v>23100</v>
      </c>
      <c r="O119" s="188">
        <f t="shared" si="53"/>
        <v>23100</v>
      </c>
    </row>
    <row r="120" spans="1:15" x14ac:dyDescent="0.25">
      <c r="A120" s="31"/>
      <c r="B120" s="4" t="s">
        <v>1859</v>
      </c>
      <c r="C120" s="5">
        <v>1</v>
      </c>
      <c r="D120" s="7">
        <v>0</v>
      </c>
      <c r="E120" s="3">
        <f t="shared" si="48"/>
        <v>1</v>
      </c>
      <c r="F120" s="3" t="s">
        <v>867</v>
      </c>
      <c r="G120" s="77"/>
      <c r="H120" s="5" t="s">
        <v>1</v>
      </c>
      <c r="I120" s="78">
        <f t="shared" si="49"/>
        <v>0</v>
      </c>
      <c r="J120" s="110">
        <f t="shared" si="50"/>
        <v>75</v>
      </c>
      <c r="K120" s="4">
        <v>330</v>
      </c>
      <c r="L120" s="5" t="s">
        <v>1</v>
      </c>
      <c r="M120" s="80">
        <f t="shared" si="51"/>
        <v>330</v>
      </c>
      <c r="N120" s="78">
        <f t="shared" si="52"/>
        <v>24750</v>
      </c>
      <c r="O120" s="188">
        <f t="shared" si="53"/>
        <v>24750</v>
      </c>
    </row>
    <row r="121" spans="1:15" x14ac:dyDescent="0.25">
      <c r="A121" s="31"/>
      <c r="B121" s="4" t="s">
        <v>1858</v>
      </c>
      <c r="C121" s="5">
        <v>1</v>
      </c>
      <c r="D121" s="7">
        <v>0</v>
      </c>
      <c r="E121" s="3">
        <f t="shared" si="48"/>
        <v>1</v>
      </c>
      <c r="F121" s="3" t="s">
        <v>867</v>
      </c>
      <c r="G121" s="77"/>
      <c r="H121" s="5" t="s">
        <v>1</v>
      </c>
      <c r="I121" s="78">
        <f t="shared" si="49"/>
        <v>0</v>
      </c>
      <c r="J121" s="110">
        <f t="shared" si="50"/>
        <v>75</v>
      </c>
      <c r="K121" s="4">
        <v>352</v>
      </c>
      <c r="L121" s="5" t="s">
        <v>1</v>
      </c>
      <c r="M121" s="80">
        <f t="shared" si="51"/>
        <v>352</v>
      </c>
      <c r="N121" s="78">
        <f t="shared" si="52"/>
        <v>26400</v>
      </c>
      <c r="O121" s="188">
        <f t="shared" si="53"/>
        <v>26400</v>
      </c>
    </row>
    <row r="122" spans="1:15" x14ac:dyDescent="0.25">
      <c r="A122" s="31"/>
      <c r="B122" s="4" t="s">
        <v>1857</v>
      </c>
      <c r="C122" s="5">
        <v>1</v>
      </c>
      <c r="D122" s="7">
        <v>0</v>
      </c>
      <c r="E122" s="3">
        <f t="shared" si="48"/>
        <v>1</v>
      </c>
      <c r="F122" s="3" t="s">
        <v>867</v>
      </c>
      <c r="G122" s="77"/>
      <c r="H122" s="5" t="s">
        <v>1</v>
      </c>
      <c r="I122" s="78">
        <f t="shared" si="49"/>
        <v>0</v>
      </c>
      <c r="J122" s="110">
        <f t="shared" si="50"/>
        <v>75</v>
      </c>
      <c r="K122" s="4">
        <v>374</v>
      </c>
      <c r="L122" s="5" t="s">
        <v>1</v>
      </c>
      <c r="M122" s="80">
        <f t="shared" si="51"/>
        <v>374</v>
      </c>
      <c r="N122" s="78">
        <f t="shared" si="52"/>
        <v>28050</v>
      </c>
      <c r="O122" s="188">
        <f t="shared" si="53"/>
        <v>28050</v>
      </c>
    </row>
    <row r="123" spans="1:15" x14ac:dyDescent="0.25">
      <c r="A123" s="31"/>
      <c r="B123" s="59" t="s">
        <v>1856</v>
      </c>
      <c r="C123" s="5">
        <v>1</v>
      </c>
      <c r="D123" s="7">
        <v>0</v>
      </c>
      <c r="E123" s="3">
        <f t="shared" si="48"/>
        <v>1</v>
      </c>
      <c r="F123" s="3" t="s">
        <v>867</v>
      </c>
      <c r="G123" s="77"/>
      <c r="H123" s="5" t="s">
        <v>1</v>
      </c>
      <c r="I123" s="78">
        <f t="shared" si="49"/>
        <v>0</v>
      </c>
      <c r="J123" s="110">
        <f t="shared" si="50"/>
        <v>75</v>
      </c>
      <c r="K123" s="4">
        <v>396</v>
      </c>
      <c r="L123" s="5" t="s">
        <v>1</v>
      </c>
      <c r="M123" s="80">
        <f t="shared" si="51"/>
        <v>396</v>
      </c>
      <c r="N123" s="78">
        <f t="shared" si="52"/>
        <v>29700</v>
      </c>
      <c r="O123" s="188">
        <f t="shared" si="53"/>
        <v>29700</v>
      </c>
    </row>
    <row r="124" spans="1:15" x14ac:dyDescent="0.25">
      <c r="A124" s="31"/>
      <c r="B124" s="4" t="s">
        <v>1855</v>
      </c>
      <c r="C124" s="5">
        <v>1</v>
      </c>
      <c r="D124" s="7">
        <v>0</v>
      </c>
      <c r="E124" s="3">
        <f t="shared" si="48"/>
        <v>1</v>
      </c>
      <c r="F124" s="3" t="s">
        <v>867</v>
      </c>
      <c r="G124" s="77"/>
      <c r="H124" s="5" t="s">
        <v>1</v>
      </c>
      <c r="I124" s="78">
        <f t="shared" si="49"/>
        <v>0</v>
      </c>
      <c r="J124" s="110">
        <f t="shared" si="50"/>
        <v>75</v>
      </c>
      <c r="K124" s="4">
        <v>418</v>
      </c>
      <c r="L124" s="5" t="s">
        <v>1</v>
      </c>
      <c r="M124" s="80">
        <f t="shared" si="51"/>
        <v>418</v>
      </c>
      <c r="N124" s="78">
        <f t="shared" si="52"/>
        <v>31350</v>
      </c>
      <c r="O124" s="188">
        <f t="shared" si="53"/>
        <v>31350</v>
      </c>
    </row>
    <row r="125" spans="1:15" x14ac:dyDescent="0.25">
      <c r="A125" s="31"/>
      <c r="B125" s="4" t="s">
        <v>1854</v>
      </c>
      <c r="C125" s="5">
        <v>1</v>
      </c>
      <c r="D125" s="7">
        <v>0</v>
      </c>
      <c r="E125" s="3">
        <f t="shared" si="48"/>
        <v>1</v>
      </c>
      <c r="F125" s="3" t="s">
        <v>867</v>
      </c>
      <c r="G125" s="77"/>
      <c r="H125" s="5" t="s">
        <v>1</v>
      </c>
      <c r="I125" s="78">
        <f t="shared" si="49"/>
        <v>0</v>
      </c>
      <c r="J125" s="110">
        <f t="shared" si="50"/>
        <v>75</v>
      </c>
      <c r="K125" s="4">
        <v>440</v>
      </c>
      <c r="L125" s="5" t="s">
        <v>1</v>
      </c>
      <c r="M125" s="80">
        <f t="shared" si="51"/>
        <v>440</v>
      </c>
      <c r="N125" s="78">
        <f t="shared" si="52"/>
        <v>33000</v>
      </c>
      <c r="O125" s="188">
        <f t="shared" si="53"/>
        <v>33000</v>
      </c>
    </row>
    <row r="126" spans="1:15" ht="15.75" thickBot="1" x14ac:dyDescent="0.3">
      <c r="A126" s="53"/>
      <c r="B126" s="54"/>
      <c r="C126" s="55"/>
      <c r="D126" s="55"/>
      <c r="E126" s="55"/>
      <c r="F126" s="55"/>
      <c r="G126" s="56"/>
      <c r="H126" s="56"/>
      <c r="I126" s="56"/>
      <c r="J126" s="56"/>
      <c r="K126" s="57"/>
      <c r="L126" s="55"/>
      <c r="M126" s="57"/>
      <c r="N126" s="56"/>
      <c r="O126" s="188"/>
    </row>
    <row r="127" spans="1:15" ht="15.75" thickBot="1" x14ac:dyDescent="0.3">
      <c r="A127" s="60"/>
      <c r="B127" s="145" t="s">
        <v>1853</v>
      </c>
      <c r="C127" s="5">
        <v>1</v>
      </c>
      <c r="D127" s="7">
        <v>0</v>
      </c>
      <c r="E127" s="3">
        <f t="shared" ref="E127:E147" si="54">C127+(C127*D127)</f>
        <v>1</v>
      </c>
      <c r="F127" s="3"/>
      <c r="G127" s="9"/>
      <c r="H127" s="5"/>
      <c r="I127" s="9"/>
      <c r="J127" s="9"/>
      <c r="K127" s="15"/>
      <c r="L127" s="5"/>
      <c r="M127" s="15"/>
      <c r="N127" s="4"/>
      <c r="O127" s="188"/>
    </row>
    <row r="128" spans="1:15" x14ac:dyDescent="0.25">
      <c r="A128" s="31">
        <v>1</v>
      </c>
      <c r="B128" s="4" t="s">
        <v>1852</v>
      </c>
      <c r="C128" s="5">
        <v>1</v>
      </c>
      <c r="D128" s="7">
        <v>0</v>
      </c>
      <c r="E128" s="3">
        <f t="shared" si="54"/>
        <v>1</v>
      </c>
      <c r="F128" s="3" t="s">
        <v>867</v>
      </c>
      <c r="G128" s="77"/>
      <c r="H128" s="5" t="s">
        <v>1</v>
      </c>
      <c r="I128" s="78">
        <f t="shared" ref="I128:I147" si="55">IF(H128="C",(G128/100)*E128,IF(H128="M",(G128/1000)*E128,G128*E128))</f>
        <v>0</v>
      </c>
      <c r="J128" s="110">
        <f t="shared" ref="J128:J147" si="56">$O$4</f>
        <v>75</v>
      </c>
      <c r="K128" s="4">
        <v>24</v>
      </c>
      <c r="L128" s="5" t="s">
        <v>1</v>
      </c>
      <c r="M128" s="80">
        <f t="shared" ref="M128:M147" si="57">IF(L128="C",(K128/100)*E128,IF(L128="M",(K128/1000)*E128,K128*E128))</f>
        <v>24</v>
      </c>
      <c r="N128" s="78">
        <f t="shared" ref="N128:N147" si="58">M128*J128</f>
        <v>1800</v>
      </c>
      <c r="O128" s="188">
        <f t="shared" ref="O128:O147" si="59">N128+I128</f>
        <v>1800</v>
      </c>
    </row>
    <row r="129" spans="1:15" x14ac:dyDescent="0.25">
      <c r="A129" s="31"/>
      <c r="B129" s="4" t="s">
        <v>1851</v>
      </c>
      <c r="C129" s="5">
        <v>1</v>
      </c>
      <c r="D129" s="7">
        <v>0</v>
      </c>
      <c r="E129" s="3">
        <f t="shared" si="54"/>
        <v>1</v>
      </c>
      <c r="F129" s="3" t="s">
        <v>867</v>
      </c>
      <c r="G129" s="77"/>
      <c r="H129" s="5" t="s">
        <v>1</v>
      </c>
      <c r="I129" s="78">
        <f t="shared" si="55"/>
        <v>0</v>
      </c>
      <c r="J129" s="110">
        <f t="shared" si="56"/>
        <v>75</v>
      </c>
      <c r="K129" s="4">
        <v>48</v>
      </c>
      <c r="L129" s="5" t="s">
        <v>1</v>
      </c>
      <c r="M129" s="80">
        <f t="shared" si="57"/>
        <v>48</v>
      </c>
      <c r="N129" s="78">
        <f t="shared" si="58"/>
        <v>3600</v>
      </c>
      <c r="O129" s="188">
        <f t="shared" si="59"/>
        <v>3600</v>
      </c>
    </row>
    <row r="130" spans="1:15" x14ac:dyDescent="0.25">
      <c r="A130" s="31"/>
      <c r="B130" s="4" t="s">
        <v>1850</v>
      </c>
      <c r="C130" s="5">
        <v>1</v>
      </c>
      <c r="D130" s="7">
        <v>0</v>
      </c>
      <c r="E130" s="3">
        <f t="shared" si="54"/>
        <v>1</v>
      </c>
      <c r="F130" s="3" t="s">
        <v>867</v>
      </c>
      <c r="G130" s="77"/>
      <c r="H130" s="5" t="s">
        <v>1</v>
      </c>
      <c r="I130" s="78">
        <f t="shared" si="55"/>
        <v>0</v>
      </c>
      <c r="J130" s="110">
        <f t="shared" si="56"/>
        <v>75</v>
      </c>
      <c r="K130" s="4">
        <v>72</v>
      </c>
      <c r="L130" s="5" t="s">
        <v>1</v>
      </c>
      <c r="M130" s="80">
        <f t="shared" si="57"/>
        <v>72</v>
      </c>
      <c r="N130" s="78">
        <f t="shared" si="58"/>
        <v>5400</v>
      </c>
      <c r="O130" s="188">
        <f t="shared" si="59"/>
        <v>5400</v>
      </c>
    </row>
    <row r="131" spans="1:15" x14ac:dyDescent="0.25">
      <c r="A131" s="31"/>
      <c r="B131" s="4" t="s">
        <v>1849</v>
      </c>
      <c r="C131" s="5">
        <v>1</v>
      </c>
      <c r="D131" s="7">
        <v>0</v>
      </c>
      <c r="E131" s="3">
        <f t="shared" si="54"/>
        <v>1</v>
      </c>
      <c r="F131" s="3" t="s">
        <v>867</v>
      </c>
      <c r="G131" s="77"/>
      <c r="H131" s="5" t="s">
        <v>1</v>
      </c>
      <c r="I131" s="78">
        <f t="shared" si="55"/>
        <v>0</v>
      </c>
      <c r="J131" s="110">
        <f t="shared" si="56"/>
        <v>75</v>
      </c>
      <c r="K131" s="4">
        <v>96</v>
      </c>
      <c r="L131" s="5" t="s">
        <v>1</v>
      </c>
      <c r="M131" s="80">
        <f t="shared" si="57"/>
        <v>96</v>
      </c>
      <c r="N131" s="78">
        <f t="shared" si="58"/>
        <v>7200</v>
      </c>
      <c r="O131" s="188">
        <f t="shared" si="59"/>
        <v>7200</v>
      </c>
    </row>
    <row r="132" spans="1:15" x14ac:dyDescent="0.25">
      <c r="A132" s="31"/>
      <c r="B132" s="4" t="s">
        <v>1848</v>
      </c>
      <c r="C132" s="5">
        <v>1</v>
      </c>
      <c r="D132" s="7">
        <v>0</v>
      </c>
      <c r="E132" s="3">
        <f t="shared" si="54"/>
        <v>1</v>
      </c>
      <c r="F132" s="3" t="s">
        <v>867</v>
      </c>
      <c r="G132" s="77"/>
      <c r="H132" s="5" t="s">
        <v>1</v>
      </c>
      <c r="I132" s="78">
        <f t="shared" si="55"/>
        <v>0</v>
      </c>
      <c r="J132" s="110">
        <f t="shared" si="56"/>
        <v>75</v>
      </c>
      <c r="K132" s="4">
        <v>120</v>
      </c>
      <c r="L132" s="5" t="s">
        <v>1</v>
      </c>
      <c r="M132" s="80">
        <f t="shared" si="57"/>
        <v>120</v>
      </c>
      <c r="N132" s="78">
        <f t="shared" si="58"/>
        <v>9000</v>
      </c>
      <c r="O132" s="188">
        <f t="shared" si="59"/>
        <v>9000</v>
      </c>
    </row>
    <row r="133" spans="1:15" x14ac:dyDescent="0.25">
      <c r="A133" s="31"/>
      <c r="B133" s="4" t="s">
        <v>1847</v>
      </c>
      <c r="C133" s="5">
        <v>1</v>
      </c>
      <c r="D133" s="7">
        <v>0</v>
      </c>
      <c r="E133" s="3">
        <f t="shared" si="54"/>
        <v>1</v>
      </c>
      <c r="F133" s="3" t="s">
        <v>867</v>
      </c>
      <c r="G133" s="77"/>
      <c r="H133" s="5" t="s">
        <v>1</v>
      </c>
      <c r="I133" s="78">
        <f t="shared" si="55"/>
        <v>0</v>
      </c>
      <c r="J133" s="110">
        <f t="shared" si="56"/>
        <v>75</v>
      </c>
      <c r="K133" s="4">
        <v>144</v>
      </c>
      <c r="L133" s="5" t="s">
        <v>1</v>
      </c>
      <c r="M133" s="80">
        <f t="shared" si="57"/>
        <v>144</v>
      </c>
      <c r="N133" s="78">
        <f t="shared" si="58"/>
        <v>10800</v>
      </c>
      <c r="O133" s="188">
        <f t="shared" si="59"/>
        <v>10800</v>
      </c>
    </row>
    <row r="134" spans="1:15" x14ac:dyDescent="0.25">
      <c r="A134" s="31"/>
      <c r="B134" s="4" t="s">
        <v>1846</v>
      </c>
      <c r="C134" s="5">
        <v>1</v>
      </c>
      <c r="D134" s="7">
        <v>0</v>
      </c>
      <c r="E134" s="3">
        <f t="shared" si="54"/>
        <v>1</v>
      </c>
      <c r="F134" s="3" t="s">
        <v>867</v>
      </c>
      <c r="G134" s="77"/>
      <c r="H134" s="5" t="s">
        <v>1</v>
      </c>
      <c r="I134" s="78">
        <f t="shared" si="55"/>
        <v>0</v>
      </c>
      <c r="J134" s="110">
        <f t="shared" si="56"/>
        <v>75</v>
      </c>
      <c r="K134" s="4">
        <v>168</v>
      </c>
      <c r="L134" s="5" t="s">
        <v>1</v>
      </c>
      <c r="M134" s="80">
        <f t="shared" si="57"/>
        <v>168</v>
      </c>
      <c r="N134" s="78">
        <f t="shared" si="58"/>
        <v>12600</v>
      </c>
      <c r="O134" s="188">
        <f t="shared" si="59"/>
        <v>12600</v>
      </c>
    </row>
    <row r="135" spans="1:15" x14ac:dyDescent="0.25">
      <c r="A135" s="31"/>
      <c r="B135" s="4" t="s">
        <v>1845</v>
      </c>
      <c r="C135" s="5">
        <v>1</v>
      </c>
      <c r="D135" s="7">
        <v>0</v>
      </c>
      <c r="E135" s="3">
        <f t="shared" si="54"/>
        <v>1</v>
      </c>
      <c r="F135" s="3" t="s">
        <v>867</v>
      </c>
      <c r="G135" s="77"/>
      <c r="H135" s="5" t="s">
        <v>1</v>
      </c>
      <c r="I135" s="78">
        <f t="shared" si="55"/>
        <v>0</v>
      </c>
      <c r="J135" s="110">
        <f t="shared" si="56"/>
        <v>75</v>
      </c>
      <c r="K135" s="4">
        <v>192</v>
      </c>
      <c r="L135" s="5" t="s">
        <v>1</v>
      </c>
      <c r="M135" s="80">
        <f t="shared" si="57"/>
        <v>192</v>
      </c>
      <c r="N135" s="78">
        <f t="shared" si="58"/>
        <v>14400</v>
      </c>
      <c r="O135" s="188">
        <f t="shared" si="59"/>
        <v>14400</v>
      </c>
    </row>
    <row r="136" spans="1:15" x14ac:dyDescent="0.25">
      <c r="A136" s="31"/>
      <c r="B136" s="4" t="s">
        <v>1844</v>
      </c>
      <c r="C136" s="5">
        <v>1</v>
      </c>
      <c r="D136" s="7">
        <v>0</v>
      </c>
      <c r="E136" s="3">
        <f t="shared" si="54"/>
        <v>1</v>
      </c>
      <c r="F136" s="3" t="s">
        <v>867</v>
      </c>
      <c r="G136" s="77"/>
      <c r="H136" s="5" t="s">
        <v>1</v>
      </c>
      <c r="I136" s="78">
        <f t="shared" si="55"/>
        <v>0</v>
      </c>
      <c r="J136" s="110">
        <f t="shared" si="56"/>
        <v>75</v>
      </c>
      <c r="K136" s="4">
        <v>216</v>
      </c>
      <c r="L136" s="5" t="s">
        <v>1</v>
      </c>
      <c r="M136" s="80">
        <f t="shared" si="57"/>
        <v>216</v>
      </c>
      <c r="N136" s="78">
        <f t="shared" si="58"/>
        <v>16200</v>
      </c>
      <c r="O136" s="188">
        <f t="shared" si="59"/>
        <v>16200</v>
      </c>
    </row>
    <row r="137" spans="1:15" x14ac:dyDescent="0.25">
      <c r="A137" s="31"/>
      <c r="B137" s="4" t="s">
        <v>1843</v>
      </c>
      <c r="C137" s="5">
        <v>1</v>
      </c>
      <c r="D137" s="7">
        <v>0</v>
      </c>
      <c r="E137" s="3">
        <f t="shared" si="54"/>
        <v>1</v>
      </c>
      <c r="F137" s="3" t="s">
        <v>867</v>
      </c>
      <c r="G137" s="77"/>
      <c r="H137" s="5" t="s">
        <v>1</v>
      </c>
      <c r="I137" s="78">
        <f t="shared" si="55"/>
        <v>0</v>
      </c>
      <c r="J137" s="110">
        <f t="shared" si="56"/>
        <v>75</v>
      </c>
      <c r="K137" s="4">
        <v>240</v>
      </c>
      <c r="L137" s="5" t="s">
        <v>1</v>
      </c>
      <c r="M137" s="80">
        <f t="shared" si="57"/>
        <v>240</v>
      </c>
      <c r="N137" s="78">
        <f t="shared" si="58"/>
        <v>18000</v>
      </c>
      <c r="O137" s="188">
        <f t="shared" si="59"/>
        <v>18000</v>
      </c>
    </row>
    <row r="138" spans="1:15" x14ac:dyDescent="0.25">
      <c r="A138" s="31"/>
      <c r="B138" s="4" t="s">
        <v>1842</v>
      </c>
      <c r="C138" s="5">
        <v>1</v>
      </c>
      <c r="D138" s="7">
        <v>0</v>
      </c>
      <c r="E138" s="3">
        <f t="shared" si="54"/>
        <v>1</v>
      </c>
      <c r="F138" s="3" t="s">
        <v>867</v>
      </c>
      <c r="G138" s="77"/>
      <c r="H138" s="5" t="s">
        <v>1</v>
      </c>
      <c r="I138" s="78">
        <f t="shared" si="55"/>
        <v>0</v>
      </c>
      <c r="J138" s="110">
        <f t="shared" si="56"/>
        <v>75</v>
      </c>
      <c r="K138" s="4">
        <v>264</v>
      </c>
      <c r="L138" s="5" t="s">
        <v>1</v>
      </c>
      <c r="M138" s="80">
        <f t="shared" si="57"/>
        <v>264</v>
      </c>
      <c r="N138" s="78">
        <f t="shared" si="58"/>
        <v>19800</v>
      </c>
      <c r="O138" s="188">
        <f t="shared" si="59"/>
        <v>19800</v>
      </c>
    </row>
    <row r="139" spans="1:15" x14ac:dyDescent="0.25">
      <c r="A139" s="31"/>
      <c r="B139" s="4" t="s">
        <v>1841</v>
      </c>
      <c r="C139" s="5">
        <v>1</v>
      </c>
      <c r="D139" s="7">
        <v>0</v>
      </c>
      <c r="E139" s="3">
        <f t="shared" si="54"/>
        <v>1</v>
      </c>
      <c r="F139" s="3" t="s">
        <v>867</v>
      </c>
      <c r="G139" s="77"/>
      <c r="H139" s="5" t="s">
        <v>1</v>
      </c>
      <c r="I139" s="78">
        <f t="shared" si="55"/>
        <v>0</v>
      </c>
      <c r="J139" s="110">
        <f t="shared" si="56"/>
        <v>75</v>
      </c>
      <c r="K139" s="4">
        <v>288</v>
      </c>
      <c r="L139" s="5" t="s">
        <v>1</v>
      </c>
      <c r="M139" s="80">
        <f t="shared" si="57"/>
        <v>288</v>
      </c>
      <c r="N139" s="78">
        <f t="shared" si="58"/>
        <v>21600</v>
      </c>
      <c r="O139" s="188">
        <f t="shared" si="59"/>
        <v>21600</v>
      </c>
    </row>
    <row r="140" spans="1:15" x14ac:dyDescent="0.25">
      <c r="A140" s="31"/>
      <c r="B140" s="4" t="s">
        <v>1840</v>
      </c>
      <c r="C140" s="5">
        <v>1</v>
      </c>
      <c r="D140" s="7">
        <v>0</v>
      </c>
      <c r="E140" s="3">
        <f t="shared" si="54"/>
        <v>1</v>
      </c>
      <c r="F140" s="3" t="s">
        <v>867</v>
      </c>
      <c r="G140" s="77"/>
      <c r="H140" s="5" t="s">
        <v>1</v>
      </c>
      <c r="I140" s="78">
        <f t="shared" si="55"/>
        <v>0</v>
      </c>
      <c r="J140" s="110">
        <f t="shared" si="56"/>
        <v>75</v>
      </c>
      <c r="K140" s="4">
        <v>312</v>
      </c>
      <c r="L140" s="5" t="s">
        <v>1</v>
      </c>
      <c r="M140" s="80">
        <f t="shared" si="57"/>
        <v>312</v>
      </c>
      <c r="N140" s="78">
        <f t="shared" si="58"/>
        <v>23400</v>
      </c>
      <c r="O140" s="188">
        <f t="shared" si="59"/>
        <v>23400</v>
      </c>
    </row>
    <row r="141" spans="1:15" x14ac:dyDescent="0.25">
      <c r="A141" s="31"/>
      <c r="B141" s="4" t="s">
        <v>1839</v>
      </c>
      <c r="C141" s="5">
        <v>1</v>
      </c>
      <c r="D141" s="7">
        <v>0</v>
      </c>
      <c r="E141" s="3">
        <f t="shared" si="54"/>
        <v>1</v>
      </c>
      <c r="F141" s="3" t="s">
        <v>867</v>
      </c>
      <c r="G141" s="77"/>
      <c r="H141" s="5" t="s">
        <v>1</v>
      </c>
      <c r="I141" s="78">
        <f t="shared" si="55"/>
        <v>0</v>
      </c>
      <c r="J141" s="110">
        <f t="shared" si="56"/>
        <v>75</v>
      </c>
      <c r="K141" s="4">
        <v>336</v>
      </c>
      <c r="L141" s="5" t="s">
        <v>1</v>
      </c>
      <c r="M141" s="80">
        <f t="shared" si="57"/>
        <v>336</v>
      </c>
      <c r="N141" s="78">
        <f t="shared" si="58"/>
        <v>25200</v>
      </c>
      <c r="O141" s="188">
        <f t="shared" si="59"/>
        <v>25200</v>
      </c>
    </row>
    <row r="142" spans="1:15" x14ac:dyDescent="0.25">
      <c r="A142" s="31"/>
      <c r="B142" s="4" t="s">
        <v>1838</v>
      </c>
      <c r="C142" s="5">
        <v>1</v>
      </c>
      <c r="D142" s="7">
        <v>0</v>
      </c>
      <c r="E142" s="3">
        <f t="shared" si="54"/>
        <v>1</v>
      </c>
      <c r="F142" s="3" t="s">
        <v>867</v>
      </c>
      <c r="G142" s="77"/>
      <c r="H142" s="5" t="s">
        <v>1</v>
      </c>
      <c r="I142" s="78">
        <f t="shared" si="55"/>
        <v>0</v>
      </c>
      <c r="J142" s="110">
        <f t="shared" si="56"/>
        <v>75</v>
      </c>
      <c r="K142" s="4">
        <v>360</v>
      </c>
      <c r="L142" s="5" t="s">
        <v>1</v>
      </c>
      <c r="M142" s="80">
        <f t="shared" si="57"/>
        <v>360</v>
      </c>
      <c r="N142" s="78">
        <f t="shared" si="58"/>
        <v>27000</v>
      </c>
      <c r="O142" s="188">
        <f t="shared" si="59"/>
        <v>27000</v>
      </c>
    </row>
    <row r="143" spans="1:15" x14ac:dyDescent="0.25">
      <c r="A143" s="31"/>
      <c r="B143" s="4" t="s">
        <v>1837</v>
      </c>
      <c r="C143" s="5">
        <v>1</v>
      </c>
      <c r="D143" s="7">
        <v>0</v>
      </c>
      <c r="E143" s="3">
        <f t="shared" si="54"/>
        <v>1</v>
      </c>
      <c r="F143" s="3" t="s">
        <v>867</v>
      </c>
      <c r="G143" s="77"/>
      <c r="H143" s="5" t="s">
        <v>1</v>
      </c>
      <c r="I143" s="78">
        <f t="shared" si="55"/>
        <v>0</v>
      </c>
      <c r="J143" s="110">
        <f t="shared" si="56"/>
        <v>75</v>
      </c>
      <c r="K143" s="4">
        <v>384</v>
      </c>
      <c r="L143" s="5" t="s">
        <v>1</v>
      </c>
      <c r="M143" s="80">
        <f t="shared" si="57"/>
        <v>384</v>
      </c>
      <c r="N143" s="78">
        <f t="shared" si="58"/>
        <v>28800</v>
      </c>
      <c r="O143" s="188">
        <f t="shared" si="59"/>
        <v>28800</v>
      </c>
    </row>
    <row r="144" spans="1:15" x14ac:dyDescent="0.25">
      <c r="A144" s="31"/>
      <c r="B144" s="4" t="s">
        <v>1836</v>
      </c>
      <c r="C144" s="5">
        <v>1</v>
      </c>
      <c r="D144" s="7">
        <v>0</v>
      </c>
      <c r="E144" s="3">
        <f t="shared" si="54"/>
        <v>1</v>
      </c>
      <c r="F144" s="3" t="s">
        <v>867</v>
      </c>
      <c r="G144" s="77"/>
      <c r="H144" s="5" t="s">
        <v>1</v>
      </c>
      <c r="I144" s="78">
        <f t="shared" si="55"/>
        <v>0</v>
      </c>
      <c r="J144" s="110">
        <f t="shared" si="56"/>
        <v>75</v>
      </c>
      <c r="K144" s="4">
        <v>408</v>
      </c>
      <c r="L144" s="5" t="s">
        <v>1</v>
      </c>
      <c r="M144" s="80">
        <f t="shared" si="57"/>
        <v>408</v>
      </c>
      <c r="N144" s="78">
        <f t="shared" si="58"/>
        <v>30600</v>
      </c>
      <c r="O144" s="188">
        <f t="shared" si="59"/>
        <v>30600</v>
      </c>
    </row>
    <row r="145" spans="1:15" x14ac:dyDescent="0.25">
      <c r="A145" s="31"/>
      <c r="B145" s="4" t="s">
        <v>1835</v>
      </c>
      <c r="C145" s="5">
        <v>1</v>
      </c>
      <c r="D145" s="7">
        <v>0</v>
      </c>
      <c r="E145" s="3">
        <f t="shared" si="54"/>
        <v>1</v>
      </c>
      <c r="F145" s="3" t="s">
        <v>867</v>
      </c>
      <c r="G145" s="77"/>
      <c r="H145" s="5" t="s">
        <v>1</v>
      </c>
      <c r="I145" s="78">
        <f t="shared" si="55"/>
        <v>0</v>
      </c>
      <c r="J145" s="110">
        <f t="shared" si="56"/>
        <v>75</v>
      </c>
      <c r="K145" s="4">
        <v>432</v>
      </c>
      <c r="L145" s="5" t="s">
        <v>1</v>
      </c>
      <c r="M145" s="80">
        <f t="shared" si="57"/>
        <v>432</v>
      </c>
      <c r="N145" s="78">
        <f t="shared" si="58"/>
        <v>32400</v>
      </c>
      <c r="O145" s="188">
        <f t="shared" si="59"/>
        <v>32400</v>
      </c>
    </row>
    <row r="146" spans="1:15" x14ac:dyDescent="0.25">
      <c r="A146" s="60"/>
      <c r="B146" s="8" t="s">
        <v>1834</v>
      </c>
      <c r="C146" s="5">
        <v>1</v>
      </c>
      <c r="D146" s="7">
        <v>0</v>
      </c>
      <c r="E146" s="3">
        <f t="shared" si="54"/>
        <v>1</v>
      </c>
      <c r="F146" s="3" t="s">
        <v>867</v>
      </c>
      <c r="G146" s="77"/>
      <c r="H146" s="5" t="s">
        <v>1</v>
      </c>
      <c r="I146" s="78">
        <f t="shared" si="55"/>
        <v>0</v>
      </c>
      <c r="J146" s="110">
        <f t="shared" si="56"/>
        <v>75</v>
      </c>
      <c r="K146" s="4">
        <v>456</v>
      </c>
      <c r="L146" s="5" t="s">
        <v>1</v>
      </c>
      <c r="M146" s="80">
        <f t="shared" si="57"/>
        <v>456</v>
      </c>
      <c r="N146" s="78">
        <f t="shared" si="58"/>
        <v>34200</v>
      </c>
      <c r="O146" s="188">
        <f t="shared" si="59"/>
        <v>34200</v>
      </c>
    </row>
    <row r="147" spans="1:15" x14ac:dyDescent="0.25">
      <c r="A147" s="31"/>
      <c r="B147" s="4" t="s">
        <v>1833</v>
      </c>
      <c r="C147" s="5">
        <v>1</v>
      </c>
      <c r="D147" s="7">
        <v>0</v>
      </c>
      <c r="E147" s="3">
        <f t="shared" si="54"/>
        <v>1</v>
      </c>
      <c r="F147" s="3" t="s">
        <v>867</v>
      </c>
      <c r="G147" s="77"/>
      <c r="H147" s="5" t="s">
        <v>1</v>
      </c>
      <c r="I147" s="78">
        <f t="shared" si="55"/>
        <v>0</v>
      </c>
      <c r="J147" s="110">
        <f t="shared" si="56"/>
        <v>75</v>
      </c>
      <c r="K147" s="4">
        <v>480</v>
      </c>
      <c r="L147" s="5" t="s">
        <v>1</v>
      </c>
      <c r="M147" s="80">
        <f t="shared" si="57"/>
        <v>480</v>
      </c>
      <c r="N147" s="78">
        <f t="shared" si="58"/>
        <v>36000</v>
      </c>
      <c r="O147" s="188">
        <f t="shared" si="59"/>
        <v>36000</v>
      </c>
    </row>
    <row r="148" spans="1:15" ht="15.75" thickBot="1" x14ac:dyDescent="0.3">
      <c r="A148" s="53"/>
      <c r="B148" s="54"/>
      <c r="C148" s="55"/>
      <c r="D148" s="55"/>
      <c r="E148" s="55"/>
      <c r="F148" s="55"/>
      <c r="G148" s="56"/>
      <c r="H148" s="56"/>
      <c r="I148" s="56"/>
      <c r="J148" s="56"/>
      <c r="K148" s="57"/>
      <c r="L148" s="55"/>
      <c r="M148" s="57"/>
      <c r="N148" s="56"/>
      <c r="O148" s="188"/>
    </row>
    <row r="149" spans="1:15" ht="15.75" thickBot="1" x14ac:dyDescent="0.3">
      <c r="A149" s="60"/>
      <c r="B149" s="145" t="s">
        <v>1832</v>
      </c>
      <c r="C149" s="5">
        <v>1</v>
      </c>
      <c r="D149" s="7">
        <v>0</v>
      </c>
      <c r="E149" s="3">
        <f t="shared" ref="E149:E169" si="60">C149+(C149*D149)</f>
        <v>1</v>
      </c>
      <c r="F149" s="3"/>
      <c r="G149" s="9"/>
      <c r="H149" s="5"/>
      <c r="I149" s="9"/>
      <c r="J149" s="9"/>
      <c r="K149" s="15"/>
      <c r="L149" s="5"/>
      <c r="M149" s="15"/>
      <c r="N149" s="4"/>
      <c r="O149" s="134"/>
    </row>
    <row r="150" spans="1:15" x14ac:dyDescent="0.25">
      <c r="A150" s="31">
        <v>1</v>
      </c>
      <c r="B150" s="4" t="s">
        <v>1831</v>
      </c>
      <c r="C150" s="5">
        <v>1</v>
      </c>
      <c r="D150" s="7">
        <v>0</v>
      </c>
      <c r="E150" s="3">
        <f t="shared" si="60"/>
        <v>1</v>
      </c>
      <c r="F150" s="3" t="s">
        <v>867</v>
      </c>
      <c r="G150" s="77"/>
      <c r="H150" s="5" t="s">
        <v>1</v>
      </c>
      <c r="I150" s="78">
        <f t="shared" ref="I150:I169" si="61">IF(H150="C",(G150/100)*E150,IF(H150="M",(G150/1000)*E150,G150*E150))</f>
        <v>0</v>
      </c>
      <c r="J150" s="110">
        <f t="shared" ref="J150:J169" si="62">$O$4</f>
        <v>75</v>
      </c>
      <c r="K150" s="4">
        <v>26</v>
      </c>
      <c r="L150" s="5" t="s">
        <v>1</v>
      </c>
      <c r="M150" s="80">
        <f t="shared" ref="M150:M169" si="63">IF(L150="C",(K150/100)*E150,IF(L150="M",(K150/1000)*E150,K150*E150))</f>
        <v>26</v>
      </c>
      <c r="N150" s="78">
        <f t="shared" ref="N150:N169" si="64">M150*J150</f>
        <v>1950</v>
      </c>
      <c r="O150" s="188">
        <f t="shared" ref="O150:O169" si="65">N150+I150</f>
        <v>1950</v>
      </c>
    </row>
    <row r="151" spans="1:15" x14ac:dyDescent="0.25">
      <c r="A151" s="31"/>
      <c r="B151" s="4" t="s">
        <v>1830</v>
      </c>
      <c r="C151" s="5">
        <v>1</v>
      </c>
      <c r="D151" s="7">
        <v>0</v>
      </c>
      <c r="E151" s="3">
        <f t="shared" si="60"/>
        <v>1</v>
      </c>
      <c r="F151" s="3" t="s">
        <v>867</v>
      </c>
      <c r="G151" s="77"/>
      <c r="H151" s="5" t="s">
        <v>1</v>
      </c>
      <c r="I151" s="78">
        <f t="shared" si="61"/>
        <v>0</v>
      </c>
      <c r="J151" s="110">
        <f t="shared" si="62"/>
        <v>75</v>
      </c>
      <c r="K151" s="4">
        <v>52</v>
      </c>
      <c r="L151" s="5" t="s">
        <v>1</v>
      </c>
      <c r="M151" s="80">
        <f t="shared" si="63"/>
        <v>52</v>
      </c>
      <c r="N151" s="78">
        <f t="shared" si="64"/>
        <v>3900</v>
      </c>
      <c r="O151" s="188">
        <f t="shared" si="65"/>
        <v>3900</v>
      </c>
    </row>
    <row r="152" spans="1:15" x14ac:dyDescent="0.25">
      <c r="A152" s="31"/>
      <c r="B152" s="4" t="s">
        <v>1829</v>
      </c>
      <c r="C152" s="5">
        <v>1</v>
      </c>
      <c r="D152" s="7">
        <v>0</v>
      </c>
      <c r="E152" s="3">
        <f t="shared" si="60"/>
        <v>1</v>
      </c>
      <c r="F152" s="3" t="s">
        <v>867</v>
      </c>
      <c r="G152" s="77"/>
      <c r="H152" s="5" t="s">
        <v>1</v>
      </c>
      <c r="I152" s="78">
        <f t="shared" si="61"/>
        <v>0</v>
      </c>
      <c r="J152" s="110">
        <f t="shared" si="62"/>
        <v>75</v>
      </c>
      <c r="K152" s="4">
        <v>78</v>
      </c>
      <c r="L152" s="5" t="s">
        <v>1</v>
      </c>
      <c r="M152" s="80">
        <f t="shared" si="63"/>
        <v>78</v>
      </c>
      <c r="N152" s="78">
        <f t="shared" si="64"/>
        <v>5850</v>
      </c>
      <c r="O152" s="188">
        <f t="shared" si="65"/>
        <v>5850</v>
      </c>
    </row>
    <row r="153" spans="1:15" x14ac:dyDescent="0.25">
      <c r="A153" s="31"/>
      <c r="B153" s="4" t="s">
        <v>1828</v>
      </c>
      <c r="C153" s="5">
        <v>1</v>
      </c>
      <c r="D153" s="7">
        <v>0</v>
      </c>
      <c r="E153" s="3">
        <f t="shared" si="60"/>
        <v>1</v>
      </c>
      <c r="F153" s="3" t="s">
        <v>867</v>
      </c>
      <c r="G153" s="77"/>
      <c r="H153" s="5" t="s">
        <v>1</v>
      </c>
      <c r="I153" s="78">
        <f t="shared" si="61"/>
        <v>0</v>
      </c>
      <c r="J153" s="110">
        <f t="shared" si="62"/>
        <v>75</v>
      </c>
      <c r="K153" s="4">
        <v>104</v>
      </c>
      <c r="L153" s="5" t="s">
        <v>1</v>
      </c>
      <c r="M153" s="80">
        <f t="shared" si="63"/>
        <v>104</v>
      </c>
      <c r="N153" s="78">
        <f t="shared" si="64"/>
        <v>7800</v>
      </c>
      <c r="O153" s="188">
        <f t="shared" si="65"/>
        <v>7800</v>
      </c>
    </row>
    <row r="154" spans="1:15" x14ac:dyDescent="0.25">
      <c r="A154" s="31"/>
      <c r="B154" s="4" t="s">
        <v>1827</v>
      </c>
      <c r="C154" s="5">
        <v>1</v>
      </c>
      <c r="D154" s="7">
        <v>0</v>
      </c>
      <c r="E154" s="3">
        <f t="shared" si="60"/>
        <v>1</v>
      </c>
      <c r="F154" s="3" t="s">
        <v>867</v>
      </c>
      <c r="G154" s="77"/>
      <c r="H154" s="5" t="s">
        <v>1</v>
      </c>
      <c r="I154" s="78">
        <f t="shared" si="61"/>
        <v>0</v>
      </c>
      <c r="J154" s="110">
        <f t="shared" si="62"/>
        <v>75</v>
      </c>
      <c r="K154" s="4">
        <v>130</v>
      </c>
      <c r="L154" s="5" t="s">
        <v>1</v>
      </c>
      <c r="M154" s="80">
        <f t="shared" si="63"/>
        <v>130</v>
      </c>
      <c r="N154" s="78">
        <f t="shared" si="64"/>
        <v>9750</v>
      </c>
      <c r="O154" s="188">
        <f t="shared" si="65"/>
        <v>9750</v>
      </c>
    </row>
    <row r="155" spans="1:15" x14ac:dyDescent="0.25">
      <c r="A155" s="31"/>
      <c r="B155" s="4" t="s">
        <v>1826</v>
      </c>
      <c r="C155" s="5">
        <v>1</v>
      </c>
      <c r="D155" s="7">
        <v>0</v>
      </c>
      <c r="E155" s="3">
        <f t="shared" si="60"/>
        <v>1</v>
      </c>
      <c r="F155" s="3" t="s">
        <v>867</v>
      </c>
      <c r="G155" s="77"/>
      <c r="H155" s="5" t="s">
        <v>1</v>
      </c>
      <c r="I155" s="78">
        <f t="shared" si="61"/>
        <v>0</v>
      </c>
      <c r="J155" s="110">
        <f t="shared" si="62"/>
        <v>75</v>
      </c>
      <c r="K155" s="4">
        <v>156</v>
      </c>
      <c r="L155" s="5" t="s">
        <v>1</v>
      </c>
      <c r="M155" s="80">
        <f t="shared" si="63"/>
        <v>156</v>
      </c>
      <c r="N155" s="78">
        <f t="shared" si="64"/>
        <v>11700</v>
      </c>
      <c r="O155" s="188">
        <f t="shared" si="65"/>
        <v>11700</v>
      </c>
    </row>
    <row r="156" spans="1:15" ht="15" customHeight="1" x14ac:dyDescent="0.25">
      <c r="A156" s="60"/>
      <c r="B156" s="8" t="s">
        <v>1825</v>
      </c>
      <c r="C156" s="5">
        <v>1</v>
      </c>
      <c r="D156" s="7">
        <v>0</v>
      </c>
      <c r="E156" s="3">
        <f t="shared" si="60"/>
        <v>1</v>
      </c>
      <c r="F156" s="3" t="s">
        <v>867</v>
      </c>
      <c r="G156" s="77"/>
      <c r="H156" s="5" t="s">
        <v>1</v>
      </c>
      <c r="I156" s="78">
        <f t="shared" si="61"/>
        <v>0</v>
      </c>
      <c r="J156" s="110">
        <f t="shared" si="62"/>
        <v>75</v>
      </c>
      <c r="K156" s="4">
        <v>182</v>
      </c>
      <c r="L156" s="5" t="s">
        <v>1</v>
      </c>
      <c r="M156" s="80">
        <f t="shared" si="63"/>
        <v>182</v>
      </c>
      <c r="N156" s="78">
        <f t="shared" si="64"/>
        <v>13650</v>
      </c>
      <c r="O156" s="188">
        <f t="shared" si="65"/>
        <v>13650</v>
      </c>
    </row>
    <row r="157" spans="1:15" x14ac:dyDescent="0.25">
      <c r="A157" s="31"/>
      <c r="B157" s="4" t="s">
        <v>1824</v>
      </c>
      <c r="C157" s="5">
        <v>1</v>
      </c>
      <c r="D157" s="7">
        <v>0</v>
      </c>
      <c r="E157" s="3">
        <f t="shared" si="60"/>
        <v>1</v>
      </c>
      <c r="F157" s="3" t="s">
        <v>867</v>
      </c>
      <c r="G157" s="77"/>
      <c r="H157" s="5" t="s">
        <v>1</v>
      </c>
      <c r="I157" s="78">
        <f t="shared" si="61"/>
        <v>0</v>
      </c>
      <c r="J157" s="110">
        <f t="shared" si="62"/>
        <v>75</v>
      </c>
      <c r="K157" s="4">
        <v>208</v>
      </c>
      <c r="L157" s="5" t="s">
        <v>1</v>
      </c>
      <c r="M157" s="80">
        <f t="shared" si="63"/>
        <v>208</v>
      </c>
      <c r="N157" s="78">
        <f t="shared" si="64"/>
        <v>15600</v>
      </c>
      <c r="O157" s="188">
        <f t="shared" si="65"/>
        <v>15600</v>
      </c>
    </row>
    <row r="158" spans="1:15" x14ac:dyDescent="0.25">
      <c r="A158" s="31"/>
      <c r="B158" s="4" t="s">
        <v>1823</v>
      </c>
      <c r="C158" s="5">
        <v>1</v>
      </c>
      <c r="D158" s="7">
        <v>0</v>
      </c>
      <c r="E158" s="3">
        <f t="shared" si="60"/>
        <v>1</v>
      </c>
      <c r="F158" s="3" t="s">
        <v>867</v>
      </c>
      <c r="G158" s="77"/>
      <c r="H158" s="5" t="s">
        <v>1</v>
      </c>
      <c r="I158" s="78">
        <f t="shared" si="61"/>
        <v>0</v>
      </c>
      <c r="J158" s="110">
        <f t="shared" si="62"/>
        <v>75</v>
      </c>
      <c r="K158" s="4">
        <v>234</v>
      </c>
      <c r="L158" s="5" t="s">
        <v>1</v>
      </c>
      <c r="M158" s="80">
        <f t="shared" si="63"/>
        <v>234</v>
      </c>
      <c r="N158" s="78">
        <f t="shared" si="64"/>
        <v>17550</v>
      </c>
      <c r="O158" s="188">
        <f t="shared" si="65"/>
        <v>17550</v>
      </c>
    </row>
    <row r="159" spans="1:15" x14ac:dyDescent="0.25">
      <c r="A159" s="31"/>
      <c r="B159" s="4" t="s">
        <v>1822</v>
      </c>
      <c r="C159" s="5">
        <v>1</v>
      </c>
      <c r="D159" s="7">
        <v>0</v>
      </c>
      <c r="E159" s="3">
        <f t="shared" si="60"/>
        <v>1</v>
      </c>
      <c r="F159" s="3" t="s">
        <v>867</v>
      </c>
      <c r="G159" s="77"/>
      <c r="H159" s="5" t="s">
        <v>1</v>
      </c>
      <c r="I159" s="78">
        <f t="shared" si="61"/>
        <v>0</v>
      </c>
      <c r="J159" s="110">
        <f t="shared" si="62"/>
        <v>75</v>
      </c>
      <c r="K159" s="4">
        <v>260</v>
      </c>
      <c r="L159" s="5" t="s">
        <v>1</v>
      </c>
      <c r="M159" s="80">
        <f t="shared" si="63"/>
        <v>260</v>
      </c>
      <c r="N159" s="78">
        <f t="shared" si="64"/>
        <v>19500</v>
      </c>
      <c r="O159" s="188">
        <f t="shared" si="65"/>
        <v>19500</v>
      </c>
    </row>
    <row r="160" spans="1:15" x14ac:dyDescent="0.25">
      <c r="A160" s="31"/>
      <c r="B160" s="4" t="s">
        <v>1821</v>
      </c>
      <c r="C160" s="5">
        <v>1</v>
      </c>
      <c r="D160" s="7">
        <v>0</v>
      </c>
      <c r="E160" s="3">
        <f t="shared" si="60"/>
        <v>1</v>
      </c>
      <c r="F160" s="3" t="s">
        <v>867</v>
      </c>
      <c r="G160" s="77"/>
      <c r="H160" s="5" t="s">
        <v>1</v>
      </c>
      <c r="I160" s="78">
        <f t="shared" si="61"/>
        <v>0</v>
      </c>
      <c r="J160" s="110">
        <f t="shared" si="62"/>
        <v>75</v>
      </c>
      <c r="K160" s="4">
        <v>286</v>
      </c>
      <c r="L160" s="5" t="s">
        <v>1</v>
      </c>
      <c r="M160" s="80">
        <f t="shared" si="63"/>
        <v>286</v>
      </c>
      <c r="N160" s="78">
        <f t="shared" si="64"/>
        <v>21450</v>
      </c>
      <c r="O160" s="188">
        <f t="shared" si="65"/>
        <v>21450</v>
      </c>
    </row>
    <row r="161" spans="1:15" x14ac:dyDescent="0.25">
      <c r="A161" s="31"/>
      <c r="B161" s="4" t="s">
        <v>1820</v>
      </c>
      <c r="C161" s="5">
        <v>1</v>
      </c>
      <c r="D161" s="7">
        <v>0</v>
      </c>
      <c r="E161" s="3">
        <f t="shared" si="60"/>
        <v>1</v>
      </c>
      <c r="F161" s="3" t="s">
        <v>867</v>
      </c>
      <c r="G161" s="77"/>
      <c r="H161" s="5" t="s">
        <v>1</v>
      </c>
      <c r="I161" s="78">
        <f t="shared" si="61"/>
        <v>0</v>
      </c>
      <c r="J161" s="110">
        <f t="shared" si="62"/>
        <v>75</v>
      </c>
      <c r="K161" s="4">
        <v>312</v>
      </c>
      <c r="L161" s="5" t="s">
        <v>1</v>
      </c>
      <c r="M161" s="80">
        <f t="shared" si="63"/>
        <v>312</v>
      </c>
      <c r="N161" s="78">
        <f t="shared" si="64"/>
        <v>23400</v>
      </c>
      <c r="O161" s="188">
        <f t="shared" si="65"/>
        <v>23400</v>
      </c>
    </row>
    <row r="162" spans="1:15" x14ac:dyDescent="0.25">
      <c r="A162" s="31"/>
      <c r="B162" s="4" t="s">
        <v>1819</v>
      </c>
      <c r="C162" s="5">
        <v>1</v>
      </c>
      <c r="D162" s="7">
        <v>0</v>
      </c>
      <c r="E162" s="3">
        <f t="shared" si="60"/>
        <v>1</v>
      </c>
      <c r="F162" s="3" t="s">
        <v>867</v>
      </c>
      <c r="G162" s="77"/>
      <c r="H162" s="5" t="s">
        <v>1</v>
      </c>
      <c r="I162" s="78">
        <f t="shared" si="61"/>
        <v>0</v>
      </c>
      <c r="J162" s="110">
        <f t="shared" si="62"/>
        <v>75</v>
      </c>
      <c r="K162" s="4">
        <v>338</v>
      </c>
      <c r="L162" s="5" t="s">
        <v>1</v>
      </c>
      <c r="M162" s="80">
        <f t="shared" si="63"/>
        <v>338</v>
      </c>
      <c r="N162" s="78">
        <f t="shared" si="64"/>
        <v>25350</v>
      </c>
      <c r="O162" s="188">
        <f t="shared" si="65"/>
        <v>25350</v>
      </c>
    </row>
    <row r="163" spans="1:15" x14ac:dyDescent="0.25">
      <c r="A163" s="31"/>
      <c r="B163" s="4" t="s">
        <v>1818</v>
      </c>
      <c r="C163" s="5">
        <v>1</v>
      </c>
      <c r="D163" s="7">
        <v>0</v>
      </c>
      <c r="E163" s="3">
        <f t="shared" si="60"/>
        <v>1</v>
      </c>
      <c r="F163" s="3" t="s">
        <v>867</v>
      </c>
      <c r="G163" s="77"/>
      <c r="H163" s="5" t="s">
        <v>1</v>
      </c>
      <c r="I163" s="78">
        <f t="shared" si="61"/>
        <v>0</v>
      </c>
      <c r="J163" s="110">
        <f t="shared" si="62"/>
        <v>75</v>
      </c>
      <c r="K163" s="4">
        <v>364</v>
      </c>
      <c r="L163" s="5" t="s">
        <v>1</v>
      </c>
      <c r="M163" s="80">
        <f t="shared" si="63"/>
        <v>364</v>
      </c>
      <c r="N163" s="78">
        <f t="shared" si="64"/>
        <v>27300</v>
      </c>
      <c r="O163" s="188">
        <f t="shared" si="65"/>
        <v>27300</v>
      </c>
    </row>
    <row r="164" spans="1:15" x14ac:dyDescent="0.25">
      <c r="A164" s="31"/>
      <c r="B164" s="4" t="s">
        <v>1817</v>
      </c>
      <c r="C164" s="5">
        <v>1</v>
      </c>
      <c r="D164" s="7">
        <v>0</v>
      </c>
      <c r="E164" s="3">
        <f t="shared" si="60"/>
        <v>1</v>
      </c>
      <c r="F164" s="3" t="s">
        <v>867</v>
      </c>
      <c r="G164" s="77"/>
      <c r="H164" s="5" t="s">
        <v>1</v>
      </c>
      <c r="I164" s="78">
        <f t="shared" si="61"/>
        <v>0</v>
      </c>
      <c r="J164" s="110">
        <f t="shared" si="62"/>
        <v>75</v>
      </c>
      <c r="K164" s="4">
        <v>390</v>
      </c>
      <c r="L164" s="5" t="s">
        <v>1</v>
      </c>
      <c r="M164" s="80">
        <f t="shared" si="63"/>
        <v>390</v>
      </c>
      <c r="N164" s="78">
        <f t="shared" si="64"/>
        <v>29250</v>
      </c>
      <c r="O164" s="188">
        <f t="shared" si="65"/>
        <v>29250</v>
      </c>
    </row>
    <row r="165" spans="1:15" x14ac:dyDescent="0.25">
      <c r="A165" s="31"/>
      <c r="B165" s="4" t="s">
        <v>1816</v>
      </c>
      <c r="C165" s="5">
        <v>1</v>
      </c>
      <c r="D165" s="7">
        <v>0</v>
      </c>
      <c r="E165" s="3">
        <f t="shared" si="60"/>
        <v>1</v>
      </c>
      <c r="F165" s="3" t="s">
        <v>867</v>
      </c>
      <c r="G165" s="77"/>
      <c r="H165" s="5" t="s">
        <v>1</v>
      </c>
      <c r="I165" s="78">
        <f t="shared" si="61"/>
        <v>0</v>
      </c>
      <c r="J165" s="110">
        <f t="shared" si="62"/>
        <v>75</v>
      </c>
      <c r="K165" s="4">
        <v>416</v>
      </c>
      <c r="L165" s="5" t="s">
        <v>1</v>
      </c>
      <c r="M165" s="80">
        <f t="shared" si="63"/>
        <v>416</v>
      </c>
      <c r="N165" s="78">
        <f t="shared" si="64"/>
        <v>31200</v>
      </c>
      <c r="O165" s="188">
        <f t="shared" si="65"/>
        <v>31200</v>
      </c>
    </row>
    <row r="166" spans="1:15" x14ac:dyDescent="0.25">
      <c r="A166" s="31"/>
      <c r="B166" s="4" t="s">
        <v>1815</v>
      </c>
      <c r="C166" s="5">
        <v>1</v>
      </c>
      <c r="D166" s="7">
        <v>0</v>
      </c>
      <c r="E166" s="3">
        <f t="shared" si="60"/>
        <v>1</v>
      </c>
      <c r="F166" s="3" t="s">
        <v>867</v>
      </c>
      <c r="G166" s="77"/>
      <c r="H166" s="5" t="s">
        <v>1</v>
      </c>
      <c r="I166" s="78">
        <f t="shared" si="61"/>
        <v>0</v>
      </c>
      <c r="J166" s="110">
        <f t="shared" si="62"/>
        <v>75</v>
      </c>
      <c r="K166" s="4">
        <v>442</v>
      </c>
      <c r="L166" s="5" t="s">
        <v>1</v>
      </c>
      <c r="M166" s="80">
        <f t="shared" si="63"/>
        <v>442</v>
      </c>
      <c r="N166" s="78">
        <f t="shared" si="64"/>
        <v>33150</v>
      </c>
      <c r="O166" s="188">
        <f t="shared" si="65"/>
        <v>33150</v>
      </c>
    </row>
    <row r="167" spans="1:15" x14ac:dyDescent="0.25">
      <c r="A167" s="31"/>
      <c r="B167" s="4" t="s">
        <v>1814</v>
      </c>
      <c r="C167" s="5">
        <v>1</v>
      </c>
      <c r="D167" s="7">
        <v>0</v>
      </c>
      <c r="E167" s="3">
        <f t="shared" si="60"/>
        <v>1</v>
      </c>
      <c r="F167" s="3" t="s">
        <v>867</v>
      </c>
      <c r="G167" s="77"/>
      <c r="H167" s="5" t="s">
        <v>1</v>
      </c>
      <c r="I167" s="78">
        <f t="shared" si="61"/>
        <v>0</v>
      </c>
      <c r="J167" s="110">
        <f t="shared" si="62"/>
        <v>75</v>
      </c>
      <c r="K167" s="4">
        <v>468</v>
      </c>
      <c r="L167" s="5" t="s">
        <v>1</v>
      </c>
      <c r="M167" s="80">
        <f t="shared" si="63"/>
        <v>468</v>
      </c>
      <c r="N167" s="78">
        <f t="shared" si="64"/>
        <v>35100</v>
      </c>
      <c r="O167" s="188">
        <f t="shared" si="65"/>
        <v>35100</v>
      </c>
    </row>
    <row r="168" spans="1:15" x14ac:dyDescent="0.25">
      <c r="A168" s="31"/>
      <c r="B168" s="4" t="s">
        <v>1813</v>
      </c>
      <c r="C168" s="5">
        <v>1</v>
      </c>
      <c r="D168" s="7">
        <v>0</v>
      </c>
      <c r="E168" s="3">
        <f t="shared" si="60"/>
        <v>1</v>
      </c>
      <c r="F168" s="3" t="s">
        <v>867</v>
      </c>
      <c r="G168" s="77"/>
      <c r="H168" s="5" t="s">
        <v>1</v>
      </c>
      <c r="I168" s="78">
        <f t="shared" si="61"/>
        <v>0</v>
      </c>
      <c r="J168" s="110">
        <f t="shared" si="62"/>
        <v>75</v>
      </c>
      <c r="K168" s="4">
        <v>494</v>
      </c>
      <c r="L168" s="5" t="s">
        <v>1</v>
      </c>
      <c r="M168" s="80">
        <f t="shared" si="63"/>
        <v>494</v>
      </c>
      <c r="N168" s="78">
        <f t="shared" si="64"/>
        <v>37050</v>
      </c>
      <c r="O168" s="188">
        <f t="shared" si="65"/>
        <v>37050</v>
      </c>
    </row>
    <row r="169" spans="1:15" x14ac:dyDescent="0.25">
      <c r="A169" s="31"/>
      <c r="B169" s="4" t="s">
        <v>1812</v>
      </c>
      <c r="C169" s="5">
        <v>1</v>
      </c>
      <c r="D169" s="7">
        <v>0</v>
      </c>
      <c r="E169" s="3">
        <f t="shared" si="60"/>
        <v>1</v>
      </c>
      <c r="F169" s="3" t="s">
        <v>867</v>
      </c>
      <c r="G169" s="77"/>
      <c r="H169" s="5" t="s">
        <v>1</v>
      </c>
      <c r="I169" s="78">
        <f t="shared" si="61"/>
        <v>0</v>
      </c>
      <c r="J169" s="110">
        <f t="shared" si="62"/>
        <v>75</v>
      </c>
      <c r="K169" s="4">
        <v>520</v>
      </c>
      <c r="L169" s="5" t="s">
        <v>1</v>
      </c>
      <c r="M169" s="80">
        <f t="shared" si="63"/>
        <v>520</v>
      </c>
      <c r="N169" s="78">
        <f t="shared" si="64"/>
        <v>39000</v>
      </c>
      <c r="O169" s="188">
        <f t="shared" si="65"/>
        <v>39000</v>
      </c>
    </row>
    <row r="170" spans="1:15" ht="15.75" thickBot="1" x14ac:dyDescent="0.3">
      <c r="A170" s="53"/>
      <c r="B170" s="54"/>
      <c r="C170" s="55"/>
      <c r="D170" s="55"/>
      <c r="E170" s="55"/>
      <c r="F170" s="55"/>
      <c r="G170" s="56"/>
      <c r="H170" s="56"/>
      <c r="I170" s="56"/>
      <c r="J170" s="56"/>
      <c r="K170" s="57"/>
      <c r="L170" s="55"/>
      <c r="M170" s="57"/>
      <c r="N170" s="56"/>
      <c r="O170" s="188"/>
    </row>
    <row r="171" spans="1:15" ht="15.75" thickBot="1" x14ac:dyDescent="0.3">
      <c r="A171" s="60"/>
      <c r="B171" s="145" t="s">
        <v>1811</v>
      </c>
      <c r="C171" s="5">
        <v>1</v>
      </c>
      <c r="D171" s="7">
        <v>0</v>
      </c>
      <c r="E171" s="3">
        <f t="shared" ref="E171:E191" si="66">C171+(C171*D171)</f>
        <v>1</v>
      </c>
      <c r="F171" s="3"/>
      <c r="G171" s="9"/>
      <c r="H171" s="5"/>
      <c r="I171" s="9"/>
      <c r="J171" s="9"/>
      <c r="K171" s="15"/>
      <c r="L171" s="5"/>
      <c r="M171" s="15"/>
      <c r="N171" s="4"/>
      <c r="O171" s="188"/>
    </row>
    <row r="172" spans="1:15" x14ac:dyDescent="0.25">
      <c r="A172" s="31">
        <v>1</v>
      </c>
      <c r="B172" s="4" t="s">
        <v>1810</v>
      </c>
      <c r="C172" s="5">
        <v>1</v>
      </c>
      <c r="D172" s="7">
        <v>0</v>
      </c>
      <c r="E172" s="3">
        <f t="shared" si="66"/>
        <v>1</v>
      </c>
      <c r="F172" s="3" t="s">
        <v>867</v>
      </c>
      <c r="G172" s="77"/>
      <c r="H172" s="5" t="s">
        <v>1</v>
      </c>
      <c r="I172" s="78">
        <f t="shared" ref="I172:I191" si="67">IF(H172="C",(G172/100)*E172,IF(H172="M",(G172/1000)*E172,G172*E172))</f>
        <v>0</v>
      </c>
      <c r="J172" s="110">
        <f t="shared" ref="J172:J191" si="68">$O$4</f>
        <v>75</v>
      </c>
      <c r="K172" s="4">
        <v>28</v>
      </c>
      <c r="L172" s="5" t="s">
        <v>1</v>
      </c>
      <c r="M172" s="80">
        <f t="shared" ref="M172:M191" si="69">IF(L172="C",(K172/100)*E172,IF(L172="M",(K172/1000)*E172,K172*E172))</f>
        <v>28</v>
      </c>
      <c r="N172" s="78">
        <f t="shared" ref="N172:N191" si="70">M172*J172</f>
        <v>2100</v>
      </c>
      <c r="O172" s="188">
        <f t="shared" ref="O172:O191" si="71">N172+I172</f>
        <v>2100</v>
      </c>
    </row>
    <row r="173" spans="1:15" x14ac:dyDescent="0.25">
      <c r="A173" s="31"/>
      <c r="B173" s="4" t="s">
        <v>1809</v>
      </c>
      <c r="C173" s="5">
        <v>1</v>
      </c>
      <c r="D173" s="7">
        <v>0</v>
      </c>
      <c r="E173" s="3">
        <f t="shared" si="66"/>
        <v>1</v>
      </c>
      <c r="F173" s="3" t="s">
        <v>867</v>
      </c>
      <c r="G173" s="77"/>
      <c r="H173" s="5" t="s">
        <v>1</v>
      </c>
      <c r="I173" s="78">
        <f t="shared" si="67"/>
        <v>0</v>
      </c>
      <c r="J173" s="110">
        <f t="shared" si="68"/>
        <v>75</v>
      </c>
      <c r="K173" s="4">
        <v>56</v>
      </c>
      <c r="L173" s="5" t="s">
        <v>1</v>
      </c>
      <c r="M173" s="80">
        <f t="shared" si="69"/>
        <v>56</v>
      </c>
      <c r="N173" s="78">
        <f t="shared" si="70"/>
        <v>4200</v>
      </c>
      <c r="O173" s="188">
        <f t="shared" si="71"/>
        <v>4200</v>
      </c>
    </row>
    <row r="174" spans="1:15" x14ac:dyDescent="0.25">
      <c r="A174" s="31"/>
      <c r="B174" s="4" t="s">
        <v>1808</v>
      </c>
      <c r="C174" s="5">
        <v>1</v>
      </c>
      <c r="D174" s="7">
        <v>0</v>
      </c>
      <c r="E174" s="3">
        <f t="shared" si="66"/>
        <v>1</v>
      </c>
      <c r="F174" s="3" t="s">
        <v>867</v>
      </c>
      <c r="G174" s="77"/>
      <c r="H174" s="5" t="s">
        <v>1</v>
      </c>
      <c r="I174" s="78">
        <f t="shared" si="67"/>
        <v>0</v>
      </c>
      <c r="J174" s="110">
        <f t="shared" si="68"/>
        <v>75</v>
      </c>
      <c r="K174" s="4">
        <v>84</v>
      </c>
      <c r="L174" s="5" t="s">
        <v>1</v>
      </c>
      <c r="M174" s="80">
        <f t="shared" si="69"/>
        <v>84</v>
      </c>
      <c r="N174" s="78">
        <f t="shared" si="70"/>
        <v>6300</v>
      </c>
      <c r="O174" s="188">
        <f t="shared" si="71"/>
        <v>6300</v>
      </c>
    </row>
    <row r="175" spans="1:15" x14ac:dyDescent="0.25">
      <c r="A175" s="31"/>
      <c r="B175" s="4" t="s">
        <v>1807</v>
      </c>
      <c r="C175" s="5">
        <v>1</v>
      </c>
      <c r="D175" s="7">
        <v>0</v>
      </c>
      <c r="E175" s="3">
        <f t="shared" si="66"/>
        <v>1</v>
      </c>
      <c r="F175" s="3" t="s">
        <v>867</v>
      </c>
      <c r="G175" s="77"/>
      <c r="H175" s="5" t="s">
        <v>1</v>
      </c>
      <c r="I175" s="78">
        <f t="shared" si="67"/>
        <v>0</v>
      </c>
      <c r="J175" s="110">
        <f t="shared" si="68"/>
        <v>75</v>
      </c>
      <c r="K175" s="4">
        <v>112</v>
      </c>
      <c r="L175" s="5" t="s">
        <v>1</v>
      </c>
      <c r="M175" s="80">
        <f t="shared" si="69"/>
        <v>112</v>
      </c>
      <c r="N175" s="78">
        <f t="shared" si="70"/>
        <v>8400</v>
      </c>
      <c r="O175" s="188">
        <f t="shared" si="71"/>
        <v>8400</v>
      </c>
    </row>
    <row r="176" spans="1:15" x14ac:dyDescent="0.25">
      <c r="A176" s="31"/>
      <c r="B176" s="4" t="s">
        <v>1806</v>
      </c>
      <c r="C176" s="5">
        <v>1</v>
      </c>
      <c r="D176" s="7">
        <v>0</v>
      </c>
      <c r="E176" s="3">
        <f t="shared" si="66"/>
        <v>1</v>
      </c>
      <c r="F176" s="3" t="s">
        <v>867</v>
      </c>
      <c r="G176" s="77"/>
      <c r="H176" s="5" t="s">
        <v>1</v>
      </c>
      <c r="I176" s="78">
        <f t="shared" si="67"/>
        <v>0</v>
      </c>
      <c r="J176" s="110">
        <f t="shared" si="68"/>
        <v>75</v>
      </c>
      <c r="K176" s="4">
        <v>140</v>
      </c>
      <c r="L176" s="5" t="s">
        <v>1</v>
      </c>
      <c r="M176" s="80">
        <f t="shared" si="69"/>
        <v>140</v>
      </c>
      <c r="N176" s="78">
        <f t="shared" si="70"/>
        <v>10500</v>
      </c>
      <c r="O176" s="188">
        <f t="shared" si="71"/>
        <v>10500</v>
      </c>
    </row>
    <row r="177" spans="1:15" x14ac:dyDescent="0.25">
      <c r="A177" s="31"/>
      <c r="B177" s="4" t="s">
        <v>1805</v>
      </c>
      <c r="C177" s="5">
        <v>1</v>
      </c>
      <c r="D177" s="7">
        <v>0</v>
      </c>
      <c r="E177" s="3">
        <f t="shared" si="66"/>
        <v>1</v>
      </c>
      <c r="F177" s="3" t="s">
        <v>867</v>
      </c>
      <c r="G177" s="77"/>
      <c r="H177" s="5" t="s">
        <v>1</v>
      </c>
      <c r="I177" s="78">
        <f t="shared" si="67"/>
        <v>0</v>
      </c>
      <c r="J177" s="110">
        <f t="shared" si="68"/>
        <v>75</v>
      </c>
      <c r="K177" s="4">
        <v>168</v>
      </c>
      <c r="L177" s="5" t="s">
        <v>1</v>
      </c>
      <c r="M177" s="80">
        <f t="shared" si="69"/>
        <v>168</v>
      </c>
      <c r="N177" s="78">
        <f t="shared" si="70"/>
        <v>12600</v>
      </c>
      <c r="O177" s="188">
        <f t="shared" si="71"/>
        <v>12600</v>
      </c>
    </row>
    <row r="178" spans="1:15" x14ac:dyDescent="0.25">
      <c r="A178" s="31"/>
      <c r="B178" s="4" t="s">
        <v>1804</v>
      </c>
      <c r="C178" s="5">
        <v>1</v>
      </c>
      <c r="D178" s="7">
        <v>0</v>
      </c>
      <c r="E178" s="3">
        <f t="shared" si="66"/>
        <v>1</v>
      </c>
      <c r="F178" s="3" t="s">
        <v>867</v>
      </c>
      <c r="G178" s="77"/>
      <c r="H178" s="5" t="s">
        <v>1</v>
      </c>
      <c r="I178" s="78">
        <f t="shared" si="67"/>
        <v>0</v>
      </c>
      <c r="J178" s="110">
        <f t="shared" si="68"/>
        <v>75</v>
      </c>
      <c r="K178" s="4">
        <v>196</v>
      </c>
      <c r="L178" s="5" t="s">
        <v>1</v>
      </c>
      <c r="M178" s="80">
        <f t="shared" si="69"/>
        <v>196</v>
      </c>
      <c r="N178" s="78">
        <f t="shared" si="70"/>
        <v>14700</v>
      </c>
      <c r="O178" s="188">
        <f t="shared" si="71"/>
        <v>14700</v>
      </c>
    </row>
    <row r="179" spans="1:15" x14ac:dyDescent="0.25">
      <c r="A179" s="31"/>
      <c r="B179" s="4" t="s">
        <v>1803</v>
      </c>
      <c r="C179" s="5">
        <v>1</v>
      </c>
      <c r="D179" s="7">
        <v>0</v>
      </c>
      <c r="E179" s="3">
        <f t="shared" si="66"/>
        <v>1</v>
      </c>
      <c r="F179" s="3" t="s">
        <v>867</v>
      </c>
      <c r="G179" s="77"/>
      <c r="H179" s="5" t="s">
        <v>1</v>
      </c>
      <c r="I179" s="78">
        <f t="shared" si="67"/>
        <v>0</v>
      </c>
      <c r="J179" s="110">
        <f t="shared" si="68"/>
        <v>75</v>
      </c>
      <c r="K179" s="4">
        <v>224</v>
      </c>
      <c r="L179" s="5" t="s">
        <v>1</v>
      </c>
      <c r="M179" s="80">
        <f t="shared" si="69"/>
        <v>224</v>
      </c>
      <c r="N179" s="78">
        <f t="shared" si="70"/>
        <v>16800</v>
      </c>
      <c r="O179" s="188">
        <f t="shared" si="71"/>
        <v>16800</v>
      </c>
    </row>
    <row r="180" spans="1:15" x14ac:dyDescent="0.25">
      <c r="A180" s="31"/>
      <c r="B180" s="4" t="s">
        <v>1802</v>
      </c>
      <c r="C180" s="5">
        <v>1</v>
      </c>
      <c r="D180" s="7">
        <v>0</v>
      </c>
      <c r="E180" s="3">
        <f t="shared" si="66"/>
        <v>1</v>
      </c>
      <c r="F180" s="3" t="s">
        <v>867</v>
      </c>
      <c r="G180" s="77"/>
      <c r="H180" s="5" t="s">
        <v>1</v>
      </c>
      <c r="I180" s="78">
        <f t="shared" si="67"/>
        <v>0</v>
      </c>
      <c r="J180" s="110">
        <f t="shared" si="68"/>
        <v>75</v>
      </c>
      <c r="K180" s="4">
        <v>252</v>
      </c>
      <c r="L180" s="5" t="s">
        <v>1</v>
      </c>
      <c r="M180" s="80">
        <f t="shared" si="69"/>
        <v>252</v>
      </c>
      <c r="N180" s="78">
        <f t="shared" si="70"/>
        <v>18900</v>
      </c>
      <c r="O180" s="188">
        <f t="shared" si="71"/>
        <v>18900</v>
      </c>
    </row>
    <row r="181" spans="1:15" x14ac:dyDescent="0.25">
      <c r="A181" s="31"/>
      <c r="B181" s="4" t="s">
        <v>1801</v>
      </c>
      <c r="C181" s="5">
        <v>1</v>
      </c>
      <c r="D181" s="7">
        <v>0</v>
      </c>
      <c r="E181" s="3">
        <f t="shared" si="66"/>
        <v>1</v>
      </c>
      <c r="F181" s="3" t="s">
        <v>867</v>
      </c>
      <c r="G181" s="77"/>
      <c r="H181" s="5" t="s">
        <v>1</v>
      </c>
      <c r="I181" s="78">
        <f t="shared" si="67"/>
        <v>0</v>
      </c>
      <c r="J181" s="110">
        <f t="shared" si="68"/>
        <v>75</v>
      </c>
      <c r="K181" s="4">
        <v>280</v>
      </c>
      <c r="L181" s="5" t="s">
        <v>1</v>
      </c>
      <c r="M181" s="80">
        <f t="shared" si="69"/>
        <v>280</v>
      </c>
      <c r="N181" s="78">
        <f t="shared" si="70"/>
        <v>21000</v>
      </c>
      <c r="O181" s="188">
        <f t="shared" si="71"/>
        <v>21000</v>
      </c>
    </row>
    <row r="182" spans="1:15" x14ac:dyDescent="0.25">
      <c r="A182" s="31"/>
      <c r="B182" s="4" t="s">
        <v>1800</v>
      </c>
      <c r="C182" s="5">
        <v>1</v>
      </c>
      <c r="D182" s="7">
        <v>0</v>
      </c>
      <c r="E182" s="3">
        <f t="shared" si="66"/>
        <v>1</v>
      </c>
      <c r="F182" s="3" t="s">
        <v>867</v>
      </c>
      <c r="G182" s="77"/>
      <c r="H182" s="5" t="s">
        <v>1</v>
      </c>
      <c r="I182" s="78">
        <f t="shared" si="67"/>
        <v>0</v>
      </c>
      <c r="J182" s="110">
        <f t="shared" si="68"/>
        <v>75</v>
      </c>
      <c r="K182" s="4">
        <v>308</v>
      </c>
      <c r="L182" s="5" t="s">
        <v>1</v>
      </c>
      <c r="M182" s="80">
        <f t="shared" si="69"/>
        <v>308</v>
      </c>
      <c r="N182" s="78">
        <f t="shared" si="70"/>
        <v>23100</v>
      </c>
      <c r="O182" s="188">
        <f t="shared" si="71"/>
        <v>23100</v>
      </c>
    </row>
    <row r="183" spans="1:15" x14ac:dyDescent="0.25">
      <c r="A183" s="31"/>
      <c r="B183" s="4" t="s">
        <v>1799</v>
      </c>
      <c r="C183" s="5">
        <v>1</v>
      </c>
      <c r="D183" s="7">
        <v>0</v>
      </c>
      <c r="E183" s="3">
        <f t="shared" si="66"/>
        <v>1</v>
      </c>
      <c r="F183" s="3" t="s">
        <v>867</v>
      </c>
      <c r="G183" s="77"/>
      <c r="H183" s="5" t="s">
        <v>1</v>
      </c>
      <c r="I183" s="78">
        <f t="shared" si="67"/>
        <v>0</v>
      </c>
      <c r="J183" s="110">
        <f t="shared" si="68"/>
        <v>75</v>
      </c>
      <c r="K183" s="4">
        <v>336</v>
      </c>
      <c r="L183" s="5" t="s">
        <v>1</v>
      </c>
      <c r="M183" s="80">
        <f t="shared" si="69"/>
        <v>336</v>
      </c>
      <c r="N183" s="78">
        <f t="shared" si="70"/>
        <v>25200</v>
      </c>
      <c r="O183" s="188">
        <f t="shared" si="71"/>
        <v>25200</v>
      </c>
    </row>
    <row r="184" spans="1:15" x14ac:dyDescent="0.25">
      <c r="A184" s="31"/>
      <c r="B184" s="4" t="s">
        <v>1798</v>
      </c>
      <c r="C184" s="5">
        <v>1</v>
      </c>
      <c r="D184" s="7">
        <v>0</v>
      </c>
      <c r="E184" s="3">
        <f t="shared" si="66"/>
        <v>1</v>
      </c>
      <c r="F184" s="3" t="s">
        <v>867</v>
      </c>
      <c r="G184" s="77"/>
      <c r="H184" s="5" t="s">
        <v>1</v>
      </c>
      <c r="I184" s="78">
        <f t="shared" si="67"/>
        <v>0</v>
      </c>
      <c r="J184" s="110">
        <f t="shared" si="68"/>
        <v>75</v>
      </c>
      <c r="K184" s="4">
        <v>364</v>
      </c>
      <c r="L184" s="5" t="s">
        <v>1</v>
      </c>
      <c r="M184" s="80">
        <f t="shared" si="69"/>
        <v>364</v>
      </c>
      <c r="N184" s="78">
        <f t="shared" si="70"/>
        <v>27300</v>
      </c>
      <c r="O184" s="188">
        <f t="shared" si="71"/>
        <v>27300</v>
      </c>
    </row>
    <row r="185" spans="1:15" x14ac:dyDescent="0.25">
      <c r="A185" s="31"/>
      <c r="B185" s="4" t="s">
        <v>1797</v>
      </c>
      <c r="C185" s="5">
        <v>1</v>
      </c>
      <c r="D185" s="7">
        <v>0</v>
      </c>
      <c r="E185" s="3">
        <f t="shared" si="66"/>
        <v>1</v>
      </c>
      <c r="F185" s="3" t="s">
        <v>867</v>
      </c>
      <c r="G185" s="77"/>
      <c r="H185" s="5" t="s">
        <v>1</v>
      </c>
      <c r="I185" s="78">
        <f t="shared" si="67"/>
        <v>0</v>
      </c>
      <c r="J185" s="110">
        <f t="shared" si="68"/>
        <v>75</v>
      </c>
      <c r="K185" s="4">
        <v>392</v>
      </c>
      <c r="L185" s="5" t="s">
        <v>1</v>
      </c>
      <c r="M185" s="80">
        <f t="shared" si="69"/>
        <v>392</v>
      </c>
      <c r="N185" s="78">
        <f t="shared" si="70"/>
        <v>29400</v>
      </c>
      <c r="O185" s="188">
        <f t="shared" si="71"/>
        <v>29400</v>
      </c>
    </row>
    <row r="186" spans="1:15" x14ac:dyDescent="0.25">
      <c r="A186" s="31"/>
      <c r="B186" s="4" t="s">
        <v>1796</v>
      </c>
      <c r="C186" s="5">
        <v>1</v>
      </c>
      <c r="D186" s="7">
        <v>0</v>
      </c>
      <c r="E186" s="3">
        <f t="shared" si="66"/>
        <v>1</v>
      </c>
      <c r="F186" s="3" t="s">
        <v>867</v>
      </c>
      <c r="G186" s="77"/>
      <c r="H186" s="5" t="s">
        <v>1</v>
      </c>
      <c r="I186" s="78">
        <f t="shared" si="67"/>
        <v>0</v>
      </c>
      <c r="J186" s="110">
        <f t="shared" si="68"/>
        <v>75</v>
      </c>
      <c r="K186" s="4">
        <v>420</v>
      </c>
      <c r="L186" s="5" t="s">
        <v>1</v>
      </c>
      <c r="M186" s="80">
        <f t="shared" si="69"/>
        <v>420</v>
      </c>
      <c r="N186" s="78">
        <f t="shared" si="70"/>
        <v>31500</v>
      </c>
      <c r="O186" s="188">
        <f t="shared" si="71"/>
        <v>31500</v>
      </c>
    </row>
    <row r="187" spans="1:15" x14ac:dyDescent="0.25">
      <c r="A187" s="31"/>
      <c r="B187" s="4" t="s">
        <v>1795</v>
      </c>
      <c r="C187" s="5">
        <v>1</v>
      </c>
      <c r="D187" s="7">
        <v>0</v>
      </c>
      <c r="E187" s="3">
        <f t="shared" si="66"/>
        <v>1</v>
      </c>
      <c r="F187" s="3" t="s">
        <v>867</v>
      </c>
      <c r="G187" s="77"/>
      <c r="H187" s="5" t="s">
        <v>1</v>
      </c>
      <c r="I187" s="78">
        <f t="shared" si="67"/>
        <v>0</v>
      </c>
      <c r="J187" s="110">
        <f t="shared" si="68"/>
        <v>75</v>
      </c>
      <c r="K187" s="4">
        <v>448</v>
      </c>
      <c r="L187" s="5" t="s">
        <v>1</v>
      </c>
      <c r="M187" s="80">
        <f t="shared" si="69"/>
        <v>448</v>
      </c>
      <c r="N187" s="78">
        <f t="shared" si="70"/>
        <v>33600</v>
      </c>
      <c r="O187" s="188">
        <f t="shared" si="71"/>
        <v>33600</v>
      </c>
    </row>
    <row r="188" spans="1:15" x14ac:dyDescent="0.25">
      <c r="A188" s="31"/>
      <c r="B188" s="4" t="s">
        <v>1794</v>
      </c>
      <c r="C188" s="5">
        <v>1</v>
      </c>
      <c r="D188" s="7">
        <v>0</v>
      </c>
      <c r="E188" s="3">
        <f t="shared" si="66"/>
        <v>1</v>
      </c>
      <c r="F188" s="3" t="s">
        <v>867</v>
      </c>
      <c r="G188" s="77"/>
      <c r="H188" s="5" t="s">
        <v>1</v>
      </c>
      <c r="I188" s="78">
        <f t="shared" si="67"/>
        <v>0</v>
      </c>
      <c r="J188" s="110">
        <f t="shared" si="68"/>
        <v>75</v>
      </c>
      <c r="K188" s="4">
        <v>476</v>
      </c>
      <c r="L188" s="5" t="s">
        <v>1</v>
      </c>
      <c r="M188" s="80">
        <f t="shared" si="69"/>
        <v>476</v>
      </c>
      <c r="N188" s="78">
        <f t="shared" si="70"/>
        <v>35700</v>
      </c>
      <c r="O188" s="188">
        <f t="shared" si="71"/>
        <v>35700</v>
      </c>
    </row>
    <row r="189" spans="1:15" x14ac:dyDescent="0.25">
      <c r="A189" s="31"/>
      <c r="B189" s="4" t="s">
        <v>1793</v>
      </c>
      <c r="C189" s="5">
        <v>1</v>
      </c>
      <c r="D189" s="7">
        <v>0</v>
      </c>
      <c r="E189" s="3">
        <f t="shared" si="66"/>
        <v>1</v>
      </c>
      <c r="F189" s="3" t="s">
        <v>867</v>
      </c>
      <c r="G189" s="77"/>
      <c r="H189" s="5" t="s">
        <v>1</v>
      </c>
      <c r="I189" s="78">
        <f t="shared" si="67"/>
        <v>0</v>
      </c>
      <c r="J189" s="110">
        <f t="shared" si="68"/>
        <v>75</v>
      </c>
      <c r="K189" s="4">
        <v>504</v>
      </c>
      <c r="L189" s="5" t="s">
        <v>1</v>
      </c>
      <c r="M189" s="80">
        <f t="shared" si="69"/>
        <v>504</v>
      </c>
      <c r="N189" s="78">
        <f t="shared" si="70"/>
        <v>37800</v>
      </c>
      <c r="O189" s="188">
        <f t="shared" si="71"/>
        <v>37800</v>
      </c>
    </row>
    <row r="190" spans="1:15" x14ac:dyDescent="0.25">
      <c r="A190" s="60"/>
      <c r="B190" s="8" t="s">
        <v>1792</v>
      </c>
      <c r="C190" s="5">
        <v>1</v>
      </c>
      <c r="D190" s="7">
        <v>0</v>
      </c>
      <c r="E190" s="3">
        <f t="shared" si="66"/>
        <v>1</v>
      </c>
      <c r="F190" s="3" t="s">
        <v>867</v>
      </c>
      <c r="G190" s="77"/>
      <c r="H190" s="5" t="s">
        <v>1</v>
      </c>
      <c r="I190" s="78">
        <f t="shared" si="67"/>
        <v>0</v>
      </c>
      <c r="J190" s="110">
        <f t="shared" si="68"/>
        <v>75</v>
      </c>
      <c r="K190" s="4">
        <v>532</v>
      </c>
      <c r="L190" s="5" t="s">
        <v>1</v>
      </c>
      <c r="M190" s="80">
        <f t="shared" si="69"/>
        <v>532</v>
      </c>
      <c r="N190" s="78">
        <f t="shared" si="70"/>
        <v>39900</v>
      </c>
      <c r="O190" s="188">
        <f t="shared" si="71"/>
        <v>39900</v>
      </c>
    </row>
    <row r="191" spans="1:15" x14ac:dyDescent="0.25">
      <c r="A191" s="31"/>
      <c r="B191" s="4" t="s">
        <v>1791</v>
      </c>
      <c r="C191" s="5">
        <v>1</v>
      </c>
      <c r="D191" s="7">
        <v>0</v>
      </c>
      <c r="E191" s="3">
        <f t="shared" si="66"/>
        <v>1</v>
      </c>
      <c r="F191" s="3" t="s">
        <v>867</v>
      </c>
      <c r="G191" s="77"/>
      <c r="H191" s="5" t="s">
        <v>1</v>
      </c>
      <c r="I191" s="78">
        <f t="shared" si="67"/>
        <v>0</v>
      </c>
      <c r="J191" s="110">
        <f t="shared" si="68"/>
        <v>75</v>
      </c>
      <c r="K191" s="4">
        <v>560</v>
      </c>
      <c r="L191" s="5" t="s">
        <v>1</v>
      </c>
      <c r="M191" s="80">
        <f t="shared" si="69"/>
        <v>560</v>
      </c>
      <c r="N191" s="78">
        <f t="shared" si="70"/>
        <v>42000</v>
      </c>
      <c r="O191" s="188">
        <f t="shared" si="71"/>
        <v>42000</v>
      </c>
    </row>
    <row r="192" spans="1:15" ht="15.75" thickBot="1" x14ac:dyDescent="0.3">
      <c r="A192" s="53"/>
      <c r="B192" s="54"/>
      <c r="C192" s="55"/>
      <c r="D192" s="55"/>
      <c r="E192" s="55"/>
      <c r="F192" s="55"/>
      <c r="G192" s="56"/>
      <c r="H192" s="56"/>
      <c r="I192" s="56"/>
      <c r="J192" s="56"/>
      <c r="K192" s="57"/>
      <c r="L192" s="55"/>
      <c r="M192" s="57"/>
      <c r="N192" s="56"/>
      <c r="O192" s="188"/>
    </row>
    <row r="193" spans="1:15" ht="15.75" thickBot="1" x14ac:dyDescent="0.3">
      <c r="A193" s="60"/>
      <c r="B193" s="145" t="s">
        <v>1790</v>
      </c>
      <c r="C193" s="5">
        <v>1</v>
      </c>
      <c r="D193" s="7">
        <v>0</v>
      </c>
      <c r="E193" s="3">
        <f t="shared" ref="E193:E213" si="72">C193+(C193*D193)</f>
        <v>1</v>
      </c>
      <c r="F193" s="3"/>
      <c r="G193" s="9"/>
      <c r="H193" s="5"/>
      <c r="I193" s="9"/>
      <c r="J193" s="9"/>
      <c r="K193" s="15"/>
      <c r="L193" s="5"/>
      <c r="M193" s="15"/>
      <c r="N193" s="4"/>
      <c r="O193" s="188"/>
    </row>
    <row r="194" spans="1:15" x14ac:dyDescent="0.25">
      <c r="A194" s="31">
        <v>1</v>
      </c>
      <c r="B194" s="4" t="s">
        <v>1789</v>
      </c>
      <c r="C194" s="5">
        <v>1</v>
      </c>
      <c r="D194" s="7">
        <v>0</v>
      </c>
      <c r="E194" s="3">
        <f t="shared" si="72"/>
        <v>1</v>
      </c>
      <c r="F194" s="3" t="s">
        <v>867</v>
      </c>
      <c r="G194" s="77"/>
      <c r="H194" s="5" t="s">
        <v>1</v>
      </c>
      <c r="I194" s="78">
        <f t="shared" ref="I194:I213" si="73">IF(H194="C",(G194/100)*E194,IF(H194="M",(G194/1000)*E194,G194*E194))</f>
        <v>0</v>
      </c>
      <c r="J194" s="110">
        <f t="shared" ref="J194:J213" si="74">$O$4</f>
        <v>75</v>
      </c>
      <c r="K194" s="4">
        <v>32</v>
      </c>
      <c r="L194" s="5" t="s">
        <v>1</v>
      </c>
      <c r="M194" s="80">
        <f t="shared" ref="M194:M213" si="75">IF(L194="C",(K194/100)*E194,IF(L194="M",(K194/1000)*E194,K194*E194))</f>
        <v>32</v>
      </c>
      <c r="N194" s="78">
        <f t="shared" ref="N194:N213" si="76">M194*J194</f>
        <v>2400</v>
      </c>
      <c r="O194" s="188">
        <f t="shared" ref="O194:O213" si="77">N194+I194</f>
        <v>2400</v>
      </c>
    </row>
    <row r="195" spans="1:15" x14ac:dyDescent="0.25">
      <c r="A195" s="31"/>
      <c r="B195" s="4" t="s">
        <v>1788</v>
      </c>
      <c r="C195" s="5">
        <v>1</v>
      </c>
      <c r="D195" s="7">
        <v>0</v>
      </c>
      <c r="E195" s="3">
        <f t="shared" si="72"/>
        <v>1</v>
      </c>
      <c r="F195" s="3" t="s">
        <v>867</v>
      </c>
      <c r="G195" s="77"/>
      <c r="H195" s="5" t="s">
        <v>1</v>
      </c>
      <c r="I195" s="78">
        <f t="shared" si="73"/>
        <v>0</v>
      </c>
      <c r="J195" s="110">
        <f t="shared" si="74"/>
        <v>75</v>
      </c>
      <c r="K195" s="4">
        <v>64</v>
      </c>
      <c r="L195" s="5" t="s">
        <v>1</v>
      </c>
      <c r="M195" s="80">
        <f t="shared" si="75"/>
        <v>64</v>
      </c>
      <c r="N195" s="78">
        <f t="shared" si="76"/>
        <v>4800</v>
      </c>
      <c r="O195" s="188">
        <f t="shared" si="77"/>
        <v>4800</v>
      </c>
    </row>
    <row r="196" spans="1:15" x14ac:dyDescent="0.25">
      <c r="A196" s="31"/>
      <c r="B196" s="4" t="s">
        <v>1787</v>
      </c>
      <c r="C196" s="5">
        <v>1</v>
      </c>
      <c r="D196" s="7">
        <v>0</v>
      </c>
      <c r="E196" s="3">
        <f t="shared" si="72"/>
        <v>1</v>
      </c>
      <c r="F196" s="3" t="s">
        <v>867</v>
      </c>
      <c r="G196" s="77"/>
      <c r="H196" s="5" t="s">
        <v>1</v>
      </c>
      <c r="I196" s="78">
        <f t="shared" si="73"/>
        <v>0</v>
      </c>
      <c r="J196" s="110">
        <f t="shared" si="74"/>
        <v>75</v>
      </c>
      <c r="K196" s="4">
        <v>96</v>
      </c>
      <c r="L196" s="5" t="s">
        <v>1</v>
      </c>
      <c r="M196" s="80">
        <f t="shared" si="75"/>
        <v>96</v>
      </c>
      <c r="N196" s="78">
        <f t="shared" si="76"/>
        <v>7200</v>
      </c>
      <c r="O196" s="188">
        <f t="shared" si="77"/>
        <v>7200</v>
      </c>
    </row>
    <row r="197" spans="1:15" x14ac:dyDescent="0.25">
      <c r="A197" s="31"/>
      <c r="B197" s="4" t="s">
        <v>1786</v>
      </c>
      <c r="C197" s="5">
        <v>1</v>
      </c>
      <c r="D197" s="7">
        <v>0</v>
      </c>
      <c r="E197" s="3">
        <f t="shared" si="72"/>
        <v>1</v>
      </c>
      <c r="F197" s="3" t="s">
        <v>867</v>
      </c>
      <c r="G197" s="77"/>
      <c r="H197" s="5" t="s">
        <v>1</v>
      </c>
      <c r="I197" s="78">
        <f t="shared" si="73"/>
        <v>0</v>
      </c>
      <c r="J197" s="110">
        <f t="shared" si="74"/>
        <v>75</v>
      </c>
      <c r="K197" s="4">
        <v>128</v>
      </c>
      <c r="L197" s="5" t="s">
        <v>1</v>
      </c>
      <c r="M197" s="80">
        <f t="shared" si="75"/>
        <v>128</v>
      </c>
      <c r="N197" s="78">
        <f t="shared" si="76"/>
        <v>9600</v>
      </c>
      <c r="O197" s="188">
        <f t="shared" si="77"/>
        <v>9600</v>
      </c>
    </row>
    <row r="198" spans="1:15" x14ac:dyDescent="0.25">
      <c r="A198" s="31"/>
      <c r="B198" s="4" t="s">
        <v>1785</v>
      </c>
      <c r="C198" s="5">
        <v>1</v>
      </c>
      <c r="D198" s="7">
        <v>0</v>
      </c>
      <c r="E198" s="3">
        <f t="shared" si="72"/>
        <v>1</v>
      </c>
      <c r="F198" s="3" t="s">
        <v>867</v>
      </c>
      <c r="G198" s="77"/>
      <c r="H198" s="5" t="s">
        <v>1</v>
      </c>
      <c r="I198" s="78">
        <f t="shared" si="73"/>
        <v>0</v>
      </c>
      <c r="J198" s="110">
        <f t="shared" si="74"/>
        <v>75</v>
      </c>
      <c r="K198" s="4">
        <v>160</v>
      </c>
      <c r="L198" s="5" t="s">
        <v>1</v>
      </c>
      <c r="M198" s="80">
        <f t="shared" si="75"/>
        <v>160</v>
      </c>
      <c r="N198" s="78">
        <f t="shared" si="76"/>
        <v>12000</v>
      </c>
      <c r="O198" s="188">
        <f t="shared" si="77"/>
        <v>12000</v>
      </c>
    </row>
    <row r="199" spans="1:15" x14ac:dyDescent="0.25">
      <c r="A199" s="31"/>
      <c r="B199" s="4" t="s">
        <v>1784</v>
      </c>
      <c r="C199" s="5">
        <v>1</v>
      </c>
      <c r="D199" s="7">
        <v>0</v>
      </c>
      <c r="E199" s="3">
        <f t="shared" si="72"/>
        <v>1</v>
      </c>
      <c r="F199" s="3" t="s">
        <v>867</v>
      </c>
      <c r="G199" s="77"/>
      <c r="H199" s="5" t="s">
        <v>1</v>
      </c>
      <c r="I199" s="78">
        <f t="shared" si="73"/>
        <v>0</v>
      </c>
      <c r="J199" s="110">
        <f t="shared" si="74"/>
        <v>75</v>
      </c>
      <c r="K199" s="4">
        <v>192</v>
      </c>
      <c r="L199" s="5" t="s">
        <v>1</v>
      </c>
      <c r="M199" s="80">
        <f t="shared" si="75"/>
        <v>192</v>
      </c>
      <c r="N199" s="78">
        <f t="shared" si="76"/>
        <v>14400</v>
      </c>
      <c r="O199" s="188">
        <f t="shared" si="77"/>
        <v>14400</v>
      </c>
    </row>
    <row r="200" spans="1:15" x14ac:dyDescent="0.25">
      <c r="A200" s="31"/>
      <c r="B200" s="4" t="s">
        <v>1783</v>
      </c>
      <c r="C200" s="5">
        <v>1</v>
      </c>
      <c r="D200" s="7">
        <v>0</v>
      </c>
      <c r="E200" s="3">
        <f t="shared" si="72"/>
        <v>1</v>
      </c>
      <c r="F200" s="3" t="s">
        <v>867</v>
      </c>
      <c r="G200" s="77"/>
      <c r="H200" s="5" t="s">
        <v>1</v>
      </c>
      <c r="I200" s="78">
        <f t="shared" si="73"/>
        <v>0</v>
      </c>
      <c r="J200" s="110">
        <f t="shared" si="74"/>
        <v>75</v>
      </c>
      <c r="K200" s="4">
        <v>224</v>
      </c>
      <c r="L200" s="5" t="s">
        <v>1</v>
      </c>
      <c r="M200" s="80">
        <f t="shared" si="75"/>
        <v>224</v>
      </c>
      <c r="N200" s="78">
        <f t="shared" si="76"/>
        <v>16800</v>
      </c>
      <c r="O200" s="188">
        <f t="shared" si="77"/>
        <v>16800</v>
      </c>
    </row>
    <row r="201" spans="1:15" x14ac:dyDescent="0.25">
      <c r="A201" s="31"/>
      <c r="B201" s="4" t="s">
        <v>1782</v>
      </c>
      <c r="C201" s="5">
        <v>1</v>
      </c>
      <c r="D201" s="7">
        <v>0</v>
      </c>
      <c r="E201" s="3">
        <f t="shared" si="72"/>
        <v>1</v>
      </c>
      <c r="F201" s="3" t="s">
        <v>867</v>
      </c>
      <c r="G201" s="77"/>
      <c r="H201" s="5" t="s">
        <v>1</v>
      </c>
      <c r="I201" s="78">
        <f t="shared" si="73"/>
        <v>0</v>
      </c>
      <c r="J201" s="110">
        <f t="shared" si="74"/>
        <v>75</v>
      </c>
      <c r="K201" s="4">
        <v>256</v>
      </c>
      <c r="L201" s="5" t="s">
        <v>1</v>
      </c>
      <c r="M201" s="80">
        <f t="shared" si="75"/>
        <v>256</v>
      </c>
      <c r="N201" s="78">
        <f t="shared" si="76"/>
        <v>19200</v>
      </c>
      <c r="O201" s="188">
        <f t="shared" si="77"/>
        <v>19200</v>
      </c>
    </row>
    <row r="202" spans="1:15" x14ac:dyDescent="0.25">
      <c r="A202" s="31"/>
      <c r="B202" s="4" t="s">
        <v>1781</v>
      </c>
      <c r="C202" s="5">
        <v>1</v>
      </c>
      <c r="D202" s="7">
        <v>0</v>
      </c>
      <c r="E202" s="3">
        <f t="shared" si="72"/>
        <v>1</v>
      </c>
      <c r="F202" s="3" t="s">
        <v>867</v>
      </c>
      <c r="G202" s="77"/>
      <c r="H202" s="5" t="s">
        <v>1</v>
      </c>
      <c r="I202" s="78">
        <f t="shared" si="73"/>
        <v>0</v>
      </c>
      <c r="J202" s="110">
        <f t="shared" si="74"/>
        <v>75</v>
      </c>
      <c r="K202" s="4">
        <v>288</v>
      </c>
      <c r="L202" s="5" t="s">
        <v>1</v>
      </c>
      <c r="M202" s="80">
        <f t="shared" si="75"/>
        <v>288</v>
      </c>
      <c r="N202" s="78">
        <f t="shared" si="76"/>
        <v>21600</v>
      </c>
      <c r="O202" s="188">
        <f t="shared" si="77"/>
        <v>21600</v>
      </c>
    </row>
    <row r="203" spans="1:15" x14ac:dyDescent="0.25">
      <c r="A203" s="31"/>
      <c r="B203" s="4" t="s">
        <v>1780</v>
      </c>
      <c r="C203" s="5">
        <v>1</v>
      </c>
      <c r="D203" s="7">
        <v>0</v>
      </c>
      <c r="E203" s="3">
        <f t="shared" si="72"/>
        <v>1</v>
      </c>
      <c r="F203" s="3" t="s">
        <v>867</v>
      </c>
      <c r="G203" s="77"/>
      <c r="H203" s="5" t="s">
        <v>1</v>
      </c>
      <c r="I203" s="78">
        <f t="shared" si="73"/>
        <v>0</v>
      </c>
      <c r="J203" s="110">
        <f t="shared" si="74"/>
        <v>75</v>
      </c>
      <c r="K203" s="4">
        <v>320</v>
      </c>
      <c r="L203" s="5" t="s">
        <v>1</v>
      </c>
      <c r="M203" s="80">
        <f t="shared" si="75"/>
        <v>320</v>
      </c>
      <c r="N203" s="78">
        <f t="shared" si="76"/>
        <v>24000</v>
      </c>
      <c r="O203" s="188">
        <f t="shared" si="77"/>
        <v>24000</v>
      </c>
    </row>
    <row r="204" spans="1:15" x14ac:dyDescent="0.25">
      <c r="A204" s="31"/>
      <c r="B204" s="4" t="s">
        <v>1779</v>
      </c>
      <c r="C204" s="5">
        <v>1</v>
      </c>
      <c r="D204" s="7">
        <v>0</v>
      </c>
      <c r="E204" s="3">
        <f t="shared" si="72"/>
        <v>1</v>
      </c>
      <c r="F204" s="3" t="s">
        <v>867</v>
      </c>
      <c r="G204" s="77"/>
      <c r="H204" s="5" t="s">
        <v>1</v>
      </c>
      <c r="I204" s="78">
        <f t="shared" si="73"/>
        <v>0</v>
      </c>
      <c r="J204" s="110">
        <f t="shared" si="74"/>
        <v>75</v>
      </c>
      <c r="K204" s="4">
        <v>352</v>
      </c>
      <c r="L204" s="5" t="s">
        <v>1</v>
      </c>
      <c r="M204" s="80">
        <f t="shared" si="75"/>
        <v>352</v>
      </c>
      <c r="N204" s="78">
        <f t="shared" si="76"/>
        <v>26400</v>
      </c>
      <c r="O204" s="188">
        <f t="shared" si="77"/>
        <v>26400</v>
      </c>
    </row>
    <row r="205" spans="1:15" x14ac:dyDescent="0.25">
      <c r="A205" s="60"/>
      <c r="B205" s="8" t="s">
        <v>1778</v>
      </c>
      <c r="C205" s="5">
        <v>1</v>
      </c>
      <c r="D205" s="7">
        <v>0</v>
      </c>
      <c r="E205" s="3">
        <f t="shared" si="72"/>
        <v>1</v>
      </c>
      <c r="F205" s="3" t="s">
        <v>867</v>
      </c>
      <c r="G205" s="77"/>
      <c r="H205" s="5" t="s">
        <v>1</v>
      </c>
      <c r="I205" s="78">
        <f t="shared" si="73"/>
        <v>0</v>
      </c>
      <c r="J205" s="110">
        <f t="shared" si="74"/>
        <v>75</v>
      </c>
      <c r="K205" s="4">
        <v>384</v>
      </c>
      <c r="L205" s="5" t="s">
        <v>1</v>
      </c>
      <c r="M205" s="80">
        <f t="shared" si="75"/>
        <v>384</v>
      </c>
      <c r="N205" s="78">
        <f t="shared" si="76"/>
        <v>28800</v>
      </c>
      <c r="O205" s="188">
        <f t="shared" si="77"/>
        <v>28800</v>
      </c>
    </row>
    <row r="206" spans="1:15" x14ac:dyDescent="0.25">
      <c r="A206" s="31"/>
      <c r="B206" s="4" t="s">
        <v>1777</v>
      </c>
      <c r="C206" s="5">
        <v>1</v>
      </c>
      <c r="D206" s="7">
        <v>0</v>
      </c>
      <c r="E206" s="3">
        <f t="shared" si="72"/>
        <v>1</v>
      </c>
      <c r="F206" s="3" t="s">
        <v>867</v>
      </c>
      <c r="G206" s="77"/>
      <c r="H206" s="5" t="s">
        <v>1</v>
      </c>
      <c r="I206" s="78">
        <f t="shared" si="73"/>
        <v>0</v>
      </c>
      <c r="J206" s="110">
        <f t="shared" si="74"/>
        <v>75</v>
      </c>
      <c r="K206" s="4">
        <v>416</v>
      </c>
      <c r="L206" s="5" t="s">
        <v>1</v>
      </c>
      <c r="M206" s="80">
        <f t="shared" si="75"/>
        <v>416</v>
      </c>
      <c r="N206" s="78">
        <f t="shared" si="76"/>
        <v>31200</v>
      </c>
      <c r="O206" s="188">
        <f t="shared" si="77"/>
        <v>31200</v>
      </c>
    </row>
    <row r="207" spans="1:15" x14ac:dyDescent="0.25">
      <c r="A207" s="31"/>
      <c r="B207" s="4" t="s">
        <v>1776</v>
      </c>
      <c r="C207" s="5">
        <v>1</v>
      </c>
      <c r="D207" s="7">
        <v>0</v>
      </c>
      <c r="E207" s="3">
        <f t="shared" si="72"/>
        <v>1</v>
      </c>
      <c r="F207" s="3" t="s">
        <v>867</v>
      </c>
      <c r="G207" s="77"/>
      <c r="H207" s="5" t="s">
        <v>1</v>
      </c>
      <c r="I207" s="78">
        <f t="shared" si="73"/>
        <v>0</v>
      </c>
      <c r="J207" s="110">
        <f t="shared" si="74"/>
        <v>75</v>
      </c>
      <c r="K207" s="4">
        <v>448</v>
      </c>
      <c r="L207" s="5" t="s">
        <v>1</v>
      </c>
      <c r="M207" s="80">
        <f t="shared" si="75"/>
        <v>448</v>
      </c>
      <c r="N207" s="78">
        <f t="shared" si="76"/>
        <v>33600</v>
      </c>
      <c r="O207" s="188">
        <f t="shared" si="77"/>
        <v>33600</v>
      </c>
    </row>
    <row r="208" spans="1:15" x14ac:dyDescent="0.25">
      <c r="A208" s="31"/>
      <c r="B208" s="4" t="s">
        <v>1775</v>
      </c>
      <c r="C208" s="5">
        <v>1</v>
      </c>
      <c r="D208" s="7">
        <v>0</v>
      </c>
      <c r="E208" s="3">
        <f t="shared" si="72"/>
        <v>1</v>
      </c>
      <c r="F208" s="3" t="s">
        <v>867</v>
      </c>
      <c r="G208" s="77"/>
      <c r="H208" s="5" t="s">
        <v>1</v>
      </c>
      <c r="I208" s="78">
        <f t="shared" si="73"/>
        <v>0</v>
      </c>
      <c r="J208" s="110">
        <f t="shared" si="74"/>
        <v>75</v>
      </c>
      <c r="K208" s="4">
        <v>480</v>
      </c>
      <c r="L208" s="5" t="s">
        <v>1</v>
      </c>
      <c r="M208" s="80">
        <f t="shared" si="75"/>
        <v>480</v>
      </c>
      <c r="N208" s="78">
        <f t="shared" si="76"/>
        <v>36000</v>
      </c>
      <c r="O208" s="188">
        <f t="shared" si="77"/>
        <v>36000</v>
      </c>
    </row>
    <row r="209" spans="1:15" x14ac:dyDescent="0.25">
      <c r="A209" s="31"/>
      <c r="B209" s="4" t="s">
        <v>1774</v>
      </c>
      <c r="C209" s="5">
        <v>1</v>
      </c>
      <c r="D209" s="7">
        <v>0</v>
      </c>
      <c r="E209" s="3">
        <f t="shared" si="72"/>
        <v>1</v>
      </c>
      <c r="F209" s="3" t="s">
        <v>867</v>
      </c>
      <c r="G209" s="77"/>
      <c r="H209" s="5" t="s">
        <v>1</v>
      </c>
      <c r="I209" s="78">
        <f t="shared" si="73"/>
        <v>0</v>
      </c>
      <c r="J209" s="110">
        <f t="shared" si="74"/>
        <v>75</v>
      </c>
      <c r="K209" s="4">
        <v>512</v>
      </c>
      <c r="L209" s="5" t="s">
        <v>1</v>
      </c>
      <c r="M209" s="80">
        <f t="shared" si="75"/>
        <v>512</v>
      </c>
      <c r="N209" s="78">
        <f t="shared" si="76"/>
        <v>38400</v>
      </c>
      <c r="O209" s="188">
        <f t="shared" si="77"/>
        <v>38400</v>
      </c>
    </row>
    <row r="210" spans="1:15" x14ac:dyDescent="0.25">
      <c r="A210" s="31"/>
      <c r="B210" s="4" t="s">
        <v>1773</v>
      </c>
      <c r="C210" s="5">
        <v>1</v>
      </c>
      <c r="D210" s="7">
        <v>0</v>
      </c>
      <c r="E210" s="3">
        <f t="shared" si="72"/>
        <v>1</v>
      </c>
      <c r="F210" s="3" t="s">
        <v>867</v>
      </c>
      <c r="G210" s="77"/>
      <c r="H210" s="5" t="s">
        <v>1</v>
      </c>
      <c r="I210" s="78">
        <f t="shared" si="73"/>
        <v>0</v>
      </c>
      <c r="J210" s="110">
        <f t="shared" si="74"/>
        <v>75</v>
      </c>
      <c r="K210" s="4">
        <v>544</v>
      </c>
      <c r="L210" s="5" t="s">
        <v>1</v>
      </c>
      <c r="M210" s="80">
        <f t="shared" si="75"/>
        <v>544</v>
      </c>
      <c r="N210" s="78">
        <f t="shared" si="76"/>
        <v>40800</v>
      </c>
      <c r="O210" s="188">
        <f t="shared" si="77"/>
        <v>40800</v>
      </c>
    </row>
    <row r="211" spans="1:15" x14ac:dyDescent="0.25">
      <c r="A211" s="31"/>
      <c r="B211" s="4" t="s">
        <v>1772</v>
      </c>
      <c r="C211" s="5">
        <v>1</v>
      </c>
      <c r="D211" s="7">
        <v>0</v>
      </c>
      <c r="E211" s="3">
        <f t="shared" si="72"/>
        <v>1</v>
      </c>
      <c r="F211" s="3" t="s">
        <v>867</v>
      </c>
      <c r="G211" s="77"/>
      <c r="H211" s="5" t="s">
        <v>1</v>
      </c>
      <c r="I211" s="78">
        <f t="shared" si="73"/>
        <v>0</v>
      </c>
      <c r="J211" s="110">
        <f t="shared" si="74"/>
        <v>75</v>
      </c>
      <c r="K211" s="4">
        <v>576</v>
      </c>
      <c r="L211" s="5" t="s">
        <v>1</v>
      </c>
      <c r="M211" s="80">
        <f t="shared" si="75"/>
        <v>576</v>
      </c>
      <c r="N211" s="78">
        <f t="shared" si="76"/>
        <v>43200</v>
      </c>
      <c r="O211" s="188">
        <f t="shared" si="77"/>
        <v>43200</v>
      </c>
    </row>
    <row r="212" spans="1:15" x14ac:dyDescent="0.25">
      <c r="A212" s="31"/>
      <c r="B212" s="4" t="s">
        <v>1771</v>
      </c>
      <c r="C212" s="5">
        <v>1</v>
      </c>
      <c r="D212" s="7">
        <v>0</v>
      </c>
      <c r="E212" s="3">
        <f t="shared" si="72"/>
        <v>1</v>
      </c>
      <c r="F212" s="3" t="s">
        <v>867</v>
      </c>
      <c r="G212" s="77"/>
      <c r="H212" s="5" t="s">
        <v>1</v>
      </c>
      <c r="I212" s="78">
        <f t="shared" si="73"/>
        <v>0</v>
      </c>
      <c r="J212" s="110">
        <f t="shared" si="74"/>
        <v>75</v>
      </c>
      <c r="K212" s="4">
        <v>608</v>
      </c>
      <c r="L212" s="5" t="s">
        <v>1</v>
      </c>
      <c r="M212" s="80">
        <f t="shared" si="75"/>
        <v>608</v>
      </c>
      <c r="N212" s="78">
        <f t="shared" si="76"/>
        <v>45600</v>
      </c>
      <c r="O212" s="188">
        <f t="shared" si="77"/>
        <v>45600</v>
      </c>
    </row>
    <row r="213" spans="1:15" x14ac:dyDescent="0.25">
      <c r="A213" s="31"/>
      <c r="B213" s="4" t="s">
        <v>1770</v>
      </c>
      <c r="C213" s="5">
        <v>1</v>
      </c>
      <c r="D213" s="7">
        <v>0</v>
      </c>
      <c r="E213" s="3">
        <f t="shared" si="72"/>
        <v>1</v>
      </c>
      <c r="F213" s="3" t="s">
        <v>867</v>
      </c>
      <c r="G213" s="77"/>
      <c r="H213" s="5" t="s">
        <v>1</v>
      </c>
      <c r="I213" s="78">
        <f t="shared" si="73"/>
        <v>0</v>
      </c>
      <c r="J213" s="110">
        <f t="shared" si="74"/>
        <v>75</v>
      </c>
      <c r="K213" s="4">
        <v>640</v>
      </c>
      <c r="L213" s="5" t="s">
        <v>1</v>
      </c>
      <c r="M213" s="80">
        <f t="shared" si="75"/>
        <v>640</v>
      </c>
      <c r="N213" s="78">
        <f t="shared" si="76"/>
        <v>48000</v>
      </c>
      <c r="O213" s="188">
        <f t="shared" si="77"/>
        <v>48000</v>
      </c>
    </row>
    <row r="214" spans="1:15" ht="15.75" thickBot="1" x14ac:dyDescent="0.3">
      <c r="A214" s="53"/>
      <c r="B214" s="54"/>
      <c r="C214" s="55"/>
      <c r="D214" s="55"/>
      <c r="E214" s="55"/>
      <c r="F214" s="55"/>
      <c r="G214" s="56"/>
      <c r="H214" s="56"/>
      <c r="I214" s="56"/>
      <c r="J214" s="56"/>
      <c r="K214" s="57"/>
      <c r="L214" s="55"/>
      <c r="M214" s="57"/>
      <c r="N214" s="56"/>
      <c r="O214" s="188"/>
    </row>
    <row r="215" spans="1:15" ht="15.75" thickBot="1" x14ac:dyDescent="0.3">
      <c r="A215" s="60"/>
      <c r="B215" s="145" t="s">
        <v>1769</v>
      </c>
      <c r="C215" s="5">
        <v>1</v>
      </c>
      <c r="D215" s="7">
        <v>0</v>
      </c>
      <c r="E215" s="3">
        <f t="shared" ref="E215:E235" si="78">C215+(C215*D215)</f>
        <v>1</v>
      </c>
      <c r="F215" s="3"/>
      <c r="G215" s="9"/>
      <c r="H215" s="5"/>
      <c r="I215" s="9"/>
      <c r="J215" s="9"/>
      <c r="K215" s="15"/>
      <c r="L215" s="5"/>
      <c r="M215" s="15"/>
      <c r="N215" s="4"/>
      <c r="O215" s="188"/>
    </row>
    <row r="216" spans="1:15" x14ac:dyDescent="0.25">
      <c r="A216" s="31">
        <v>1</v>
      </c>
      <c r="B216" s="4" t="s">
        <v>1768</v>
      </c>
      <c r="C216" s="5">
        <v>1</v>
      </c>
      <c r="D216" s="7">
        <v>0</v>
      </c>
      <c r="E216" s="3">
        <f t="shared" si="78"/>
        <v>1</v>
      </c>
      <c r="F216" s="3" t="s">
        <v>867</v>
      </c>
      <c r="G216" s="77"/>
      <c r="H216" s="5" t="s">
        <v>1</v>
      </c>
      <c r="I216" s="78">
        <f t="shared" ref="I216:I235" si="79">IF(H216="C",(G216/100)*E216,IF(H216="M",(G216/1000)*E216,G216*E216))</f>
        <v>0</v>
      </c>
      <c r="J216" s="110">
        <f t="shared" ref="J216:J235" si="80">$O$4</f>
        <v>75</v>
      </c>
      <c r="K216" s="4">
        <v>36</v>
      </c>
      <c r="L216" s="5" t="s">
        <v>1</v>
      </c>
      <c r="M216" s="80">
        <f t="shared" ref="M216:M235" si="81">IF(L216="C",(K216/100)*E216,IF(L216="M",(K216/1000)*E216,K216*E216))</f>
        <v>36</v>
      </c>
      <c r="N216" s="78">
        <f t="shared" ref="N216:N235" si="82">M216*J216</f>
        <v>2700</v>
      </c>
      <c r="O216" s="188">
        <f t="shared" ref="O216:O235" si="83">N216+I216</f>
        <v>2700</v>
      </c>
    </row>
    <row r="217" spans="1:15" x14ac:dyDescent="0.25">
      <c r="A217" s="31"/>
      <c r="B217" s="4" t="s">
        <v>1767</v>
      </c>
      <c r="C217" s="5">
        <v>1</v>
      </c>
      <c r="D217" s="7">
        <v>0</v>
      </c>
      <c r="E217" s="3">
        <f t="shared" si="78"/>
        <v>1</v>
      </c>
      <c r="F217" s="3" t="s">
        <v>867</v>
      </c>
      <c r="G217" s="77"/>
      <c r="H217" s="5" t="s">
        <v>1</v>
      </c>
      <c r="I217" s="78">
        <f t="shared" si="79"/>
        <v>0</v>
      </c>
      <c r="J217" s="110">
        <f t="shared" si="80"/>
        <v>75</v>
      </c>
      <c r="K217" s="4">
        <v>72</v>
      </c>
      <c r="L217" s="5" t="s">
        <v>1</v>
      </c>
      <c r="M217" s="80">
        <f t="shared" si="81"/>
        <v>72</v>
      </c>
      <c r="N217" s="78">
        <f t="shared" si="82"/>
        <v>5400</v>
      </c>
      <c r="O217" s="188">
        <f t="shared" si="83"/>
        <v>5400</v>
      </c>
    </row>
    <row r="218" spans="1:15" x14ac:dyDescent="0.25">
      <c r="A218" s="31"/>
      <c r="B218" s="4" t="s">
        <v>1766</v>
      </c>
      <c r="C218" s="5">
        <v>1</v>
      </c>
      <c r="D218" s="7">
        <v>0</v>
      </c>
      <c r="E218" s="3">
        <f t="shared" si="78"/>
        <v>1</v>
      </c>
      <c r="F218" s="3" t="s">
        <v>867</v>
      </c>
      <c r="G218" s="77"/>
      <c r="H218" s="5" t="s">
        <v>1</v>
      </c>
      <c r="I218" s="78">
        <f t="shared" si="79"/>
        <v>0</v>
      </c>
      <c r="J218" s="110">
        <f t="shared" si="80"/>
        <v>75</v>
      </c>
      <c r="K218" s="4">
        <v>108</v>
      </c>
      <c r="L218" s="5" t="s">
        <v>1</v>
      </c>
      <c r="M218" s="80">
        <f t="shared" si="81"/>
        <v>108</v>
      </c>
      <c r="N218" s="78">
        <f t="shared" si="82"/>
        <v>8100</v>
      </c>
      <c r="O218" s="188">
        <f t="shared" si="83"/>
        <v>8100</v>
      </c>
    </row>
    <row r="219" spans="1:15" x14ac:dyDescent="0.25">
      <c r="A219" s="31"/>
      <c r="B219" s="4" t="s">
        <v>1765</v>
      </c>
      <c r="C219" s="5">
        <v>1</v>
      </c>
      <c r="D219" s="7">
        <v>0</v>
      </c>
      <c r="E219" s="3">
        <f t="shared" si="78"/>
        <v>1</v>
      </c>
      <c r="F219" s="3" t="s">
        <v>867</v>
      </c>
      <c r="G219" s="77"/>
      <c r="H219" s="5" t="s">
        <v>1</v>
      </c>
      <c r="I219" s="78">
        <f t="shared" si="79"/>
        <v>0</v>
      </c>
      <c r="J219" s="110">
        <f t="shared" si="80"/>
        <v>75</v>
      </c>
      <c r="K219" s="4">
        <v>144</v>
      </c>
      <c r="L219" s="5" t="s">
        <v>1</v>
      </c>
      <c r="M219" s="80">
        <f t="shared" si="81"/>
        <v>144</v>
      </c>
      <c r="N219" s="78">
        <f t="shared" si="82"/>
        <v>10800</v>
      </c>
      <c r="O219" s="188">
        <f t="shared" si="83"/>
        <v>10800</v>
      </c>
    </row>
    <row r="220" spans="1:15" x14ac:dyDescent="0.25">
      <c r="A220" s="31"/>
      <c r="B220" s="4" t="s">
        <v>1764</v>
      </c>
      <c r="C220" s="5">
        <v>1</v>
      </c>
      <c r="D220" s="7">
        <v>0</v>
      </c>
      <c r="E220" s="3">
        <f t="shared" si="78"/>
        <v>1</v>
      </c>
      <c r="F220" s="3" t="s">
        <v>867</v>
      </c>
      <c r="G220" s="77"/>
      <c r="H220" s="5" t="s">
        <v>1</v>
      </c>
      <c r="I220" s="78">
        <f t="shared" si="79"/>
        <v>0</v>
      </c>
      <c r="J220" s="110">
        <f t="shared" si="80"/>
        <v>75</v>
      </c>
      <c r="K220" s="4">
        <v>180</v>
      </c>
      <c r="L220" s="5" t="s">
        <v>1</v>
      </c>
      <c r="M220" s="80">
        <f t="shared" si="81"/>
        <v>180</v>
      </c>
      <c r="N220" s="78">
        <f t="shared" si="82"/>
        <v>13500</v>
      </c>
      <c r="O220" s="188">
        <f t="shared" si="83"/>
        <v>13500</v>
      </c>
    </row>
    <row r="221" spans="1:15" x14ac:dyDescent="0.25">
      <c r="A221" s="31"/>
      <c r="B221" s="4" t="s">
        <v>1763</v>
      </c>
      <c r="C221" s="5">
        <v>1</v>
      </c>
      <c r="D221" s="7">
        <v>0</v>
      </c>
      <c r="E221" s="3">
        <f t="shared" si="78"/>
        <v>1</v>
      </c>
      <c r="F221" s="3" t="s">
        <v>867</v>
      </c>
      <c r="G221" s="77"/>
      <c r="H221" s="5" t="s">
        <v>1</v>
      </c>
      <c r="I221" s="78">
        <f t="shared" si="79"/>
        <v>0</v>
      </c>
      <c r="J221" s="110">
        <f t="shared" si="80"/>
        <v>75</v>
      </c>
      <c r="K221" s="4">
        <v>216</v>
      </c>
      <c r="L221" s="5" t="s">
        <v>1</v>
      </c>
      <c r="M221" s="80">
        <f t="shared" si="81"/>
        <v>216</v>
      </c>
      <c r="N221" s="78">
        <f t="shared" si="82"/>
        <v>16200</v>
      </c>
      <c r="O221" s="188">
        <f t="shared" si="83"/>
        <v>16200</v>
      </c>
    </row>
    <row r="222" spans="1:15" x14ac:dyDescent="0.25">
      <c r="A222" s="31"/>
      <c r="B222" s="4" t="s">
        <v>1762</v>
      </c>
      <c r="C222" s="5">
        <v>1</v>
      </c>
      <c r="D222" s="7">
        <v>0</v>
      </c>
      <c r="E222" s="3">
        <f t="shared" si="78"/>
        <v>1</v>
      </c>
      <c r="F222" s="3" t="s">
        <v>867</v>
      </c>
      <c r="G222" s="77"/>
      <c r="H222" s="5" t="s">
        <v>1</v>
      </c>
      <c r="I222" s="78">
        <f t="shared" si="79"/>
        <v>0</v>
      </c>
      <c r="J222" s="110">
        <f t="shared" si="80"/>
        <v>75</v>
      </c>
      <c r="K222" s="4">
        <v>252</v>
      </c>
      <c r="L222" s="5" t="s">
        <v>1</v>
      </c>
      <c r="M222" s="80">
        <f t="shared" si="81"/>
        <v>252</v>
      </c>
      <c r="N222" s="78">
        <f t="shared" si="82"/>
        <v>18900</v>
      </c>
      <c r="O222" s="188">
        <f t="shared" si="83"/>
        <v>18900</v>
      </c>
    </row>
    <row r="223" spans="1:15" x14ac:dyDescent="0.25">
      <c r="A223" s="31"/>
      <c r="B223" s="4" t="s">
        <v>1761</v>
      </c>
      <c r="C223" s="5">
        <v>1</v>
      </c>
      <c r="D223" s="7">
        <v>0</v>
      </c>
      <c r="E223" s="3">
        <f t="shared" si="78"/>
        <v>1</v>
      </c>
      <c r="F223" s="3" t="s">
        <v>867</v>
      </c>
      <c r="G223" s="77"/>
      <c r="H223" s="5" t="s">
        <v>1</v>
      </c>
      <c r="I223" s="78">
        <f t="shared" si="79"/>
        <v>0</v>
      </c>
      <c r="J223" s="110">
        <f t="shared" si="80"/>
        <v>75</v>
      </c>
      <c r="K223" s="4">
        <v>288</v>
      </c>
      <c r="L223" s="5" t="s">
        <v>1</v>
      </c>
      <c r="M223" s="80">
        <f t="shared" si="81"/>
        <v>288</v>
      </c>
      <c r="N223" s="78">
        <f t="shared" si="82"/>
        <v>21600</v>
      </c>
      <c r="O223" s="188">
        <f t="shared" si="83"/>
        <v>21600</v>
      </c>
    </row>
    <row r="224" spans="1:15" x14ac:dyDescent="0.25">
      <c r="A224" s="31"/>
      <c r="B224" s="4" t="s">
        <v>1760</v>
      </c>
      <c r="C224" s="5">
        <v>1</v>
      </c>
      <c r="D224" s="7">
        <v>0</v>
      </c>
      <c r="E224" s="3">
        <f t="shared" si="78"/>
        <v>1</v>
      </c>
      <c r="F224" s="3" t="s">
        <v>867</v>
      </c>
      <c r="G224" s="77"/>
      <c r="H224" s="5" t="s">
        <v>1</v>
      </c>
      <c r="I224" s="78">
        <f t="shared" si="79"/>
        <v>0</v>
      </c>
      <c r="J224" s="110">
        <f t="shared" si="80"/>
        <v>75</v>
      </c>
      <c r="K224" s="4">
        <v>324</v>
      </c>
      <c r="L224" s="5" t="s">
        <v>1</v>
      </c>
      <c r="M224" s="80">
        <f t="shared" si="81"/>
        <v>324</v>
      </c>
      <c r="N224" s="78">
        <f t="shared" si="82"/>
        <v>24300</v>
      </c>
      <c r="O224" s="188">
        <f t="shared" si="83"/>
        <v>24300</v>
      </c>
    </row>
    <row r="225" spans="1:15" x14ac:dyDescent="0.25">
      <c r="A225" s="31"/>
      <c r="B225" s="4" t="s">
        <v>1759</v>
      </c>
      <c r="C225" s="5">
        <v>1</v>
      </c>
      <c r="D225" s="7">
        <v>0</v>
      </c>
      <c r="E225" s="3">
        <f t="shared" si="78"/>
        <v>1</v>
      </c>
      <c r="F225" s="3" t="s">
        <v>867</v>
      </c>
      <c r="G225" s="77"/>
      <c r="H225" s="5" t="s">
        <v>1</v>
      </c>
      <c r="I225" s="78">
        <f t="shared" si="79"/>
        <v>0</v>
      </c>
      <c r="J225" s="110">
        <f t="shared" si="80"/>
        <v>75</v>
      </c>
      <c r="K225" s="4">
        <v>360</v>
      </c>
      <c r="L225" s="5" t="s">
        <v>1</v>
      </c>
      <c r="M225" s="80">
        <f t="shared" si="81"/>
        <v>360</v>
      </c>
      <c r="N225" s="78">
        <f t="shared" si="82"/>
        <v>27000</v>
      </c>
      <c r="O225" s="188">
        <f t="shared" si="83"/>
        <v>27000</v>
      </c>
    </row>
    <row r="226" spans="1:15" x14ac:dyDescent="0.25">
      <c r="A226" s="31"/>
      <c r="B226" s="4" t="s">
        <v>1758</v>
      </c>
      <c r="C226" s="5">
        <v>1</v>
      </c>
      <c r="D226" s="7">
        <v>0</v>
      </c>
      <c r="E226" s="3">
        <f t="shared" si="78"/>
        <v>1</v>
      </c>
      <c r="F226" s="3" t="s">
        <v>867</v>
      </c>
      <c r="G226" s="77"/>
      <c r="H226" s="5" t="s">
        <v>1</v>
      </c>
      <c r="I226" s="78">
        <f t="shared" si="79"/>
        <v>0</v>
      </c>
      <c r="J226" s="110">
        <f t="shared" si="80"/>
        <v>75</v>
      </c>
      <c r="K226" s="4">
        <v>396</v>
      </c>
      <c r="L226" s="5" t="s">
        <v>1</v>
      </c>
      <c r="M226" s="80">
        <f t="shared" si="81"/>
        <v>396</v>
      </c>
      <c r="N226" s="78">
        <f t="shared" si="82"/>
        <v>29700</v>
      </c>
      <c r="O226" s="188">
        <f t="shared" si="83"/>
        <v>29700</v>
      </c>
    </row>
    <row r="227" spans="1:15" x14ac:dyDescent="0.25">
      <c r="A227" s="31"/>
      <c r="B227" s="4" t="s">
        <v>1757</v>
      </c>
      <c r="C227" s="5">
        <v>1</v>
      </c>
      <c r="D227" s="7">
        <v>0</v>
      </c>
      <c r="E227" s="3">
        <f t="shared" si="78"/>
        <v>1</v>
      </c>
      <c r="F227" s="3" t="s">
        <v>867</v>
      </c>
      <c r="G227" s="77"/>
      <c r="H227" s="5" t="s">
        <v>1</v>
      </c>
      <c r="I227" s="78">
        <f t="shared" si="79"/>
        <v>0</v>
      </c>
      <c r="J227" s="110">
        <f t="shared" si="80"/>
        <v>75</v>
      </c>
      <c r="K227" s="4">
        <v>432</v>
      </c>
      <c r="L227" s="5" t="s">
        <v>1</v>
      </c>
      <c r="M227" s="80">
        <f t="shared" si="81"/>
        <v>432</v>
      </c>
      <c r="N227" s="78">
        <f t="shared" si="82"/>
        <v>32400</v>
      </c>
      <c r="O227" s="188">
        <f t="shared" si="83"/>
        <v>32400</v>
      </c>
    </row>
    <row r="228" spans="1:15" x14ac:dyDescent="0.25">
      <c r="A228" s="31"/>
      <c r="B228" s="4" t="s">
        <v>1756</v>
      </c>
      <c r="C228" s="5">
        <v>1</v>
      </c>
      <c r="D228" s="7">
        <v>0</v>
      </c>
      <c r="E228" s="3">
        <f t="shared" si="78"/>
        <v>1</v>
      </c>
      <c r="F228" s="3" t="s">
        <v>867</v>
      </c>
      <c r="G228" s="77"/>
      <c r="H228" s="5" t="s">
        <v>1</v>
      </c>
      <c r="I228" s="78">
        <f t="shared" si="79"/>
        <v>0</v>
      </c>
      <c r="J228" s="110">
        <f t="shared" si="80"/>
        <v>75</v>
      </c>
      <c r="K228" s="4">
        <v>468</v>
      </c>
      <c r="L228" s="5" t="s">
        <v>1</v>
      </c>
      <c r="M228" s="80">
        <f t="shared" si="81"/>
        <v>468</v>
      </c>
      <c r="N228" s="78">
        <f t="shared" si="82"/>
        <v>35100</v>
      </c>
      <c r="O228" s="188">
        <f t="shared" si="83"/>
        <v>35100</v>
      </c>
    </row>
    <row r="229" spans="1:15" x14ac:dyDescent="0.25">
      <c r="A229" s="31"/>
      <c r="B229" s="4" t="s">
        <v>1755</v>
      </c>
      <c r="C229" s="5">
        <v>1</v>
      </c>
      <c r="D229" s="7">
        <v>0</v>
      </c>
      <c r="E229" s="3">
        <f t="shared" si="78"/>
        <v>1</v>
      </c>
      <c r="F229" s="3" t="s">
        <v>867</v>
      </c>
      <c r="G229" s="77"/>
      <c r="H229" s="5" t="s">
        <v>1</v>
      </c>
      <c r="I229" s="78">
        <f t="shared" si="79"/>
        <v>0</v>
      </c>
      <c r="J229" s="110">
        <f t="shared" si="80"/>
        <v>75</v>
      </c>
      <c r="K229" s="4">
        <v>504</v>
      </c>
      <c r="L229" s="5" t="s">
        <v>1</v>
      </c>
      <c r="M229" s="80">
        <f t="shared" si="81"/>
        <v>504</v>
      </c>
      <c r="N229" s="78">
        <f t="shared" si="82"/>
        <v>37800</v>
      </c>
      <c r="O229" s="188">
        <f t="shared" si="83"/>
        <v>37800</v>
      </c>
    </row>
    <row r="230" spans="1:15" x14ac:dyDescent="0.25">
      <c r="A230" s="31"/>
      <c r="B230" s="4" t="s">
        <v>1754</v>
      </c>
      <c r="C230" s="5">
        <v>1</v>
      </c>
      <c r="D230" s="7">
        <v>0</v>
      </c>
      <c r="E230" s="3">
        <f t="shared" si="78"/>
        <v>1</v>
      </c>
      <c r="F230" s="3" t="s">
        <v>867</v>
      </c>
      <c r="G230" s="77"/>
      <c r="H230" s="5" t="s">
        <v>1</v>
      </c>
      <c r="I230" s="78">
        <f t="shared" si="79"/>
        <v>0</v>
      </c>
      <c r="J230" s="110">
        <f t="shared" si="80"/>
        <v>75</v>
      </c>
      <c r="K230" s="4">
        <v>540</v>
      </c>
      <c r="L230" s="5" t="s">
        <v>1</v>
      </c>
      <c r="M230" s="80">
        <f t="shared" si="81"/>
        <v>540</v>
      </c>
      <c r="N230" s="78">
        <f t="shared" si="82"/>
        <v>40500</v>
      </c>
      <c r="O230" s="188">
        <f t="shared" si="83"/>
        <v>40500</v>
      </c>
    </row>
    <row r="231" spans="1:15" x14ac:dyDescent="0.25">
      <c r="A231" s="31"/>
      <c r="B231" s="4" t="s">
        <v>1753</v>
      </c>
      <c r="C231" s="5">
        <v>1</v>
      </c>
      <c r="D231" s="7">
        <v>0</v>
      </c>
      <c r="E231" s="3">
        <f t="shared" si="78"/>
        <v>1</v>
      </c>
      <c r="F231" s="3" t="s">
        <v>867</v>
      </c>
      <c r="G231" s="77"/>
      <c r="H231" s="5" t="s">
        <v>1</v>
      </c>
      <c r="I231" s="78">
        <f t="shared" si="79"/>
        <v>0</v>
      </c>
      <c r="J231" s="110">
        <f t="shared" si="80"/>
        <v>75</v>
      </c>
      <c r="K231" s="4">
        <v>576</v>
      </c>
      <c r="L231" s="5" t="s">
        <v>1</v>
      </c>
      <c r="M231" s="80">
        <f t="shared" si="81"/>
        <v>576</v>
      </c>
      <c r="N231" s="78">
        <f t="shared" si="82"/>
        <v>43200</v>
      </c>
      <c r="O231" s="188">
        <f t="shared" si="83"/>
        <v>43200</v>
      </c>
    </row>
    <row r="232" spans="1:15" x14ac:dyDescent="0.25">
      <c r="A232" s="31"/>
      <c r="B232" s="4" t="s">
        <v>1752</v>
      </c>
      <c r="C232" s="5">
        <v>1</v>
      </c>
      <c r="D232" s="7">
        <v>0</v>
      </c>
      <c r="E232" s="3">
        <f t="shared" si="78"/>
        <v>1</v>
      </c>
      <c r="F232" s="3" t="s">
        <v>867</v>
      </c>
      <c r="G232" s="77"/>
      <c r="H232" s="5" t="s">
        <v>1</v>
      </c>
      <c r="I232" s="78">
        <f t="shared" si="79"/>
        <v>0</v>
      </c>
      <c r="J232" s="110">
        <f t="shared" si="80"/>
        <v>75</v>
      </c>
      <c r="K232" s="4">
        <v>612</v>
      </c>
      <c r="L232" s="5" t="s">
        <v>1</v>
      </c>
      <c r="M232" s="80">
        <f t="shared" si="81"/>
        <v>612</v>
      </c>
      <c r="N232" s="78">
        <f t="shared" si="82"/>
        <v>45900</v>
      </c>
      <c r="O232" s="188">
        <f t="shared" si="83"/>
        <v>45900</v>
      </c>
    </row>
    <row r="233" spans="1:15" x14ac:dyDescent="0.25">
      <c r="A233" s="31"/>
      <c r="B233" s="4" t="s">
        <v>1751</v>
      </c>
      <c r="C233" s="5">
        <v>1</v>
      </c>
      <c r="D233" s="7">
        <v>0</v>
      </c>
      <c r="E233" s="3">
        <f t="shared" si="78"/>
        <v>1</v>
      </c>
      <c r="F233" s="3" t="s">
        <v>867</v>
      </c>
      <c r="G233" s="77"/>
      <c r="H233" s="5" t="s">
        <v>1</v>
      </c>
      <c r="I233" s="78">
        <f t="shared" si="79"/>
        <v>0</v>
      </c>
      <c r="J233" s="110">
        <f t="shared" si="80"/>
        <v>75</v>
      </c>
      <c r="K233" s="4">
        <v>648</v>
      </c>
      <c r="L233" s="5" t="s">
        <v>1</v>
      </c>
      <c r="M233" s="80">
        <f t="shared" si="81"/>
        <v>648</v>
      </c>
      <c r="N233" s="78">
        <f t="shared" si="82"/>
        <v>48600</v>
      </c>
      <c r="O233" s="188">
        <f t="shared" si="83"/>
        <v>48600</v>
      </c>
    </row>
    <row r="234" spans="1:15" x14ac:dyDescent="0.25">
      <c r="A234" s="31"/>
      <c r="B234" s="4" t="s">
        <v>1750</v>
      </c>
      <c r="C234" s="5">
        <v>1</v>
      </c>
      <c r="D234" s="7">
        <v>0</v>
      </c>
      <c r="E234" s="3">
        <f t="shared" si="78"/>
        <v>1</v>
      </c>
      <c r="F234" s="3" t="s">
        <v>867</v>
      </c>
      <c r="G234" s="77"/>
      <c r="H234" s="5" t="s">
        <v>1</v>
      </c>
      <c r="I234" s="78">
        <f t="shared" si="79"/>
        <v>0</v>
      </c>
      <c r="J234" s="110">
        <f t="shared" si="80"/>
        <v>75</v>
      </c>
      <c r="K234" s="4">
        <v>684</v>
      </c>
      <c r="L234" s="5" t="s">
        <v>1</v>
      </c>
      <c r="M234" s="80">
        <f t="shared" si="81"/>
        <v>684</v>
      </c>
      <c r="N234" s="78">
        <f t="shared" si="82"/>
        <v>51300</v>
      </c>
      <c r="O234" s="188">
        <f t="shared" si="83"/>
        <v>51300</v>
      </c>
    </row>
    <row r="235" spans="1:15" x14ac:dyDescent="0.25">
      <c r="A235" s="31"/>
      <c r="B235" s="4" t="s">
        <v>1749</v>
      </c>
      <c r="C235" s="5">
        <v>1</v>
      </c>
      <c r="D235" s="7">
        <v>0</v>
      </c>
      <c r="E235" s="3">
        <f t="shared" si="78"/>
        <v>1</v>
      </c>
      <c r="F235" s="3" t="s">
        <v>867</v>
      </c>
      <c r="G235" s="77"/>
      <c r="H235" s="5" t="s">
        <v>1</v>
      </c>
      <c r="I235" s="78">
        <f t="shared" si="79"/>
        <v>0</v>
      </c>
      <c r="J235" s="110">
        <f t="shared" si="80"/>
        <v>75</v>
      </c>
      <c r="K235" s="4">
        <v>720</v>
      </c>
      <c r="L235" s="5" t="s">
        <v>1</v>
      </c>
      <c r="M235" s="80">
        <f t="shared" si="81"/>
        <v>720</v>
      </c>
      <c r="N235" s="78">
        <f t="shared" si="82"/>
        <v>54000</v>
      </c>
      <c r="O235" s="188">
        <f t="shared" si="83"/>
        <v>54000</v>
      </c>
    </row>
    <row r="236" spans="1:15" ht="15.75" thickBot="1" x14ac:dyDescent="0.3">
      <c r="A236" s="53"/>
      <c r="B236" s="54"/>
      <c r="C236" s="55"/>
      <c r="D236" s="55"/>
      <c r="E236" s="55"/>
      <c r="F236" s="55"/>
      <c r="G236" s="56"/>
      <c r="H236" s="56"/>
      <c r="I236" s="56"/>
      <c r="J236" s="56"/>
      <c r="K236" s="57"/>
      <c r="L236" s="55"/>
      <c r="M236" s="57"/>
      <c r="N236" s="56"/>
      <c r="O236" s="188"/>
    </row>
    <row r="237" spans="1:15" ht="15.75" thickBot="1" x14ac:dyDescent="0.3">
      <c r="A237" s="31"/>
      <c r="B237" s="145" t="s">
        <v>1748</v>
      </c>
      <c r="C237" s="5"/>
      <c r="D237" s="7"/>
      <c r="E237" s="3"/>
      <c r="F237" s="3"/>
      <c r="G237" s="77"/>
      <c r="H237" s="5"/>
      <c r="I237" s="78"/>
      <c r="J237" s="110"/>
      <c r="K237" s="4"/>
      <c r="L237" s="5"/>
      <c r="M237" s="80"/>
      <c r="N237" s="78"/>
      <c r="O237" s="188"/>
    </row>
    <row r="238" spans="1:15" x14ac:dyDescent="0.25">
      <c r="A238" s="31">
        <v>1</v>
      </c>
      <c r="B238" s="4" t="s">
        <v>1747</v>
      </c>
      <c r="C238" s="5">
        <v>1</v>
      </c>
      <c r="D238" s="7">
        <v>0</v>
      </c>
      <c r="E238" s="3">
        <f t="shared" ref="E238:E257" si="84">C238+(C238*D238)</f>
        <v>1</v>
      </c>
      <c r="F238" s="3" t="s">
        <v>867</v>
      </c>
      <c r="G238" s="77"/>
      <c r="H238" s="5" t="s">
        <v>1</v>
      </c>
      <c r="I238" s="78">
        <f t="shared" ref="I238:I257" si="85">IF(H238="C",(G238/100)*E238,IF(H238="M",(G238/1000)*E238,G238*E238))</f>
        <v>0</v>
      </c>
      <c r="J238" s="110">
        <f t="shared" ref="J238:J257" si="86">$O$4</f>
        <v>75</v>
      </c>
      <c r="K238" s="4">
        <v>8</v>
      </c>
      <c r="L238" s="5" t="s">
        <v>1</v>
      </c>
      <c r="M238" s="80">
        <f t="shared" ref="M238:M257" si="87">IF(L238="C",(K238/100)*E238,IF(L238="M",(K238/1000)*E238,K238*E238))</f>
        <v>8</v>
      </c>
      <c r="N238" s="78">
        <f t="shared" ref="N238:N257" si="88">M238*J238</f>
        <v>600</v>
      </c>
      <c r="O238" s="188">
        <f t="shared" ref="O238:O257" si="89">N238+I238</f>
        <v>600</v>
      </c>
    </row>
    <row r="239" spans="1:15" x14ac:dyDescent="0.25">
      <c r="A239" s="31"/>
      <c r="B239" s="4" t="s">
        <v>1746</v>
      </c>
      <c r="C239" s="5">
        <v>1</v>
      </c>
      <c r="D239" s="7">
        <v>0</v>
      </c>
      <c r="E239" s="3">
        <f t="shared" si="84"/>
        <v>1</v>
      </c>
      <c r="F239" s="3" t="s">
        <v>867</v>
      </c>
      <c r="G239" s="77"/>
      <c r="H239" s="5" t="s">
        <v>1</v>
      </c>
      <c r="I239" s="78">
        <f t="shared" si="85"/>
        <v>0</v>
      </c>
      <c r="J239" s="110">
        <f t="shared" si="86"/>
        <v>75</v>
      </c>
      <c r="K239" s="4">
        <v>16</v>
      </c>
      <c r="L239" s="5" t="s">
        <v>1</v>
      </c>
      <c r="M239" s="80">
        <f t="shared" si="87"/>
        <v>16</v>
      </c>
      <c r="N239" s="78">
        <f t="shared" si="88"/>
        <v>1200</v>
      </c>
      <c r="O239" s="188">
        <f t="shared" si="89"/>
        <v>1200</v>
      </c>
    </row>
    <row r="240" spans="1:15" x14ac:dyDescent="0.25">
      <c r="A240" s="31"/>
      <c r="B240" s="4" t="s">
        <v>1745</v>
      </c>
      <c r="C240" s="5">
        <v>1</v>
      </c>
      <c r="D240" s="7">
        <v>0</v>
      </c>
      <c r="E240" s="3">
        <f t="shared" si="84"/>
        <v>1</v>
      </c>
      <c r="F240" s="3" t="s">
        <v>867</v>
      </c>
      <c r="G240" s="77"/>
      <c r="H240" s="5" t="s">
        <v>1</v>
      </c>
      <c r="I240" s="78">
        <f t="shared" si="85"/>
        <v>0</v>
      </c>
      <c r="J240" s="110">
        <f t="shared" si="86"/>
        <v>75</v>
      </c>
      <c r="K240" s="4">
        <v>24</v>
      </c>
      <c r="L240" s="5" t="s">
        <v>1</v>
      </c>
      <c r="M240" s="80">
        <f t="shared" si="87"/>
        <v>24</v>
      </c>
      <c r="N240" s="78">
        <f t="shared" si="88"/>
        <v>1800</v>
      </c>
      <c r="O240" s="188">
        <f t="shared" si="89"/>
        <v>1800</v>
      </c>
    </row>
    <row r="241" spans="1:15" x14ac:dyDescent="0.25">
      <c r="A241" s="31"/>
      <c r="B241" s="4" t="s">
        <v>1744</v>
      </c>
      <c r="C241" s="5">
        <v>1</v>
      </c>
      <c r="D241" s="7">
        <v>0</v>
      </c>
      <c r="E241" s="3">
        <f t="shared" si="84"/>
        <v>1</v>
      </c>
      <c r="F241" s="3" t="s">
        <v>867</v>
      </c>
      <c r="G241" s="77"/>
      <c r="H241" s="5" t="s">
        <v>1</v>
      </c>
      <c r="I241" s="78">
        <f t="shared" si="85"/>
        <v>0</v>
      </c>
      <c r="J241" s="110">
        <f t="shared" si="86"/>
        <v>75</v>
      </c>
      <c r="K241" s="4">
        <v>32</v>
      </c>
      <c r="L241" s="5" t="s">
        <v>1</v>
      </c>
      <c r="M241" s="80">
        <f t="shared" si="87"/>
        <v>32</v>
      </c>
      <c r="N241" s="78">
        <f t="shared" si="88"/>
        <v>2400</v>
      </c>
      <c r="O241" s="188">
        <f t="shared" si="89"/>
        <v>2400</v>
      </c>
    </row>
    <row r="242" spans="1:15" x14ac:dyDescent="0.25">
      <c r="A242" s="31"/>
      <c r="B242" s="4" t="s">
        <v>1743</v>
      </c>
      <c r="C242" s="5">
        <v>1</v>
      </c>
      <c r="D242" s="7">
        <v>0</v>
      </c>
      <c r="E242" s="3">
        <f t="shared" si="84"/>
        <v>1</v>
      </c>
      <c r="F242" s="3" t="s">
        <v>867</v>
      </c>
      <c r="G242" s="77"/>
      <c r="H242" s="5" t="s">
        <v>1</v>
      </c>
      <c r="I242" s="78">
        <f t="shared" si="85"/>
        <v>0</v>
      </c>
      <c r="J242" s="110">
        <f t="shared" si="86"/>
        <v>75</v>
      </c>
      <c r="K242" s="4">
        <v>40</v>
      </c>
      <c r="L242" s="5" t="s">
        <v>1</v>
      </c>
      <c r="M242" s="80">
        <f t="shared" si="87"/>
        <v>40</v>
      </c>
      <c r="N242" s="78">
        <f t="shared" si="88"/>
        <v>3000</v>
      </c>
      <c r="O242" s="188">
        <f t="shared" si="89"/>
        <v>3000</v>
      </c>
    </row>
    <row r="243" spans="1:15" x14ac:dyDescent="0.25">
      <c r="A243" s="31"/>
      <c r="B243" s="4" t="s">
        <v>1742</v>
      </c>
      <c r="C243" s="5">
        <v>1</v>
      </c>
      <c r="D243" s="7">
        <v>0</v>
      </c>
      <c r="E243" s="3">
        <f t="shared" si="84"/>
        <v>1</v>
      </c>
      <c r="F243" s="3" t="s">
        <v>867</v>
      </c>
      <c r="G243" s="77"/>
      <c r="H243" s="5" t="s">
        <v>1</v>
      </c>
      <c r="I243" s="78">
        <f t="shared" si="85"/>
        <v>0</v>
      </c>
      <c r="J243" s="110">
        <f t="shared" si="86"/>
        <v>75</v>
      </c>
      <c r="K243" s="4">
        <v>48</v>
      </c>
      <c r="L243" s="5" t="s">
        <v>1</v>
      </c>
      <c r="M243" s="80">
        <f t="shared" si="87"/>
        <v>48</v>
      </c>
      <c r="N243" s="78">
        <f t="shared" si="88"/>
        <v>3600</v>
      </c>
      <c r="O243" s="188">
        <f t="shared" si="89"/>
        <v>3600</v>
      </c>
    </row>
    <row r="244" spans="1:15" x14ac:dyDescent="0.25">
      <c r="A244" s="31"/>
      <c r="B244" s="4" t="s">
        <v>1741</v>
      </c>
      <c r="C244" s="5">
        <v>1</v>
      </c>
      <c r="D244" s="7">
        <v>0</v>
      </c>
      <c r="E244" s="3">
        <f t="shared" si="84"/>
        <v>1</v>
      </c>
      <c r="F244" s="3" t="s">
        <v>867</v>
      </c>
      <c r="G244" s="77"/>
      <c r="H244" s="5" t="s">
        <v>1</v>
      </c>
      <c r="I244" s="78">
        <f t="shared" si="85"/>
        <v>0</v>
      </c>
      <c r="J244" s="110">
        <f t="shared" si="86"/>
        <v>75</v>
      </c>
      <c r="K244" s="4">
        <v>56</v>
      </c>
      <c r="L244" s="5" t="s">
        <v>1</v>
      </c>
      <c r="M244" s="80">
        <f t="shared" si="87"/>
        <v>56</v>
      </c>
      <c r="N244" s="78">
        <f t="shared" si="88"/>
        <v>4200</v>
      </c>
      <c r="O244" s="188">
        <f t="shared" si="89"/>
        <v>4200</v>
      </c>
    </row>
    <row r="245" spans="1:15" x14ac:dyDescent="0.25">
      <c r="A245" s="31"/>
      <c r="B245" s="4" t="s">
        <v>1740</v>
      </c>
      <c r="C245" s="5">
        <v>1</v>
      </c>
      <c r="D245" s="7">
        <v>0</v>
      </c>
      <c r="E245" s="3">
        <f t="shared" si="84"/>
        <v>1</v>
      </c>
      <c r="F245" s="3" t="s">
        <v>867</v>
      </c>
      <c r="G245" s="77"/>
      <c r="H245" s="5" t="s">
        <v>1</v>
      </c>
      <c r="I245" s="78">
        <f t="shared" si="85"/>
        <v>0</v>
      </c>
      <c r="J245" s="110">
        <f t="shared" si="86"/>
        <v>75</v>
      </c>
      <c r="K245" s="4">
        <v>64</v>
      </c>
      <c r="L245" s="5" t="s">
        <v>1</v>
      </c>
      <c r="M245" s="80">
        <f t="shared" si="87"/>
        <v>64</v>
      </c>
      <c r="N245" s="78">
        <f t="shared" si="88"/>
        <v>4800</v>
      </c>
      <c r="O245" s="188">
        <f t="shared" si="89"/>
        <v>4800</v>
      </c>
    </row>
    <row r="246" spans="1:15" x14ac:dyDescent="0.25">
      <c r="A246" s="31"/>
      <c r="B246" s="4" t="s">
        <v>1739</v>
      </c>
      <c r="C246" s="5">
        <v>1</v>
      </c>
      <c r="D246" s="7">
        <v>0</v>
      </c>
      <c r="E246" s="3">
        <f t="shared" si="84"/>
        <v>1</v>
      </c>
      <c r="F246" s="3" t="s">
        <v>867</v>
      </c>
      <c r="G246" s="77"/>
      <c r="H246" s="5" t="s">
        <v>1</v>
      </c>
      <c r="I246" s="78">
        <f t="shared" si="85"/>
        <v>0</v>
      </c>
      <c r="J246" s="110">
        <f t="shared" si="86"/>
        <v>75</v>
      </c>
      <c r="K246" s="4">
        <v>72</v>
      </c>
      <c r="L246" s="5" t="s">
        <v>1</v>
      </c>
      <c r="M246" s="80">
        <f t="shared" si="87"/>
        <v>72</v>
      </c>
      <c r="N246" s="78">
        <f t="shared" si="88"/>
        <v>5400</v>
      </c>
      <c r="O246" s="188">
        <f t="shared" si="89"/>
        <v>5400</v>
      </c>
    </row>
    <row r="247" spans="1:15" x14ac:dyDescent="0.25">
      <c r="A247" s="60"/>
      <c r="B247" s="8" t="s">
        <v>1738</v>
      </c>
      <c r="C247" s="5">
        <v>1</v>
      </c>
      <c r="D247" s="7">
        <v>0</v>
      </c>
      <c r="E247" s="3">
        <f t="shared" si="84"/>
        <v>1</v>
      </c>
      <c r="F247" s="3" t="s">
        <v>867</v>
      </c>
      <c r="G247" s="77"/>
      <c r="H247" s="5" t="s">
        <v>1</v>
      </c>
      <c r="I247" s="78">
        <f t="shared" si="85"/>
        <v>0</v>
      </c>
      <c r="J247" s="110">
        <f t="shared" si="86"/>
        <v>75</v>
      </c>
      <c r="K247" s="4">
        <v>80</v>
      </c>
      <c r="L247" s="5" t="s">
        <v>1</v>
      </c>
      <c r="M247" s="80">
        <f t="shared" si="87"/>
        <v>80</v>
      </c>
      <c r="N247" s="78">
        <f t="shared" si="88"/>
        <v>6000</v>
      </c>
      <c r="O247" s="188">
        <f t="shared" si="89"/>
        <v>6000</v>
      </c>
    </row>
    <row r="248" spans="1:15" x14ac:dyDescent="0.25">
      <c r="A248" s="31"/>
      <c r="B248" s="4" t="s">
        <v>1737</v>
      </c>
      <c r="C248" s="5">
        <v>1</v>
      </c>
      <c r="D248" s="7">
        <v>0</v>
      </c>
      <c r="E248" s="3">
        <f t="shared" si="84"/>
        <v>1</v>
      </c>
      <c r="F248" s="3" t="s">
        <v>867</v>
      </c>
      <c r="G248" s="77"/>
      <c r="H248" s="5" t="s">
        <v>1</v>
      </c>
      <c r="I248" s="78">
        <f t="shared" si="85"/>
        <v>0</v>
      </c>
      <c r="J248" s="110">
        <f t="shared" si="86"/>
        <v>75</v>
      </c>
      <c r="K248" s="4">
        <v>88</v>
      </c>
      <c r="L248" s="5" t="s">
        <v>1</v>
      </c>
      <c r="M248" s="80">
        <f t="shared" si="87"/>
        <v>88</v>
      </c>
      <c r="N248" s="78">
        <f t="shared" si="88"/>
        <v>6600</v>
      </c>
      <c r="O248" s="188">
        <f t="shared" si="89"/>
        <v>6600</v>
      </c>
    </row>
    <row r="249" spans="1:15" x14ac:dyDescent="0.25">
      <c r="A249" s="31"/>
      <c r="B249" s="4" t="s">
        <v>1736</v>
      </c>
      <c r="C249" s="5">
        <v>1</v>
      </c>
      <c r="D249" s="7">
        <v>0</v>
      </c>
      <c r="E249" s="3">
        <f t="shared" si="84"/>
        <v>1</v>
      </c>
      <c r="F249" s="3" t="s">
        <v>867</v>
      </c>
      <c r="G249" s="77"/>
      <c r="H249" s="5" t="s">
        <v>1</v>
      </c>
      <c r="I249" s="78">
        <f t="shared" si="85"/>
        <v>0</v>
      </c>
      <c r="J249" s="110">
        <f t="shared" si="86"/>
        <v>75</v>
      </c>
      <c r="K249" s="4">
        <v>96</v>
      </c>
      <c r="L249" s="5" t="s">
        <v>1</v>
      </c>
      <c r="M249" s="80">
        <f t="shared" si="87"/>
        <v>96</v>
      </c>
      <c r="N249" s="78">
        <f t="shared" si="88"/>
        <v>7200</v>
      </c>
      <c r="O249" s="188">
        <f t="shared" si="89"/>
        <v>7200</v>
      </c>
    </row>
    <row r="250" spans="1:15" x14ac:dyDescent="0.25">
      <c r="A250" s="31"/>
      <c r="B250" s="4" t="s">
        <v>1735</v>
      </c>
      <c r="C250" s="5">
        <v>1</v>
      </c>
      <c r="D250" s="7">
        <v>0</v>
      </c>
      <c r="E250" s="3">
        <f t="shared" si="84"/>
        <v>1</v>
      </c>
      <c r="F250" s="3" t="s">
        <v>867</v>
      </c>
      <c r="G250" s="77"/>
      <c r="H250" s="5" t="s">
        <v>1</v>
      </c>
      <c r="I250" s="78">
        <f t="shared" si="85"/>
        <v>0</v>
      </c>
      <c r="J250" s="110">
        <f t="shared" si="86"/>
        <v>75</v>
      </c>
      <c r="K250" s="4">
        <v>104</v>
      </c>
      <c r="L250" s="5" t="s">
        <v>1</v>
      </c>
      <c r="M250" s="80">
        <f t="shared" si="87"/>
        <v>104</v>
      </c>
      <c r="N250" s="78">
        <f t="shared" si="88"/>
        <v>7800</v>
      </c>
      <c r="O250" s="188">
        <f t="shared" si="89"/>
        <v>7800</v>
      </c>
    </row>
    <row r="251" spans="1:15" x14ac:dyDescent="0.25">
      <c r="A251" s="31"/>
      <c r="B251" s="4" t="s">
        <v>1734</v>
      </c>
      <c r="C251" s="5">
        <v>1</v>
      </c>
      <c r="D251" s="7">
        <v>0</v>
      </c>
      <c r="E251" s="3">
        <f t="shared" si="84"/>
        <v>1</v>
      </c>
      <c r="F251" s="3" t="s">
        <v>867</v>
      </c>
      <c r="G251" s="77"/>
      <c r="H251" s="5" t="s">
        <v>1</v>
      </c>
      <c r="I251" s="78">
        <f t="shared" si="85"/>
        <v>0</v>
      </c>
      <c r="J251" s="110">
        <f t="shared" si="86"/>
        <v>75</v>
      </c>
      <c r="K251" s="4">
        <v>112</v>
      </c>
      <c r="L251" s="5" t="s">
        <v>1</v>
      </c>
      <c r="M251" s="80">
        <f t="shared" si="87"/>
        <v>112</v>
      </c>
      <c r="N251" s="78">
        <f t="shared" si="88"/>
        <v>8400</v>
      </c>
      <c r="O251" s="188">
        <f t="shared" si="89"/>
        <v>8400</v>
      </c>
    </row>
    <row r="252" spans="1:15" x14ac:dyDescent="0.25">
      <c r="A252" s="31"/>
      <c r="B252" s="4" t="s">
        <v>1733</v>
      </c>
      <c r="C252" s="5">
        <v>1</v>
      </c>
      <c r="D252" s="7">
        <v>0</v>
      </c>
      <c r="E252" s="3">
        <f t="shared" si="84"/>
        <v>1</v>
      </c>
      <c r="F252" s="3" t="s">
        <v>867</v>
      </c>
      <c r="G252" s="77"/>
      <c r="H252" s="5" t="s">
        <v>1</v>
      </c>
      <c r="I252" s="78">
        <f t="shared" si="85"/>
        <v>0</v>
      </c>
      <c r="J252" s="110">
        <f t="shared" si="86"/>
        <v>75</v>
      </c>
      <c r="K252" s="4">
        <v>120</v>
      </c>
      <c r="L252" s="5" t="s">
        <v>1</v>
      </c>
      <c r="M252" s="80">
        <f t="shared" si="87"/>
        <v>120</v>
      </c>
      <c r="N252" s="78">
        <f t="shared" si="88"/>
        <v>9000</v>
      </c>
      <c r="O252" s="188">
        <f t="shared" si="89"/>
        <v>9000</v>
      </c>
    </row>
    <row r="253" spans="1:15" x14ac:dyDescent="0.25">
      <c r="A253" s="31"/>
      <c r="B253" s="4" t="s">
        <v>1732</v>
      </c>
      <c r="C253" s="5">
        <v>1</v>
      </c>
      <c r="D253" s="7">
        <v>0</v>
      </c>
      <c r="E253" s="3">
        <f t="shared" si="84"/>
        <v>1</v>
      </c>
      <c r="F253" s="3" t="s">
        <v>867</v>
      </c>
      <c r="G253" s="77"/>
      <c r="H253" s="5" t="s">
        <v>1</v>
      </c>
      <c r="I253" s="78">
        <f t="shared" si="85"/>
        <v>0</v>
      </c>
      <c r="J253" s="110">
        <f t="shared" si="86"/>
        <v>75</v>
      </c>
      <c r="K253" s="4">
        <v>128</v>
      </c>
      <c r="L253" s="5" t="s">
        <v>1</v>
      </c>
      <c r="M253" s="80">
        <f t="shared" si="87"/>
        <v>128</v>
      </c>
      <c r="N253" s="78">
        <f t="shared" si="88"/>
        <v>9600</v>
      </c>
      <c r="O253" s="188">
        <f t="shared" si="89"/>
        <v>9600</v>
      </c>
    </row>
    <row r="254" spans="1:15" x14ac:dyDescent="0.25">
      <c r="A254" s="31"/>
      <c r="B254" s="4" t="s">
        <v>1731</v>
      </c>
      <c r="C254" s="5">
        <v>1</v>
      </c>
      <c r="D254" s="7">
        <v>0</v>
      </c>
      <c r="E254" s="3">
        <f t="shared" si="84"/>
        <v>1</v>
      </c>
      <c r="F254" s="3" t="s">
        <v>867</v>
      </c>
      <c r="G254" s="77"/>
      <c r="H254" s="5" t="s">
        <v>1</v>
      </c>
      <c r="I254" s="78">
        <f t="shared" si="85"/>
        <v>0</v>
      </c>
      <c r="J254" s="110">
        <f t="shared" si="86"/>
        <v>75</v>
      </c>
      <c r="K254" s="4">
        <v>136</v>
      </c>
      <c r="L254" s="5" t="s">
        <v>1</v>
      </c>
      <c r="M254" s="80">
        <f t="shared" si="87"/>
        <v>136</v>
      </c>
      <c r="N254" s="78">
        <f t="shared" si="88"/>
        <v>10200</v>
      </c>
      <c r="O254" s="188">
        <f t="shared" si="89"/>
        <v>10200</v>
      </c>
    </row>
    <row r="255" spans="1:15" x14ac:dyDescent="0.25">
      <c r="A255" s="31"/>
      <c r="B255" s="4" t="s">
        <v>1730</v>
      </c>
      <c r="C255" s="5">
        <v>1</v>
      </c>
      <c r="D255" s="7">
        <v>0</v>
      </c>
      <c r="E255" s="3">
        <f t="shared" si="84"/>
        <v>1</v>
      </c>
      <c r="F255" s="3" t="s">
        <v>867</v>
      </c>
      <c r="G255" s="77"/>
      <c r="H255" s="5" t="s">
        <v>1</v>
      </c>
      <c r="I255" s="78">
        <f t="shared" si="85"/>
        <v>0</v>
      </c>
      <c r="J255" s="110">
        <f t="shared" si="86"/>
        <v>75</v>
      </c>
      <c r="K255" s="4">
        <v>144</v>
      </c>
      <c r="L255" s="5" t="s">
        <v>1</v>
      </c>
      <c r="M255" s="80">
        <f t="shared" si="87"/>
        <v>144</v>
      </c>
      <c r="N255" s="78">
        <f t="shared" si="88"/>
        <v>10800</v>
      </c>
      <c r="O255" s="188">
        <f t="shared" si="89"/>
        <v>10800</v>
      </c>
    </row>
    <row r="256" spans="1:15" ht="15" customHeight="1" x14ac:dyDescent="0.25">
      <c r="A256" s="60"/>
      <c r="B256" s="8" t="s">
        <v>1729</v>
      </c>
      <c r="C256" s="5">
        <v>1</v>
      </c>
      <c r="D256" s="7">
        <v>0</v>
      </c>
      <c r="E256" s="3">
        <f t="shared" si="84"/>
        <v>1</v>
      </c>
      <c r="F256" s="3" t="s">
        <v>867</v>
      </c>
      <c r="G256" s="77"/>
      <c r="H256" s="5" t="s">
        <v>1</v>
      </c>
      <c r="I256" s="78">
        <f t="shared" si="85"/>
        <v>0</v>
      </c>
      <c r="J256" s="110">
        <f t="shared" si="86"/>
        <v>75</v>
      </c>
      <c r="K256" s="4">
        <v>152</v>
      </c>
      <c r="L256" s="5" t="s">
        <v>1</v>
      </c>
      <c r="M256" s="80">
        <f t="shared" si="87"/>
        <v>152</v>
      </c>
      <c r="N256" s="78">
        <f t="shared" si="88"/>
        <v>11400</v>
      </c>
      <c r="O256" s="188">
        <f t="shared" si="89"/>
        <v>11400</v>
      </c>
    </row>
    <row r="257" spans="1:15" x14ac:dyDescent="0.25">
      <c r="A257" s="31"/>
      <c r="B257" s="4" t="s">
        <v>1728</v>
      </c>
      <c r="C257" s="5">
        <v>1</v>
      </c>
      <c r="D257" s="7">
        <v>0</v>
      </c>
      <c r="E257" s="3">
        <f t="shared" si="84"/>
        <v>1</v>
      </c>
      <c r="F257" s="3" t="s">
        <v>867</v>
      </c>
      <c r="G257" s="77"/>
      <c r="H257" s="5" t="s">
        <v>1</v>
      </c>
      <c r="I257" s="78">
        <f t="shared" si="85"/>
        <v>0</v>
      </c>
      <c r="J257" s="110">
        <f t="shared" si="86"/>
        <v>75</v>
      </c>
      <c r="K257" s="4">
        <v>160</v>
      </c>
      <c r="L257" s="5" t="s">
        <v>1</v>
      </c>
      <c r="M257" s="80">
        <f t="shared" si="87"/>
        <v>160</v>
      </c>
      <c r="N257" s="78">
        <f t="shared" si="88"/>
        <v>12000</v>
      </c>
      <c r="O257" s="188">
        <f t="shared" si="89"/>
        <v>12000</v>
      </c>
    </row>
    <row r="258" spans="1:15" ht="15.75" thickBot="1" x14ac:dyDescent="0.3">
      <c r="A258" s="53"/>
      <c r="B258" s="54"/>
      <c r="C258" s="55"/>
      <c r="D258" s="55"/>
      <c r="E258" s="55"/>
      <c r="F258" s="55"/>
      <c r="G258" s="56"/>
      <c r="H258" s="56"/>
      <c r="I258" s="56"/>
      <c r="J258" s="56"/>
      <c r="K258" s="57"/>
      <c r="L258" s="55"/>
      <c r="M258" s="57"/>
      <c r="N258" s="56"/>
      <c r="O258" s="188"/>
    </row>
    <row r="259" spans="1:15" ht="15.75" thickBot="1" x14ac:dyDescent="0.3">
      <c r="A259" s="31"/>
      <c r="B259" s="145" t="s">
        <v>1727</v>
      </c>
      <c r="C259" s="5"/>
      <c r="D259" s="7"/>
      <c r="E259" s="3"/>
      <c r="F259" s="3"/>
      <c r="G259" s="77"/>
      <c r="H259" s="5"/>
      <c r="I259" s="78"/>
      <c r="J259" s="110"/>
      <c r="K259" s="4"/>
      <c r="L259" s="5"/>
      <c r="M259" s="80"/>
      <c r="N259" s="78"/>
      <c r="O259" s="188"/>
    </row>
    <row r="260" spans="1:15" x14ac:dyDescent="0.25">
      <c r="A260" s="31">
        <v>1</v>
      </c>
      <c r="B260" s="4" t="s">
        <v>1726</v>
      </c>
      <c r="C260" s="5">
        <v>1</v>
      </c>
      <c r="D260" s="7">
        <v>0</v>
      </c>
      <c r="E260" s="3">
        <f t="shared" ref="E260:E279" si="90">C260+(C260*D260)</f>
        <v>1</v>
      </c>
      <c r="F260" s="3" t="s">
        <v>867</v>
      </c>
      <c r="G260" s="77"/>
      <c r="H260" s="5" t="s">
        <v>1</v>
      </c>
      <c r="I260" s="78">
        <f t="shared" ref="I260:I279" si="91">IF(H260="C",(G260/100)*E260,IF(H260="M",(G260/1000)*E260,G260*E260))</f>
        <v>0</v>
      </c>
      <c r="J260" s="110">
        <f t="shared" ref="J260:J279" si="92">$O$4</f>
        <v>75</v>
      </c>
      <c r="K260" s="4">
        <v>10</v>
      </c>
      <c r="L260" s="5" t="s">
        <v>1</v>
      </c>
      <c r="M260" s="80">
        <f t="shared" ref="M260:M279" si="93">IF(L260="C",(K260/100)*E260,IF(L260="M",(K260/1000)*E260,K260*E260))</f>
        <v>10</v>
      </c>
      <c r="N260" s="78">
        <f t="shared" ref="N260:N279" si="94">M260*J260</f>
        <v>750</v>
      </c>
      <c r="O260" s="188">
        <f t="shared" ref="O260:O279" si="95">N260+I260</f>
        <v>750</v>
      </c>
    </row>
    <row r="261" spans="1:15" x14ac:dyDescent="0.25">
      <c r="A261" s="31"/>
      <c r="B261" s="4" t="s">
        <v>1725</v>
      </c>
      <c r="C261" s="5">
        <v>1</v>
      </c>
      <c r="D261" s="7">
        <v>0</v>
      </c>
      <c r="E261" s="3">
        <f t="shared" si="90"/>
        <v>1</v>
      </c>
      <c r="F261" s="3" t="s">
        <v>867</v>
      </c>
      <c r="G261" s="77"/>
      <c r="H261" s="5" t="s">
        <v>1</v>
      </c>
      <c r="I261" s="78">
        <f t="shared" si="91"/>
        <v>0</v>
      </c>
      <c r="J261" s="110">
        <f t="shared" si="92"/>
        <v>75</v>
      </c>
      <c r="K261" s="4">
        <v>20</v>
      </c>
      <c r="L261" s="5" t="s">
        <v>1</v>
      </c>
      <c r="M261" s="80">
        <f t="shared" si="93"/>
        <v>20</v>
      </c>
      <c r="N261" s="78">
        <f t="shared" si="94"/>
        <v>1500</v>
      </c>
      <c r="O261" s="188">
        <f t="shared" si="95"/>
        <v>1500</v>
      </c>
    </row>
    <row r="262" spans="1:15" x14ac:dyDescent="0.25">
      <c r="A262" s="31"/>
      <c r="B262" s="4" t="s">
        <v>1724</v>
      </c>
      <c r="C262" s="5">
        <v>1</v>
      </c>
      <c r="D262" s="7">
        <v>0</v>
      </c>
      <c r="E262" s="3">
        <f t="shared" si="90"/>
        <v>1</v>
      </c>
      <c r="F262" s="3" t="s">
        <v>867</v>
      </c>
      <c r="G262" s="77"/>
      <c r="H262" s="5" t="s">
        <v>1</v>
      </c>
      <c r="I262" s="78">
        <f t="shared" si="91"/>
        <v>0</v>
      </c>
      <c r="J262" s="110">
        <f t="shared" si="92"/>
        <v>75</v>
      </c>
      <c r="K262" s="4">
        <v>30</v>
      </c>
      <c r="L262" s="5" t="s">
        <v>1</v>
      </c>
      <c r="M262" s="80">
        <f t="shared" si="93"/>
        <v>30</v>
      </c>
      <c r="N262" s="78">
        <f t="shared" si="94"/>
        <v>2250</v>
      </c>
      <c r="O262" s="188">
        <f t="shared" si="95"/>
        <v>2250</v>
      </c>
    </row>
    <row r="263" spans="1:15" x14ac:dyDescent="0.25">
      <c r="A263" s="31"/>
      <c r="B263" s="4" t="s">
        <v>1723</v>
      </c>
      <c r="C263" s="5">
        <v>1</v>
      </c>
      <c r="D263" s="7">
        <v>0</v>
      </c>
      <c r="E263" s="3">
        <f t="shared" si="90"/>
        <v>1</v>
      </c>
      <c r="F263" s="3" t="s">
        <v>867</v>
      </c>
      <c r="G263" s="77"/>
      <c r="H263" s="5" t="s">
        <v>1</v>
      </c>
      <c r="I263" s="78">
        <f t="shared" si="91"/>
        <v>0</v>
      </c>
      <c r="J263" s="110">
        <f t="shared" si="92"/>
        <v>75</v>
      </c>
      <c r="K263" s="4">
        <v>40</v>
      </c>
      <c r="L263" s="5" t="s">
        <v>1</v>
      </c>
      <c r="M263" s="80">
        <f t="shared" si="93"/>
        <v>40</v>
      </c>
      <c r="N263" s="78">
        <f t="shared" si="94"/>
        <v>3000</v>
      </c>
      <c r="O263" s="188">
        <f t="shared" si="95"/>
        <v>3000</v>
      </c>
    </row>
    <row r="264" spans="1:15" x14ac:dyDescent="0.25">
      <c r="A264" s="31"/>
      <c r="B264" s="4" t="s">
        <v>1722</v>
      </c>
      <c r="C264" s="5">
        <v>1</v>
      </c>
      <c r="D264" s="7">
        <v>0</v>
      </c>
      <c r="E264" s="3">
        <f t="shared" si="90"/>
        <v>1</v>
      </c>
      <c r="F264" s="3" t="s">
        <v>867</v>
      </c>
      <c r="G264" s="77"/>
      <c r="H264" s="5" t="s">
        <v>1</v>
      </c>
      <c r="I264" s="78">
        <f t="shared" si="91"/>
        <v>0</v>
      </c>
      <c r="J264" s="110">
        <f t="shared" si="92"/>
        <v>75</v>
      </c>
      <c r="K264" s="4">
        <v>50</v>
      </c>
      <c r="L264" s="5" t="s">
        <v>1</v>
      </c>
      <c r="M264" s="80">
        <f t="shared" si="93"/>
        <v>50</v>
      </c>
      <c r="N264" s="78">
        <f t="shared" si="94"/>
        <v>3750</v>
      </c>
      <c r="O264" s="188">
        <f t="shared" si="95"/>
        <v>3750</v>
      </c>
    </row>
    <row r="265" spans="1:15" x14ac:dyDescent="0.25">
      <c r="A265" s="31"/>
      <c r="B265" s="4" t="s">
        <v>1721</v>
      </c>
      <c r="C265" s="5">
        <v>1</v>
      </c>
      <c r="D265" s="7">
        <v>0</v>
      </c>
      <c r="E265" s="3">
        <f t="shared" si="90"/>
        <v>1</v>
      </c>
      <c r="F265" s="3" t="s">
        <v>867</v>
      </c>
      <c r="G265" s="77"/>
      <c r="H265" s="5" t="s">
        <v>1</v>
      </c>
      <c r="I265" s="78">
        <f t="shared" si="91"/>
        <v>0</v>
      </c>
      <c r="J265" s="110">
        <f t="shared" si="92"/>
        <v>75</v>
      </c>
      <c r="K265" s="4">
        <v>60</v>
      </c>
      <c r="L265" s="5" t="s">
        <v>1</v>
      </c>
      <c r="M265" s="80">
        <f t="shared" si="93"/>
        <v>60</v>
      </c>
      <c r="N265" s="78">
        <f t="shared" si="94"/>
        <v>4500</v>
      </c>
      <c r="O265" s="188">
        <f t="shared" si="95"/>
        <v>4500</v>
      </c>
    </row>
    <row r="266" spans="1:15" x14ac:dyDescent="0.25">
      <c r="A266" s="31"/>
      <c r="B266" s="4" t="s">
        <v>1720</v>
      </c>
      <c r="C266" s="5">
        <v>1</v>
      </c>
      <c r="D266" s="7">
        <v>0</v>
      </c>
      <c r="E266" s="3">
        <f t="shared" si="90"/>
        <v>1</v>
      </c>
      <c r="F266" s="3" t="s">
        <v>867</v>
      </c>
      <c r="G266" s="77"/>
      <c r="H266" s="5" t="s">
        <v>1</v>
      </c>
      <c r="I266" s="78">
        <f t="shared" si="91"/>
        <v>0</v>
      </c>
      <c r="J266" s="110">
        <f t="shared" si="92"/>
        <v>75</v>
      </c>
      <c r="K266" s="4">
        <v>70</v>
      </c>
      <c r="L266" s="5" t="s">
        <v>1</v>
      </c>
      <c r="M266" s="80">
        <f t="shared" si="93"/>
        <v>70</v>
      </c>
      <c r="N266" s="78">
        <f t="shared" si="94"/>
        <v>5250</v>
      </c>
      <c r="O266" s="188">
        <f t="shared" si="95"/>
        <v>5250</v>
      </c>
    </row>
    <row r="267" spans="1:15" x14ac:dyDescent="0.25">
      <c r="A267" s="31"/>
      <c r="B267" s="4" t="s">
        <v>1719</v>
      </c>
      <c r="C267" s="5">
        <v>1</v>
      </c>
      <c r="D267" s="7">
        <v>0</v>
      </c>
      <c r="E267" s="3">
        <f t="shared" si="90"/>
        <v>1</v>
      </c>
      <c r="F267" s="3" t="s">
        <v>867</v>
      </c>
      <c r="G267" s="77"/>
      <c r="H267" s="5" t="s">
        <v>1</v>
      </c>
      <c r="I267" s="78">
        <f t="shared" si="91"/>
        <v>0</v>
      </c>
      <c r="J267" s="110">
        <f t="shared" si="92"/>
        <v>75</v>
      </c>
      <c r="K267" s="4">
        <v>80</v>
      </c>
      <c r="L267" s="5" t="s">
        <v>1</v>
      </c>
      <c r="M267" s="80">
        <f t="shared" si="93"/>
        <v>80</v>
      </c>
      <c r="N267" s="78">
        <f t="shared" si="94"/>
        <v>6000</v>
      </c>
      <c r="O267" s="188">
        <f t="shared" si="95"/>
        <v>6000</v>
      </c>
    </row>
    <row r="268" spans="1:15" x14ac:dyDescent="0.25">
      <c r="A268" s="31"/>
      <c r="B268" s="4" t="s">
        <v>1718</v>
      </c>
      <c r="C268" s="5">
        <v>1</v>
      </c>
      <c r="D268" s="7">
        <v>0</v>
      </c>
      <c r="E268" s="3">
        <f t="shared" si="90"/>
        <v>1</v>
      </c>
      <c r="F268" s="3" t="s">
        <v>867</v>
      </c>
      <c r="G268" s="77"/>
      <c r="H268" s="5" t="s">
        <v>1</v>
      </c>
      <c r="I268" s="78">
        <f t="shared" si="91"/>
        <v>0</v>
      </c>
      <c r="J268" s="110">
        <f t="shared" si="92"/>
        <v>75</v>
      </c>
      <c r="K268" s="4">
        <v>90</v>
      </c>
      <c r="L268" s="5" t="s">
        <v>1</v>
      </c>
      <c r="M268" s="80">
        <f t="shared" si="93"/>
        <v>90</v>
      </c>
      <c r="N268" s="78">
        <f t="shared" si="94"/>
        <v>6750</v>
      </c>
      <c r="O268" s="188">
        <f t="shared" si="95"/>
        <v>6750</v>
      </c>
    </row>
    <row r="269" spans="1:15" x14ac:dyDescent="0.25">
      <c r="A269" s="31"/>
      <c r="B269" s="4" t="s">
        <v>1717</v>
      </c>
      <c r="C269" s="5">
        <v>1</v>
      </c>
      <c r="D269" s="7">
        <v>0</v>
      </c>
      <c r="E269" s="3">
        <f t="shared" si="90"/>
        <v>1</v>
      </c>
      <c r="F269" s="3" t="s">
        <v>867</v>
      </c>
      <c r="G269" s="77"/>
      <c r="H269" s="5" t="s">
        <v>1</v>
      </c>
      <c r="I269" s="78">
        <f t="shared" si="91"/>
        <v>0</v>
      </c>
      <c r="J269" s="110">
        <f t="shared" si="92"/>
        <v>75</v>
      </c>
      <c r="K269" s="4">
        <v>100</v>
      </c>
      <c r="L269" s="5" t="s">
        <v>1</v>
      </c>
      <c r="M269" s="80">
        <f t="shared" si="93"/>
        <v>100</v>
      </c>
      <c r="N269" s="78">
        <f t="shared" si="94"/>
        <v>7500</v>
      </c>
      <c r="O269" s="188">
        <f t="shared" si="95"/>
        <v>7500</v>
      </c>
    </row>
    <row r="270" spans="1:15" x14ac:dyDescent="0.25">
      <c r="A270" s="31"/>
      <c r="B270" s="4" t="s">
        <v>1716</v>
      </c>
      <c r="C270" s="5">
        <v>1</v>
      </c>
      <c r="D270" s="7">
        <v>0</v>
      </c>
      <c r="E270" s="3">
        <f t="shared" si="90"/>
        <v>1</v>
      </c>
      <c r="F270" s="3" t="s">
        <v>867</v>
      </c>
      <c r="G270" s="77"/>
      <c r="H270" s="5" t="s">
        <v>1</v>
      </c>
      <c r="I270" s="78">
        <f t="shared" si="91"/>
        <v>0</v>
      </c>
      <c r="J270" s="110">
        <f t="shared" si="92"/>
        <v>75</v>
      </c>
      <c r="K270" s="4">
        <v>110</v>
      </c>
      <c r="L270" s="5" t="s">
        <v>1</v>
      </c>
      <c r="M270" s="80">
        <f t="shared" si="93"/>
        <v>110</v>
      </c>
      <c r="N270" s="78">
        <f t="shared" si="94"/>
        <v>8250</v>
      </c>
      <c r="O270" s="188">
        <f t="shared" si="95"/>
        <v>8250</v>
      </c>
    </row>
    <row r="271" spans="1:15" x14ac:dyDescent="0.25">
      <c r="A271" s="31"/>
      <c r="B271" s="4" t="s">
        <v>1715</v>
      </c>
      <c r="C271" s="5">
        <v>1</v>
      </c>
      <c r="D271" s="7">
        <v>0</v>
      </c>
      <c r="E271" s="3">
        <f t="shared" si="90"/>
        <v>1</v>
      </c>
      <c r="F271" s="3" t="s">
        <v>867</v>
      </c>
      <c r="G271" s="77"/>
      <c r="H271" s="5" t="s">
        <v>1</v>
      </c>
      <c r="I271" s="78">
        <f t="shared" si="91"/>
        <v>0</v>
      </c>
      <c r="J271" s="110">
        <f t="shared" si="92"/>
        <v>75</v>
      </c>
      <c r="K271" s="4">
        <v>120</v>
      </c>
      <c r="L271" s="5" t="s">
        <v>1</v>
      </c>
      <c r="M271" s="80">
        <f t="shared" si="93"/>
        <v>120</v>
      </c>
      <c r="N271" s="78">
        <f t="shared" si="94"/>
        <v>9000</v>
      </c>
      <c r="O271" s="188">
        <f t="shared" si="95"/>
        <v>9000</v>
      </c>
    </row>
    <row r="272" spans="1:15" x14ac:dyDescent="0.25">
      <c r="A272" s="31"/>
      <c r="B272" s="4" t="s">
        <v>1714</v>
      </c>
      <c r="C272" s="5">
        <v>1</v>
      </c>
      <c r="D272" s="7">
        <v>0</v>
      </c>
      <c r="E272" s="3">
        <f t="shared" si="90"/>
        <v>1</v>
      </c>
      <c r="F272" s="3" t="s">
        <v>867</v>
      </c>
      <c r="G272" s="77"/>
      <c r="H272" s="5" t="s">
        <v>1</v>
      </c>
      <c r="I272" s="78">
        <f t="shared" si="91"/>
        <v>0</v>
      </c>
      <c r="J272" s="110">
        <f t="shared" si="92"/>
        <v>75</v>
      </c>
      <c r="K272" s="4">
        <v>130</v>
      </c>
      <c r="L272" s="5" t="s">
        <v>1</v>
      </c>
      <c r="M272" s="80">
        <f t="shared" si="93"/>
        <v>130</v>
      </c>
      <c r="N272" s="78">
        <f t="shared" si="94"/>
        <v>9750</v>
      </c>
      <c r="O272" s="188">
        <f t="shared" si="95"/>
        <v>9750</v>
      </c>
    </row>
    <row r="273" spans="1:15" x14ac:dyDescent="0.25">
      <c r="A273" s="31"/>
      <c r="B273" s="4" t="s">
        <v>1713</v>
      </c>
      <c r="C273" s="5">
        <v>1</v>
      </c>
      <c r="D273" s="7">
        <v>0</v>
      </c>
      <c r="E273" s="3">
        <f t="shared" si="90"/>
        <v>1</v>
      </c>
      <c r="F273" s="3" t="s">
        <v>867</v>
      </c>
      <c r="G273" s="77"/>
      <c r="H273" s="5" t="s">
        <v>1</v>
      </c>
      <c r="I273" s="78">
        <f t="shared" si="91"/>
        <v>0</v>
      </c>
      <c r="J273" s="110">
        <f t="shared" si="92"/>
        <v>75</v>
      </c>
      <c r="K273" s="4">
        <v>140</v>
      </c>
      <c r="L273" s="5" t="s">
        <v>1</v>
      </c>
      <c r="M273" s="80">
        <f t="shared" si="93"/>
        <v>140</v>
      </c>
      <c r="N273" s="78">
        <f t="shared" si="94"/>
        <v>10500</v>
      </c>
      <c r="O273" s="188">
        <f t="shared" si="95"/>
        <v>10500</v>
      </c>
    </row>
    <row r="274" spans="1:15" x14ac:dyDescent="0.25">
      <c r="A274" s="31"/>
      <c r="B274" s="4" t="s">
        <v>1712</v>
      </c>
      <c r="C274" s="5">
        <v>1</v>
      </c>
      <c r="D274" s="7">
        <v>0</v>
      </c>
      <c r="E274" s="3">
        <f t="shared" si="90"/>
        <v>1</v>
      </c>
      <c r="F274" s="3" t="s">
        <v>867</v>
      </c>
      <c r="G274" s="77"/>
      <c r="H274" s="5" t="s">
        <v>1</v>
      </c>
      <c r="I274" s="78">
        <f t="shared" si="91"/>
        <v>0</v>
      </c>
      <c r="J274" s="110">
        <f t="shared" si="92"/>
        <v>75</v>
      </c>
      <c r="K274" s="4">
        <v>150</v>
      </c>
      <c r="L274" s="5" t="s">
        <v>1</v>
      </c>
      <c r="M274" s="80">
        <f t="shared" si="93"/>
        <v>150</v>
      </c>
      <c r="N274" s="78">
        <f t="shared" si="94"/>
        <v>11250</v>
      </c>
      <c r="O274" s="188">
        <f t="shared" si="95"/>
        <v>11250</v>
      </c>
    </row>
    <row r="275" spans="1:15" x14ac:dyDescent="0.25">
      <c r="A275" s="31"/>
      <c r="B275" s="4" t="s">
        <v>1711</v>
      </c>
      <c r="C275" s="5">
        <v>1</v>
      </c>
      <c r="D275" s="7">
        <v>0</v>
      </c>
      <c r="E275" s="3">
        <f t="shared" si="90"/>
        <v>1</v>
      </c>
      <c r="F275" s="3" t="s">
        <v>867</v>
      </c>
      <c r="G275" s="77"/>
      <c r="H275" s="5" t="s">
        <v>1</v>
      </c>
      <c r="I275" s="78">
        <f t="shared" si="91"/>
        <v>0</v>
      </c>
      <c r="J275" s="110">
        <f t="shared" si="92"/>
        <v>75</v>
      </c>
      <c r="K275" s="4">
        <v>160</v>
      </c>
      <c r="L275" s="5" t="s">
        <v>1</v>
      </c>
      <c r="M275" s="80">
        <f t="shared" si="93"/>
        <v>160</v>
      </c>
      <c r="N275" s="78">
        <f t="shared" si="94"/>
        <v>12000</v>
      </c>
      <c r="O275" s="188">
        <f t="shared" si="95"/>
        <v>12000</v>
      </c>
    </row>
    <row r="276" spans="1:15" x14ac:dyDescent="0.25">
      <c r="A276" s="31"/>
      <c r="B276" s="4" t="s">
        <v>1710</v>
      </c>
      <c r="C276" s="5">
        <v>1</v>
      </c>
      <c r="D276" s="7">
        <v>0</v>
      </c>
      <c r="E276" s="3">
        <f t="shared" si="90"/>
        <v>1</v>
      </c>
      <c r="F276" s="3" t="s">
        <v>867</v>
      </c>
      <c r="G276" s="77"/>
      <c r="H276" s="5" t="s">
        <v>1</v>
      </c>
      <c r="I276" s="78">
        <f t="shared" si="91"/>
        <v>0</v>
      </c>
      <c r="J276" s="110">
        <f t="shared" si="92"/>
        <v>75</v>
      </c>
      <c r="K276" s="4">
        <v>170</v>
      </c>
      <c r="L276" s="5" t="s">
        <v>1</v>
      </c>
      <c r="M276" s="80">
        <f t="shared" si="93"/>
        <v>170</v>
      </c>
      <c r="N276" s="78">
        <f t="shared" si="94"/>
        <v>12750</v>
      </c>
      <c r="O276" s="188">
        <f t="shared" si="95"/>
        <v>12750</v>
      </c>
    </row>
    <row r="277" spans="1:15" x14ac:dyDescent="0.25">
      <c r="A277" s="31"/>
      <c r="B277" s="4" t="s">
        <v>1709</v>
      </c>
      <c r="C277" s="5">
        <v>1</v>
      </c>
      <c r="D277" s="7">
        <v>0</v>
      </c>
      <c r="E277" s="3">
        <f t="shared" si="90"/>
        <v>1</v>
      </c>
      <c r="F277" s="3" t="s">
        <v>867</v>
      </c>
      <c r="G277" s="77"/>
      <c r="H277" s="5" t="s">
        <v>1</v>
      </c>
      <c r="I277" s="78">
        <f t="shared" si="91"/>
        <v>0</v>
      </c>
      <c r="J277" s="110">
        <f t="shared" si="92"/>
        <v>75</v>
      </c>
      <c r="K277" s="4">
        <v>180</v>
      </c>
      <c r="L277" s="5" t="s">
        <v>1</v>
      </c>
      <c r="M277" s="80">
        <f t="shared" si="93"/>
        <v>180</v>
      </c>
      <c r="N277" s="78">
        <f t="shared" si="94"/>
        <v>13500</v>
      </c>
      <c r="O277" s="188">
        <f t="shared" si="95"/>
        <v>13500</v>
      </c>
    </row>
    <row r="278" spans="1:15" x14ac:dyDescent="0.25">
      <c r="A278" s="31"/>
      <c r="B278" s="4" t="s">
        <v>1708</v>
      </c>
      <c r="C278" s="5">
        <v>1</v>
      </c>
      <c r="D278" s="7">
        <v>0</v>
      </c>
      <c r="E278" s="3">
        <f t="shared" si="90"/>
        <v>1</v>
      </c>
      <c r="F278" s="3" t="s">
        <v>867</v>
      </c>
      <c r="G278" s="77"/>
      <c r="H278" s="5" t="s">
        <v>1</v>
      </c>
      <c r="I278" s="78">
        <f t="shared" si="91"/>
        <v>0</v>
      </c>
      <c r="J278" s="110">
        <f t="shared" si="92"/>
        <v>75</v>
      </c>
      <c r="K278" s="4">
        <v>190</v>
      </c>
      <c r="L278" s="5" t="s">
        <v>1</v>
      </c>
      <c r="M278" s="80">
        <f t="shared" si="93"/>
        <v>190</v>
      </c>
      <c r="N278" s="78">
        <f t="shared" si="94"/>
        <v>14250</v>
      </c>
      <c r="O278" s="188">
        <f t="shared" si="95"/>
        <v>14250</v>
      </c>
    </row>
    <row r="279" spans="1:15" x14ac:dyDescent="0.25">
      <c r="A279" s="31"/>
      <c r="B279" s="4" t="s">
        <v>1707</v>
      </c>
      <c r="C279" s="5">
        <v>1</v>
      </c>
      <c r="D279" s="7">
        <v>0</v>
      </c>
      <c r="E279" s="3">
        <f t="shared" si="90"/>
        <v>1</v>
      </c>
      <c r="F279" s="3" t="s">
        <v>867</v>
      </c>
      <c r="G279" s="77"/>
      <c r="H279" s="5" t="s">
        <v>1</v>
      </c>
      <c r="I279" s="78">
        <f t="shared" si="91"/>
        <v>0</v>
      </c>
      <c r="J279" s="110">
        <f t="shared" si="92"/>
        <v>75</v>
      </c>
      <c r="K279" s="4">
        <v>200</v>
      </c>
      <c r="L279" s="5" t="s">
        <v>1</v>
      </c>
      <c r="M279" s="80">
        <f t="shared" si="93"/>
        <v>200</v>
      </c>
      <c r="N279" s="78">
        <f t="shared" si="94"/>
        <v>15000</v>
      </c>
      <c r="O279" s="188">
        <f t="shared" si="95"/>
        <v>15000</v>
      </c>
    </row>
    <row r="280" spans="1:15" ht="15.75" thickBot="1" x14ac:dyDescent="0.3">
      <c r="A280" s="53"/>
      <c r="B280" s="54"/>
      <c r="C280" s="55"/>
      <c r="D280" s="55"/>
      <c r="E280" s="55"/>
      <c r="F280" s="55"/>
      <c r="G280" s="56"/>
      <c r="H280" s="56"/>
      <c r="I280" s="56"/>
      <c r="J280" s="56"/>
      <c r="K280" s="57"/>
      <c r="L280" s="55"/>
      <c r="M280" s="57"/>
      <c r="N280" s="56"/>
      <c r="O280" s="188"/>
    </row>
    <row r="281" spans="1:15" ht="15.75" thickBot="1" x14ac:dyDescent="0.3">
      <c r="A281" s="31"/>
      <c r="B281" s="145" t="s">
        <v>1706</v>
      </c>
      <c r="C281" s="5"/>
      <c r="D281" s="7"/>
      <c r="E281" s="3"/>
      <c r="F281" s="3"/>
      <c r="G281" s="77"/>
      <c r="H281" s="5"/>
      <c r="I281" s="78"/>
      <c r="J281" s="110"/>
      <c r="K281" s="4"/>
      <c r="L281" s="5"/>
      <c r="M281" s="80"/>
      <c r="N281" s="78"/>
      <c r="O281" s="188"/>
    </row>
    <row r="282" spans="1:15" x14ac:dyDescent="0.25">
      <c r="A282" s="31">
        <v>1</v>
      </c>
      <c r="B282" s="4" t="s">
        <v>1705</v>
      </c>
      <c r="C282" s="5">
        <v>1</v>
      </c>
      <c r="D282" s="7">
        <v>0</v>
      </c>
      <c r="E282" s="3">
        <f t="shared" ref="E282:E289" si="96">C282+(C282*D282)</f>
        <v>1</v>
      </c>
      <c r="F282" s="3" t="s">
        <v>867</v>
      </c>
      <c r="G282" s="77"/>
      <c r="H282" s="5" t="s">
        <v>1</v>
      </c>
      <c r="I282" s="78">
        <f t="shared" ref="I282:I301" si="97">IF(H282="C",(G282/100)*E282,IF(H282="M",(G282/1000)*E282,G282*E282))</f>
        <v>0</v>
      </c>
      <c r="J282" s="110">
        <f t="shared" ref="J282:J301" si="98">$O$4</f>
        <v>75</v>
      </c>
      <c r="K282" s="4">
        <v>12</v>
      </c>
      <c r="L282" s="5" t="s">
        <v>1</v>
      </c>
      <c r="M282" s="80">
        <f t="shared" ref="M282:M301" si="99">IF(L282="C",(K282/100)*E282,IF(L282="M",(K282/1000)*E282,K282*E282))</f>
        <v>12</v>
      </c>
      <c r="N282" s="78">
        <f t="shared" ref="N282:N301" si="100">M282*J282</f>
        <v>900</v>
      </c>
      <c r="O282" s="188">
        <f t="shared" ref="O282:O301" si="101">N282+I282</f>
        <v>900</v>
      </c>
    </row>
    <row r="283" spans="1:15" x14ac:dyDescent="0.25">
      <c r="A283" s="31"/>
      <c r="B283" s="4" t="s">
        <v>1704</v>
      </c>
      <c r="C283" s="5">
        <v>1</v>
      </c>
      <c r="D283" s="7">
        <v>0</v>
      </c>
      <c r="E283" s="3">
        <f t="shared" si="96"/>
        <v>1</v>
      </c>
      <c r="F283" s="3" t="s">
        <v>867</v>
      </c>
      <c r="G283" s="77"/>
      <c r="H283" s="5" t="s">
        <v>1</v>
      </c>
      <c r="I283" s="78">
        <f t="shared" si="97"/>
        <v>0</v>
      </c>
      <c r="J283" s="110">
        <f t="shared" si="98"/>
        <v>75</v>
      </c>
      <c r="K283" s="4">
        <v>24</v>
      </c>
      <c r="L283" s="5" t="s">
        <v>1</v>
      </c>
      <c r="M283" s="80">
        <f t="shared" si="99"/>
        <v>24</v>
      </c>
      <c r="N283" s="78">
        <f t="shared" si="100"/>
        <v>1800</v>
      </c>
      <c r="O283" s="188">
        <f t="shared" si="101"/>
        <v>1800</v>
      </c>
    </row>
    <row r="284" spans="1:15" x14ac:dyDescent="0.25">
      <c r="A284" s="31"/>
      <c r="B284" s="4" t="s">
        <v>1703</v>
      </c>
      <c r="C284" s="5">
        <v>1</v>
      </c>
      <c r="D284" s="7">
        <v>0</v>
      </c>
      <c r="E284" s="3">
        <f t="shared" si="96"/>
        <v>1</v>
      </c>
      <c r="F284" s="3" t="s">
        <v>867</v>
      </c>
      <c r="G284" s="77"/>
      <c r="H284" s="5" t="s">
        <v>1</v>
      </c>
      <c r="I284" s="78">
        <f t="shared" si="97"/>
        <v>0</v>
      </c>
      <c r="J284" s="110">
        <f t="shared" si="98"/>
        <v>75</v>
      </c>
      <c r="K284" s="4">
        <v>36</v>
      </c>
      <c r="L284" s="5" t="s">
        <v>1</v>
      </c>
      <c r="M284" s="80">
        <f t="shared" si="99"/>
        <v>36</v>
      </c>
      <c r="N284" s="78">
        <f t="shared" si="100"/>
        <v>2700</v>
      </c>
      <c r="O284" s="188">
        <f t="shared" si="101"/>
        <v>2700</v>
      </c>
    </row>
    <row r="285" spans="1:15" x14ac:dyDescent="0.25">
      <c r="A285" s="31"/>
      <c r="B285" s="4" t="s">
        <v>1702</v>
      </c>
      <c r="C285" s="5">
        <v>1</v>
      </c>
      <c r="D285" s="7">
        <v>0</v>
      </c>
      <c r="E285" s="3">
        <f t="shared" si="96"/>
        <v>1</v>
      </c>
      <c r="F285" s="3" t="s">
        <v>867</v>
      </c>
      <c r="G285" s="77"/>
      <c r="H285" s="5" t="s">
        <v>1</v>
      </c>
      <c r="I285" s="78">
        <f t="shared" si="97"/>
        <v>0</v>
      </c>
      <c r="J285" s="110">
        <f t="shared" si="98"/>
        <v>75</v>
      </c>
      <c r="K285" s="4">
        <v>48</v>
      </c>
      <c r="L285" s="5" t="s">
        <v>1</v>
      </c>
      <c r="M285" s="80">
        <f t="shared" si="99"/>
        <v>48</v>
      </c>
      <c r="N285" s="78">
        <f t="shared" si="100"/>
        <v>3600</v>
      </c>
      <c r="O285" s="188">
        <f t="shared" si="101"/>
        <v>3600</v>
      </c>
    </row>
    <row r="286" spans="1:15" x14ac:dyDescent="0.25">
      <c r="A286" s="31"/>
      <c r="B286" s="4" t="s">
        <v>1701</v>
      </c>
      <c r="C286" s="5">
        <v>1</v>
      </c>
      <c r="D286" s="7">
        <v>0</v>
      </c>
      <c r="E286" s="3">
        <f t="shared" si="96"/>
        <v>1</v>
      </c>
      <c r="F286" s="3" t="s">
        <v>867</v>
      </c>
      <c r="G286" s="77"/>
      <c r="H286" s="5" t="s">
        <v>1</v>
      </c>
      <c r="I286" s="78">
        <f t="shared" si="97"/>
        <v>0</v>
      </c>
      <c r="J286" s="110">
        <f t="shared" si="98"/>
        <v>75</v>
      </c>
      <c r="K286" s="4">
        <v>60</v>
      </c>
      <c r="L286" s="5" t="s">
        <v>1</v>
      </c>
      <c r="M286" s="80">
        <f t="shared" si="99"/>
        <v>60</v>
      </c>
      <c r="N286" s="78">
        <f t="shared" si="100"/>
        <v>4500</v>
      </c>
      <c r="O286" s="188">
        <f t="shared" si="101"/>
        <v>4500</v>
      </c>
    </row>
    <row r="287" spans="1:15" x14ac:dyDescent="0.25">
      <c r="A287" s="31"/>
      <c r="B287" s="4" t="s">
        <v>1700</v>
      </c>
      <c r="C287" s="5">
        <v>1</v>
      </c>
      <c r="D287" s="7">
        <v>0</v>
      </c>
      <c r="E287" s="3">
        <f t="shared" si="96"/>
        <v>1</v>
      </c>
      <c r="F287" s="3" t="s">
        <v>867</v>
      </c>
      <c r="G287" s="77"/>
      <c r="H287" s="5" t="s">
        <v>1</v>
      </c>
      <c r="I287" s="78">
        <f t="shared" si="97"/>
        <v>0</v>
      </c>
      <c r="J287" s="110">
        <f t="shared" si="98"/>
        <v>75</v>
      </c>
      <c r="K287" s="4">
        <v>72</v>
      </c>
      <c r="L287" s="5" t="s">
        <v>1</v>
      </c>
      <c r="M287" s="80">
        <f t="shared" si="99"/>
        <v>72</v>
      </c>
      <c r="N287" s="78">
        <f t="shared" si="100"/>
        <v>5400</v>
      </c>
      <c r="O287" s="188">
        <f t="shared" si="101"/>
        <v>5400</v>
      </c>
    </row>
    <row r="288" spans="1:15" x14ac:dyDescent="0.25">
      <c r="A288" s="31"/>
      <c r="B288" s="4" t="s">
        <v>1699</v>
      </c>
      <c r="C288" s="5">
        <v>1</v>
      </c>
      <c r="D288" s="7">
        <v>0</v>
      </c>
      <c r="E288" s="3">
        <f t="shared" si="96"/>
        <v>1</v>
      </c>
      <c r="F288" s="3" t="s">
        <v>867</v>
      </c>
      <c r="G288" s="77"/>
      <c r="H288" s="5" t="s">
        <v>1</v>
      </c>
      <c r="I288" s="78">
        <f t="shared" si="97"/>
        <v>0</v>
      </c>
      <c r="J288" s="110">
        <f t="shared" si="98"/>
        <v>75</v>
      </c>
      <c r="K288" s="4">
        <v>84</v>
      </c>
      <c r="L288" s="5" t="s">
        <v>1</v>
      </c>
      <c r="M288" s="80">
        <f t="shared" si="99"/>
        <v>84</v>
      </c>
      <c r="N288" s="78">
        <f t="shared" si="100"/>
        <v>6300</v>
      </c>
      <c r="O288" s="188">
        <f t="shared" si="101"/>
        <v>6300</v>
      </c>
    </row>
    <row r="289" spans="1:15" x14ac:dyDescent="0.25">
      <c r="A289" s="31"/>
      <c r="B289" s="4" t="s">
        <v>1698</v>
      </c>
      <c r="C289" s="5">
        <v>1</v>
      </c>
      <c r="D289" s="7">
        <v>0</v>
      </c>
      <c r="E289" s="3">
        <f t="shared" si="96"/>
        <v>1</v>
      </c>
      <c r="F289" s="3" t="s">
        <v>867</v>
      </c>
      <c r="G289" s="77"/>
      <c r="H289" s="5" t="s">
        <v>1</v>
      </c>
      <c r="I289" s="78">
        <f t="shared" si="97"/>
        <v>0</v>
      </c>
      <c r="J289" s="110">
        <f t="shared" si="98"/>
        <v>75</v>
      </c>
      <c r="K289" s="4">
        <v>96</v>
      </c>
      <c r="L289" s="5" t="s">
        <v>1</v>
      </c>
      <c r="M289" s="80">
        <f t="shared" si="99"/>
        <v>96</v>
      </c>
      <c r="N289" s="78">
        <f t="shared" si="100"/>
        <v>7200</v>
      </c>
      <c r="O289" s="188">
        <f t="shared" si="101"/>
        <v>7200</v>
      </c>
    </row>
    <row r="290" spans="1:15" x14ac:dyDescent="0.25">
      <c r="A290" s="31"/>
      <c r="B290" s="4" t="s">
        <v>1697</v>
      </c>
      <c r="C290" s="5"/>
      <c r="D290" s="7">
        <v>0</v>
      </c>
      <c r="E290" s="3"/>
      <c r="F290" s="3" t="s">
        <v>867</v>
      </c>
      <c r="G290" s="77"/>
      <c r="H290" s="5" t="s">
        <v>1</v>
      </c>
      <c r="I290" s="78">
        <f t="shared" si="97"/>
        <v>0</v>
      </c>
      <c r="J290" s="110">
        <f t="shared" si="98"/>
        <v>75</v>
      </c>
      <c r="K290" s="4">
        <v>108</v>
      </c>
      <c r="L290" s="5" t="s">
        <v>1</v>
      </c>
      <c r="M290" s="80">
        <f t="shared" si="99"/>
        <v>0</v>
      </c>
      <c r="N290" s="78">
        <f t="shared" si="100"/>
        <v>0</v>
      </c>
      <c r="O290" s="188">
        <f t="shared" si="101"/>
        <v>0</v>
      </c>
    </row>
    <row r="291" spans="1:15" x14ac:dyDescent="0.25">
      <c r="A291" s="60"/>
      <c r="B291" s="8" t="s">
        <v>1696</v>
      </c>
      <c r="C291" s="5">
        <v>1</v>
      </c>
      <c r="D291" s="7">
        <v>0</v>
      </c>
      <c r="E291" s="3">
        <f t="shared" ref="E291:E301" si="102">C291+(C291*D291)</f>
        <v>1</v>
      </c>
      <c r="F291" s="3" t="s">
        <v>867</v>
      </c>
      <c r="G291" s="77"/>
      <c r="H291" s="5" t="s">
        <v>1</v>
      </c>
      <c r="I291" s="78">
        <f t="shared" si="97"/>
        <v>0</v>
      </c>
      <c r="J291" s="110">
        <f t="shared" si="98"/>
        <v>75</v>
      </c>
      <c r="K291" s="4">
        <v>120</v>
      </c>
      <c r="L291" s="5" t="s">
        <v>1</v>
      </c>
      <c r="M291" s="80">
        <f t="shared" si="99"/>
        <v>120</v>
      </c>
      <c r="N291" s="78">
        <f t="shared" si="100"/>
        <v>9000</v>
      </c>
      <c r="O291" s="188">
        <f t="shared" si="101"/>
        <v>9000</v>
      </c>
    </row>
    <row r="292" spans="1:15" x14ac:dyDescent="0.25">
      <c r="A292" s="31"/>
      <c r="B292" s="4" t="s">
        <v>1695</v>
      </c>
      <c r="C292" s="5">
        <v>1</v>
      </c>
      <c r="D292" s="7">
        <v>0</v>
      </c>
      <c r="E292" s="3">
        <f t="shared" si="102"/>
        <v>1</v>
      </c>
      <c r="F292" s="3" t="s">
        <v>867</v>
      </c>
      <c r="G292" s="77"/>
      <c r="H292" s="5" t="s">
        <v>1</v>
      </c>
      <c r="I292" s="78">
        <f t="shared" si="97"/>
        <v>0</v>
      </c>
      <c r="J292" s="110">
        <f t="shared" si="98"/>
        <v>75</v>
      </c>
      <c r="K292" s="4">
        <v>132</v>
      </c>
      <c r="L292" s="5" t="s">
        <v>1</v>
      </c>
      <c r="M292" s="80">
        <f t="shared" si="99"/>
        <v>132</v>
      </c>
      <c r="N292" s="78">
        <f t="shared" si="100"/>
        <v>9900</v>
      </c>
      <c r="O292" s="188">
        <f t="shared" si="101"/>
        <v>9900</v>
      </c>
    </row>
    <row r="293" spans="1:15" x14ac:dyDescent="0.25">
      <c r="A293" s="31"/>
      <c r="B293" s="4" t="s">
        <v>1694</v>
      </c>
      <c r="C293" s="5">
        <v>1</v>
      </c>
      <c r="D293" s="7">
        <v>0</v>
      </c>
      <c r="E293" s="3">
        <f t="shared" si="102"/>
        <v>1</v>
      </c>
      <c r="F293" s="3" t="s">
        <v>867</v>
      </c>
      <c r="G293" s="77"/>
      <c r="H293" s="5" t="s">
        <v>1</v>
      </c>
      <c r="I293" s="78">
        <f t="shared" si="97"/>
        <v>0</v>
      </c>
      <c r="J293" s="110">
        <f t="shared" si="98"/>
        <v>75</v>
      </c>
      <c r="K293" s="4">
        <v>144</v>
      </c>
      <c r="L293" s="5" t="s">
        <v>1</v>
      </c>
      <c r="M293" s="80">
        <f t="shared" si="99"/>
        <v>144</v>
      </c>
      <c r="N293" s="78">
        <f t="shared" si="100"/>
        <v>10800</v>
      </c>
      <c r="O293" s="188">
        <f t="shared" si="101"/>
        <v>10800</v>
      </c>
    </row>
    <row r="294" spans="1:15" x14ac:dyDescent="0.25">
      <c r="A294" s="31"/>
      <c r="B294" s="4" t="s">
        <v>1693</v>
      </c>
      <c r="C294" s="5">
        <v>1</v>
      </c>
      <c r="D294" s="7">
        <v>0</v>
      </c>
      <c r="E294" s="3">
        <f t="shared" si="102"/>
        <v>1</v>
      </c>
      <c r="F294" s="3" t="s">
        <v>867</v>
      </c>
      <c r="G294" s="77"/>
      <c r="H294" s="5" t="s">
        <v>1</v>
      </c>
      <c r="I294" s="78">
        <f t="shared" si="97"/>
        <v>0</v>
      </c>
      <c r="J294" s="110">
        <f t="shared" si="98"/>
        <v>75</v>
      </c>
      <c r="K294" s="4">
        <v>156</v>
      </c>
      <c r="L294" s="5" t="s">
        <v>1</v>
      </c>
      <c r="M294" s="80">
        <f t="shared" si="99"/>
        <v>156</v>
      </c>
      <c r="N294" s="78">
        <f t="shared" si="100"/>
        <v>11700</v>
      </c>
      <c r="O294" s="188">
        <f t="shared" si="101"/>
        <v>11700</v>
      </c>
    </row>
    <row r="295" spans="1:15" x14ac:dyDescent="0.25">
      <c r="A295" s="31"/>
      <c r="B295" s="4" t="s">
        <v>1692</v>
      </c>
      <c r="C295" s="5">
        <v>1</v>
      </c>
      <c r="D295" s="7">
        <v>0</v>
      </c>
      <c r="E295" s="3">
        <f t="shared" si="102"/>
        <v>1</v>
      </c>
      <c r="F295" s="3" t="s">
        <v>867</v>
      </c>
      <c r="G295" s="77"/>
      <c r="H295" s="5" t="s">
        <v>1</v>
      </c>
      <c r="I295" s="78">
        <f t="shared" si="97"/>
        <v>0</v>
      </c>
      <c r="J295" s="110">
        <f t="shared" si="98"/>
        <v>75</v>
      </c>
      <c r="K295" s="4">
        <v>168</v>
      </c>
      <c r="L295" s="5" t="s">
        <v>1</v>
      </c>
      <c r="M295" s="80">
        <f t="shared" si="99"/>
        <v>168</v>
      </c>
      <c r="N295" s="78">
        <f t="shared" si="100"/>
        <v>12600</v>
      </c>
      <c r="O295" s="188">
        <f t="shared" si="101"/>
        <v>12600</v>
      </c>
    </row>
    <row r="296" spans="1:15" x14ac:dyDescent="0.25">
      <c r="A296" s="31"/>
      <c r="B296" s="4" t="s">
        <v>1691</v>
      </c>
      <c r="C296" s="5">
        <v>1</v>
      </c>
      <c r="D296" s="7">
        <v>0</v>
      </c>
      <c r="E296" s="3">
        <f t="shared" si="102"/>
        <v>1</v>
      </c>
      <c r="F296" s="3" t="s">
        <v>867</v>
      </c>
      <c r="G296" s="77"/>
      <c r="H296" s="5" t="s">
        <v>1</v>
      </c>
      <c r="I296" s="78">
        <f t="shared" si="97"/>
        <v>0</v>
      </c>
      <c r="J296" s="110">
        <f t="shared" si="98"/>
        <v>75</v>
      </c>
      <c r="K296" s="4">
        <v>180</v>
      </c>
      <c r="L296" s="5" t="s">
        <v>1</v>
      </c>
      <c r="M296" s="80">
        <f t="shared" si="99"/>
        <v>180</v>
      </c>
      <c r="N296" s="78">
        <f t="shared" si="100"/>
        <v>13500</v>
      </c>
      <c r="O296" s="188">
        <f t="shared" si="101"/>
        <v>13500</v>
      </c>
    </row>
    <row r="297" spans="1:15" x14ac:dyDescent="0.25">
      <c r="A297" s="31"/>
      <c r="B297" s="4" t="s">
        <v>1690</v>
      </c>
      <c r="C297" s="5">
        <v>1</v>
      </c>
      <c r="D297" s="7">
        <v>0</v>
      </c>
      <c r="E297" s="3">
        <f t="shared" si="102"/>
        <v>1</v>
      </c>
      <c r="F297" s="3" t="s">
        <v>867</v>
      </c>
      <c r="G297" s="77"/>
      <c r="H297" s="5" t="s">
        <v>1</v>
      </c>
      <c r="I297" s="78">
        <f t="shared" si="97"/>
        <v>0</v>
      </c>
      <c r="J297" s="110">
        <f t="shared" si="98"/>
        <v>75</v>
      </c>
      <c r="K297" s="4">
        <v>192</v>
      </c>
      <c r="L297" s="5" t="s">
        <v>1</v>
      </c>
      <c r="M297" s="80">
        <f t="shared" si="99"/>
        <v>192</v>
      </c>
      <c r="N297" s="78">
        <f t="shared" si="100"/>
        <v>14400</v>
      </c>
      <c r="O297" s="188">
        <f t="shared" si="101"/>
        <v>14400</v>
      </c>
    </row>
    <row r="298" spans="1:15" x14ac:dyDescent="0.25">
      <c r="A298" s="31"/>
      <c r="B298" s="4" t="s">
        <v>1689</v>
      </c>
      <c r="C298" s="5">
        <v>1</v>
      </c>
      <c r="D298" s="7">
        <v>0</v>
      </c>
      <c r="E298" s="3">
        <f t="shared" si="102"/>
        <v>1</v>
      </c>
      <c r="F298" s="3" t="s">
        <v>867</v>
      </c>
      <c r="G298" s="77"/>
      <c r="H298" s="5" t="s">
        <v>1</v>
      </c>
      <c r="I298" s="78">
        <f t="shared" si="97"/>
        <v>0</v>
      </c>
      <c r="J298" s="110">
        <f t="shared" si="98"/>
        <v>75</v>
      </c>
      <c r="K298" s="4">
        <v>204</v>
      </c>
      <c r="L298" s="5" t="s">
        <v>1</v>
      </c>
      <c r="M298" s="80">
        <f t="shared" si="99"/>
        <v>204</v>
      </c>
      <c r="N298" s="78">
        <f t="shared" si="100"/>
        <v>15300</v>
      </c>
      <c r="O298" s="188">
        <f t="shared" si="101"/>
        <v>15300</v>
      </c>
    </row>
    <row r="299" spans="1:15" x14ac:dyDescent="0.25">
      <c r="A299" s="31"/>
      <c r="B299" s="4" t="s">
        <v>1688</v>
      </c>
      <c r="C299" s="5">
        <v>1</v>
      </c>
      <c r="D299" s="7">
        <v>0</v>
      </c>
      <c r="E299" s="3">
        <f t="shared" si="102"/>
        <v>1</v>
      </c>
      <c r="F299" s="3" t="s">
        <v>867</v>
      </c>
      <c r="G299" s="77"/>
      <c r="H299" s="5" t="s">
        <v>1</v>
      </c>
      <c r="I299" s="78">
        <f t="shared" si="97"/>
        <v>0</v>
      </c>
      <c r="J299" s="110">
        <f t="shared" si="98"/>
        <v>75</v>
      </c>
      <c r="K299" s="4">
        <v>216</v>
      </c>
      <c r="L299" s="5" t="s">
        <v>1</v>
      </c>
      <c r="M299" s="80">
        <f t="shared" si="99"/>
        <v>216</v>
      </c>
      <c r="N299" s="78">
        <f t="shared" si="100"/>
        <v>16200</v>
      </c>
      <c r="O299" s="188">
        <f t="shared" si="101"/>
        <v>16200</v>
      </c>
    </row>
    <row r="300" spans="1:15" x14ac:dyDescent="0.25">
      <c r="A300" s="31"/>
      <c r="B300" s="4" t="s">
        <v>1687</v>
      </c>
      <c r="C300" s="5">
        <v>1</v>
      </c>
      <c r="D300" s="7">
        <v>0</v>
      </c>
      <c r="E300" s="3">
        <f t="shared" si="102"/>
        <v>1</v>
      </c>
      <c r="F300" s="3" t="s">
        <v>867</v>
      </c>
      <c r="G300" s="77"/>
      <c r="H300" s="5" t="s">
        <v>1</v>
      </c>
      <c r="I300" s="78">
        <f t="shared" si="97"/>
        <v>0</v>
      </c>
      <c r="J300" s="110">
        <f t="shared" si="98"/>
        <v>75</v>
      </c>
      <c r="K300" s="4">
        <v>228</v>
      </c>
      <c r="L300" s="5" t="s">
        <v>1</v>
      </c>
      <c r="M300" s="80">
        <f t="shared" si="99"/>
        <v>228</v>
      </c>
      <c r="N300" s="78">
        <f t="shared" si="100"/>
        <v>17100</v>
      </c>
      <c r="O300" s="188">
        <f t="shared" si="101"/>
        <v>17100</v>
      </c>
    </row>
    <row r="301" spans="1:15" x14ac:dyDescent="0.25">
      <c r="A301" s="31"/>
      <c r="B301" s="4" t="s">
        <v>1686</v>
      </c>
      <c r="C301" s="5">
        <v>1</v>
      </c>
      <c r="D301" s="7">
        <v>0</v>
      </c>
      <c r="E301" s="3">
        <f t="shared" si="102"/>
        <v>1</v>
      </c>
      <c r="F301" s="3" t="s">
        <v>867</v>
      </c>
      <c r="G301" s="77"/>
      <c r="H301" s="5" t="s">
        <v>1</v>
      </c>
      <c r="I301" s="78">
        <f t="shared" si="97"/>
        <v>0</v>
      </c>
      <c r="J301" s="110">
        <f t="shared" si="98"/>
        <v>75</v>
      </c>
      <c r="K301" s="4">
        <v>240</v>
      </c>
      <c r="L301" s="5" t="s">
        <v>1</v>
      </c>
      <c r="M301" s="80">
        <f t="shared" si="99"/>
        <v>240</v>
      </c>
      <c r="N301" s="78">
        <f t="shared" si="100"/>
        <v>18000</v>
      </c>
      <c r="O301" s="188">
        <f t="shared" si="101"/>
        <v>18000</v>
      </c>
    </row>
    <row r="302" spans="1:15" ht="15.75" thickBot="1" x14ac:dyDescent="0.3">
      <c r="A302" s="53"/>
      <c r="B302" s="54"/>
      <c r="C302" s="55"/>
      <c r="D302" s="55"/>
      <c r="E302" s="55"/>
      <c r="F302" s="55"/>
      <c r="G302" s="56"/>
      <c r="H302" s="56"/>
      <c r="I302" s="56"/>
      <c r="J302" s="56"/>
      <c r="K302" s="57"/>
      <c r="L302" s="55"/>
      <c r="M302" s="57"/>
      <c r="N302" s="56"/>
      <c r="O302" s="188"/>
    </row>
    <row r="303" spans="1:15" ht="15.75" thickBot="1" x14ac:dyDescent="0.3">
      <c r="A303" s="31"/>
      <c r="B303" s="145" t="s">
        <v>1685</v>
      </c>
      <c r="C303" s="5"/>
      <c r="D303" s="7"/>
      <c r="E303" s="3"/>
      <c r="F303" s="3"/>
      <c r="G303" s="77"/>
      <c r="H303" s="5"/>
      <c r="I303" s="78"/>
      <c r="J303" s="110"/>
      <c r="K303" s="4"/>
      <c r="L303" s="5"/>
      <c r="M303" s="80"/>
      <c r="N303" s="78"/>
      <c r="O303" s="188"/>
    </row>
    <row r="304" spans="1:15" x14ac:dyDescent="0.25">
      <c r="A304" s="31">
        <v>1</v>
      </c>
      <c r="B304" s="4" t="s">
        <v>1684</v>
      </c>
      <c r="C304" s="5">
        <v>1</v>
      </c>
      <c r="D304" s="7">
        <v>0</v>
      </c>
      <c r="E304" s="3">
        <f t="shared" ref="E304:E323" si="103">C304+(C304*D304)</f>
        <v>1</v>
      </c>
      <c r="F304" s="3" t="s">
        <v>867</v>
      </c>
      <c r="G304" s="77"/>
      <c r="H304" s="5" t="s">
        <v>1</v>
      </c>
      <c r="I304" s="78">
        <f t="shared" ref="I304:I323" si="104">IF(H304="C",(G304/100)*E304,IF(H304="M",(G304/1000)*E304,G304*E304))</f>
        <v>0</v>
      </c>
      <c r="J304" s="110">
        <f t="shared" ref="J304:J323" si="105">$O$4</f>
        <v>75</v>
      </c>
      <c r="K304" s="4">
        <v>14</v>
      </c>
      <c r="L304" s="5" t="s">
        <v>1</v>
      </c>
      <c r="M304" s="80">
        <f t="shared" ref="M304:M323" si="106">IF(L304="C",(K304/100)*E304,IF(L304="M",(K304/1000)*E304,K304*E304))</f>
        <v>14</v>
      </c>
      <c r="N304" s="78">
        <f t="shared" ref="N304:N323" si="107">M304*J304</f>
        <v>1050</v>
      </c>
      <c r="O304" s="188">
        <f t="shared" ref="O304:O323" si="108">N304+I304</f>
        <v>1050</v>
      </c>
    </row>
    <row r="305" spans="1:15" x14ac:dyDescent="0.25">
      <c r="A305" s="31"/>
      <c r="B305" s="4" t="s">
        <v>1683</v>
      </c>
      <c r="C305" s="5">
        <v>1</v>
      </c>
      <c r="D305" s="7">
        <v>0</v>
      </c>
      <c r="E305" s="3">
        <f t="shared" si="103"/>
        <v>1</v>
      </c>
      <c r="F305" s="3" t="s">
        <v>867</v>
      </c>
      <c r="G305" s="77"/>
      <c r="H305" s="5" t="s">
        <v>1</v>
      </c>
      <c r="I305" s="78">
        <f t="shared" si="104"/>
        <v>0</v>
      </c>
      <c r="J305" s="110">
        <f t="shared" si="105"/>
        <v>75</v>
      </c>
      <c r="K305" s="4">
        <v>28</v>
      </c>
      <c r="L305" s="5" t="s">
        <v>1</v>
      </c>
      <c r="M305" s="80">
        <f t="shared" si="106"/>
        <v>28</v>
      </c>
      <c r="N305" s="78">
        <f t="shared" si="107"/>
        <v>2100</v>
      </c>
      <c r="O305" s="188">
        <f t="shared" si="108"/>
        <v>2100</v>
      </c>
    </row>
    <row r="306" spans="1:15" x14ac:dyDescent="0.25">
      <c r="A306" s="60"/>
      <c r="B306" s="8" t="s">
        <v>1682</v>
      </c>
      <c r="C306" s="5">
        <v>1</v>
      </c>
      <c r="D306" s="7">
        <v>0</v>
      </c>
      <c r="E306" s="3">
        <f t="shared" si="103"/>
        <v>1</v>
      </c>
      <c r="F306" s="3" t="s">
        <v>867</v>
      </c>
      <c r="G306" s="77"/>
      <c r="H306" s="5" t="s">
        <v>1</v>
      </c>
      <c r="I306" s="78">
        <f t="shared" si="104"/>
        <v>0</v>
      </c>
      <c r="J306" s="110">
        <f t="shared" si="105"/>
        <v>75</v>
      </c>
      <c r="K306" s="4">
        <v>42</v>
      </c>
      <c r="L306" s="5" t="s">
        <v>1</v>
      </c>
      <c r="M306" s="80">
        <f t="shared" si="106"/>
        <v>42</v>
      </c>
      <c r="N306" s="78">
        <f t="shared" si="107"/>
        <v>3150</v>
      </c>
      <c r="O306" s="188">
        <f t="shared" si="108"/>
        <v>3150</v>
      </c>
    </row>
    <row r="307" spans="1:15" x14ac:dyDescent="0.25">
      <c r="A307" s="31"/>
      <c r="B307" s="4" t="s">
        <v>1681</v>
      </c>
      <c r="C307" s="5">
        <v>1</v>
      </c>
      <c r="D307" s="7">
        <v>0</v>
      </c>
      <c r="E307" s="3">
        <f t="shared" si="103"/>
        <v>1</v>
      </c>
      <c r="F307" s="3" t="s">
        <v>867</v>
      </c>
      <c r="G307" s="77"/>
      <c r="H307" s="5" t="s">
        <v>1</v>
      </c>
      <c r="I307" s="78">
        <f t="shared" si="104"/>
        <v>0</v>
      </c>
      <c r="J307" s="110">
        <f t="shared" si="105"/>
        <v>75</v>
      </c>
      <c r="K307" s="4">
        <v>56</v>
      </c>
      <c r="L307" s="5" t="s">
        <v>1</v>
      </c>
      <c r="M307" s="80">
        <f t="shared" si="106"/>
        <v>56</v>
      </c>
      <c r="N307" s="78">
        <f t="shared" si="107"/>
        <v>4200</v>
      </c>
      <c r="O307" s="188">
        <f t="shared" si="108"/>
        <v>4200</v>
      </c>
    </row>
    <row r="308" spans="1:15" x14ac:dyDescent="0.25">
      <c r="A308" s="31"/>
      <c r="B308" s="4" t="s">
        <v>1680</v>
      </c>
      <c r="C308" s="5">
        <v>1</v>
      </c>
      <c r="D308" s="7">
        <v>0</v>
      </c>
      <c r="E308" s="3">
        <f t="shared" si="103"/>
        <v>1</v>
      </c>
      <c r="F308" s="3" t="s">
        <v>867</v>
      </c>
      <c r="G308" s="77"/>
      <c r="H308" s="5" t="s">
        <v>1</v>
      </c>
      <c r="I308" s="78">
        <f t="shared" si="104"/>
        <v>0</v>
      </c>
      <c r="J308" s="110">
        <f t="shared" si="105"/>
        <v>75</v>
      </c>
      <c r="K308" s="4">
        <v>70</v>
      </c>
      <c r="L308" s="5" t="s">
        <v>1</v>
      </c>
      <c r="M308" s="80">
        <f t="shared" si="106"/>
        <v>70</v>
      </c>
      <c r="N308" s="78">
        <f t="shared" si="107"/>
        <v>5250</v>
      </c>
      <c r="O308" s="188">
        <f t="shared" si="108"/>
        <v>5250</v>
      </c>
    </row>
    <row r="309" spans="1:15" x14ac:dyDescent="0.25">
      <c r="A309" s="31"/>
      <c r="B309" s="4" t="s">
        <v>1679</v>
      </c>
      <c r="C309" s="5">
        <v>1</v>
      </c>
      <c r="D309" s="7">
        <v>0</v>
      </c>
      <c r="E309" s="3">
        <f t="shared" si="103"/>
        <v>1</v>
      </c>
      <c r="F309" s="3" t="s">
        <v>867</v>
      </c>
      <c r="G309" s="77"/>
      <c r="H309" s="5" t="s">
        <v>1</v>
      </c>
      <c r="I309" s="78">
        <f t="shared" si="104"/>
        <v>0</v>
      </c>
      <c r="J309" s="110">
        <f t="shared" si="105"/>
        <v>75</v>
      </c>
      <c r="K309" s="4">
        <v>84</v>
      </c>
      <c r="L309" s="5" t="s">
        <v>1</v>
      </c>
      <c r="M309" s="80">
        <f t="shared" si="106"/>
        <v>84</v>
      </c>
      <c r="N309" s="78">
        <f t="shared" si="107"/>
        <v>6300</v>
      </c>
      <c r="O309" s="188">
        <f t="shared" si="108"/>
        <v>6300</v>
      </c>
    </row>
    <row r="310" spans="1:15" x14ac:dyDescent="0.25">
      <c r="A310" s="31"/>
      <c r="B310" s="4" t="s">
        <v>1678</v>
      </c>
      <c r="C310" s="5">
        <v>1</v>
      </c>
      <c r="D310" s="7">
        <v>0</v>
      </c>
      <c r="E310" s="3">
        <f t="shared" si="103"/>
        <v>1</v>
      </c>
      <c r="F310" s="3" t="s">
        <v>867</v>
      </c>
      <c r="G310" s="77"/>
      <c r="H310" s="5" t="s">
        <v>1</v>
      </c>
      <c r="I310" s="78">
        <f t="shared" si="104"/>
        <v>0</v>
      </c>
      <c r="J310" s="110">
        <f t="shared" si="105"/>
        <v>75</v>
      </c>
      <c r="K310" s="4">
        <v>98</v>
      </c>
      <c r="L310" s="5" t="s">
        <v>1</v>
      </c>
      <c r="M310" s="80">
        <f t="shared" si="106"/>
        <v>98</v>
      </c>
      <c r="N310" s="78">
        <f t="shared" si="107"/>
        <v>7350</v>
      </c>
      <c r="O310" s="188">
        <f t="shared" si="108"/>
        <v>7350</v>
      </c>
    </row>
    <row r="311" spans="1:15" x14ac:dyDescent="0.25">
      <c r="A311" s="31"/>
      <c r="B311" s="4" t="s">
        <v>1677</v>
      </c>
      <c r="C311" s="5">
        <v>1</v>
      </c>
      <c r="D311" s="7">
        <v>0</v>
      </c>
      <c r="E311" s="3">
        <f t="shared" si="103"/>
        <v>1</v>
      </c>
      <c r="F311" s="3" t="s">
        <v>867</v>
      </c>
      <c r="G311" s="77"/>
      <c r="H311" s="5" t="s">
        <v>1</v>
      </c>
      <c r="I311" s="78">
        <f t="shared" si="104"/>
        <v>0</v>
      </c>
      <c r="J311" s="110">
        <f t="shared" si="105"/>
        <v>75</v>
      </c>
      <c r="K311" s="4">
        <v>112</v>
      </c>
      <c r="L311" s="5" t="s">
        <v>1</v>
      </c>
      <c r="M311" s="80">
        <f t="shared" si="106"/>
        <v>112</v>
      </c>
      <c r="N311" s="78">
        <f t="shared" si="107"/>
        <v>8400</v>
      </c>
      <c r="O311" s="188">
        <f t="shared" si="108"/>
        <v>8400</v>
      </c>
    </row>
    <row r="312" spans="1:15" x14ac:dyDescent="0.25">
      <c r="A312" s="31"/>
      <c r="B312" s="4" t="s">
        <v>1676</v>
      </c>
      <c r="C312" s="5">
        <v>1</v>
      </c>
      <c r="D312" s="7">
        <v>0</v>
      </c>
      <c r="E312" s="3">
        <f t="shared" si="103"/>
        <v>1</v>
      </c>
      <c r="F312" s="3" t="s">
        <v>867</v>
      </c>
      <c r="G312" s="77"/>
      <c r="H312" s="5" t="s">
        <v>1</v>
      </c>
      <c r="I312" s="78">
        <f t="shared" si="104"/>
        <v>0</v>
      </c>
      <c r="J312" s="110">
        <f t="shared" si="105"/>
        <v>75</v>
      </c>
      <c r="K312" s="4">
        <v>126</v>
      </c>
      <c r="L312" s="5" t="s">
        <v>1</v>
      </c>
      <c r="M312" s="80">
        <f t="shared" si="106"/>
        <v>126</v>
      </c>
      <c r="N312" s="78">
        <f t="shared" si="107"/>
        <v>9450</v>
      </c>
      <c r="O312" s="188">
        <f t="shared" si="108"/>
        <v>9450</v>
      </c>
    </row>
    <row r="313" spans="1:15" x14ac:dyDescent="0.25">
      <c r="A313" s="31"/>
      <c r="B313" s="4" t="s">
        <v>1675</v>
      </c>
      <c r="C313" s="5">
        <v>1</v>
      </c>
      <c r="D313" s="7">
        <v>0</v>
      </c>
      <c r="E313" s="3">
        <f t="shared" si="103"/>
        <v>1</v>
      </c>
      <c r="F313" s="3" t="s">
        <v>867</v>
      </c>
      <c r="G313" s="77"/>
      <c r="H313" s="5" t="s">
        <v>1</v>
      </c>
      <c r="I313" s="78">
        <f t="shared" si="104"/>
        <v>0</v>
      </c>
      <c r="J313" s="110">
        <f t="shared" si="105"/>
        <v>75</v>
      </c>
      <c r="K313" s="4">
        <v>140</v>
      </c>
      <c r="L313" s="5" t="s">
        <v>1</v>
      </c>
      <c r="M313" s="80">
        <f t="shared" si="106"/>
        <v>140</v>
      </c>
      <c r="N313" s="78">
        <f t="shared" si="107"/>
        <v>10500</v>
      </c>
      <c r="O313" s="188">
        <f t="shared" si="108"/>
        <v>10500</v>
      </c>
    </row>
    <row r="314" spans="1:15" x14ac:dyDescent="0.25">
      <c r="A314" s="31"/>
      <c r="B314" s="4" t="s">
        <v>1674</v>
      </c>
      <c r="C314" s="5">
        <v>1</v>
      </c>
      <c r="D314" s="7">
        <v>0</v>
      </c>
      <c r="E314" s="3">
        <f t="shared" si="103"/>
        <v>1</v>
      </c>
      <c r="F314" s="3" t="s">
        <v>867</v>
      </c>
      <c r="G314" s="77"/>
      <c r="H314" s="5" t="s">
        <v>1</v>
      </c>
      <c r="I314" s="78">
        <f t="shared" si="104"/>
        <v>0</v>
      </c>
      <c r="J314" s="110">
        <f t="shared" si="105"/>
        <v>75</v>
      </c>
      <c r="K314" s="4">
        <v>154</v>
      </c>
      <c r="L314" s="5" t="s">
        <v>1</v>
      </c>
      <c r="M314" s="80">
        <f t="shared" si="106"/>
        <v>154</v>
      </c>
      <c r="N314" s="78">
        <f t="shared" si="107"/>
        <v>11550</v>
      </c>
      <c r="O314" s="188">
        <f t="shared" si="108"/>
        <v>11550</v>
      </c>
    </row>
    <row r="315" spans="1:15" ht="15" customHeight="1" x14ac:dyDescent="0.25">
      <c r="A315" s="60"/>
      <c r="B315" s="8" t="s">
        <v>1673</v>
      </c>
      <c r="C315" s="5">
        <v>1</v>
      </c>
      <c r="D315" s="7">
        <v>0</v>
      </c>
      <c r="E315" s="3">
        <f t="shared" si="103"/>
        <v>1</v>
      </c>
      <c r="F315" s="3" t="s">
        <v>867</v>
      </c>
      <c r="G315" s="77"/>
      <c r="H315" s="5" t="s">
        <v>1</v>
      </c>
      <c r="I315" s="78">
        <f t="shared" si="104"/>
        <v>0</v>
      </c>
      <c r="J315" s="110">
        <f t="shared" si="105"/>
        <v>75</v>
      </c>
      <c r="K315" s="4">
        <v>168</v>
      </c>
      <c r="L315" s="5" t="s">
        <v>1</v>
      </c>
      <c r="M315" s="80">
        <f t="shared" si="106"/>
        <v>168</v>
      </c>
      <c r="N315" s="78">
        <f t="shared" si="107"/>
        <v>12600</v>
      </c>
      <c r="O315" s="188">
        <f t="shared" si="108"/>
        <v>12600</v>
      </c>
    </row>
    <row r="316" spans="1:15" x14ac:dyDescent="0.25">
      <c r="A316" s="31"/>
      <c r="B316" s="4" t="s">
        <v>1672</v>
      </c>
      <c r="C316" s="5">
        <v>1</v>
      </c>
      <c r="D316" s="7">
        <v>0</v>
      </c>
      <c r="E316" s="3">
        <f t="shared" si="103"/>
        <v>1</v>
      </c>
      <c r="F316" s="3" t="s">
        <v>867</v>
      </c>
      <c r="G316" s="77"/>
      <c r="H316" s="5" t="s">
        <v>1</v>
      </c>
      <c r="I316" s="78">
        <f t="shared" si="104"/>
        <v>0</v>
      </c>
      <c r="J316" s="110">
        <f t="shared" si="105"/>
        <v>75</v>
      </c>
      <c r="K316" s="4">
        <v>182</v>
      </c>
      <c r="L316" s="5" t="s">
        <v>1</v>
      </c>
      <c r="M316" s="80">
        <f t="shared" si="106"/>
        <v>182</v>
      </c>
      <c r="N316" s="78">
        <f t="shared" si="107"/>
        <v>13650</v>
      </c>
      <c r="O316" s="188">
        <f t="shared" si="108"/>
        <v>13650</v>
      </c>
    </row>
    <row r="317" spans="1:15" x14ac:dyDescent="0.25">
      <c r="A317" s="31"/>
      <c r="B317" s="4" t="s">
        <v>1671</v>
      </c>
      <c r="C317" s="5">
        <v>1</v>
      </c>
      <c r="D317" s="7">
        <v>0</v>
      </c>
      <c r="E317" s="3">
        <f t="shared" si="103"/>
        <v>1</v>
      </c>
      <c r="F317" s="3" t="s">
        <v>867</v>
      </c>
      <c r="G317" s="77"/>
      <c r="H317" s="5" t="s">
        <v>1</v>
      </c>
      <c r="I317" s="78">
        <f t="shared" si="104"/>
        <v>0</v>
      </c>
      <c r="J317" s="110">
        <f t="shared" si="105"/>
        <v>75</v>
      </c>
      <c r="K317" s="4">
        <v>196</v>
      </c>
      <c r="L317" s="5" t="s">
        <v>1</v>
      </c>
      <c r="M317" s="80">
        <f t="shared" si="106"/>
        <v>196</v>
      </c>
      <c r="N317" s="78">
        <f t="shared" si="107"/>
        <v>14700</v>
      </c>
      <c r="O317" s="188">
        <f t="shared" si="108"/>
        <v>14700</v>
      </c>
    </row>
    <row r="318" spans="1:15" x14ac:dyDescent="0.25">
      <c r="A318" s="31"/>
      <c r="B318" s="4" t="s">
        <v>1670</v>
      </c>
      <c r="C318" s="5">
        <v>1</v>
      </c>
      <c r="D318" s="7">
        <v>0</v>
      </c>
      <c r="E318" s="3">
        <f t="shared" si="103"/>
        <v>1</v>
      </c>
      <c r="F318" s="3" t="s">
        <v>867</v>
      </c>
      <c r="G318" s="77"/>
      <c r="H318" s="5" t="s">
        <v>1</v>
      </c>
      <c r="I318" s="78">
        <f t="shared" si="104"/>
        <v>0</v>
      </c>
      <c r="J318" s="110">
        <f t="shared" si="105"/>
        <v>75</v>
      </c>
      <c r="K318" s="4">
        <v>210</v>
      </c>
      <c r="L318" s="5" t="s">
        <v>1</v>
      </c>
      <c r="M318" s="80">
        <f t="shared" si="106"/>
        <v>210</v>
      </c>
      <c r="N318" s="78">
        <f t="shared" si="107"/>
        <v>15750</v>
      </c>
      <c r="O318" s="188">
        <f t="shared" si="108"/>
        <v>15750</v>
      </c>
    </row>
    <row r="319" spans="1:15" x14ac:dyDescent="0.25">
      <c r="A319" s="31"/>
      <c r="B319" s="4" t="s">
        <v>1669</v>
      </c>
      <c r="C319" s="5">
        <v>1</v>
      </c>
      <c r="D319" s="7">
        <v>0</v>
      </c>
      <c r="E319" s="3">
        <f t="shared" si="103"/>
        <v>1</v>
      </c>
      <c r="F319" s="3" t="s">
        <v>867</v>
      </c>
      <c r="G319" s="77"/>
      <c r="H319" s="5" t="s">
        <v>1</v>
      </c>
      <c r="I319" s="78">
        <f t="shared" si="104"/>
        <v>0</v>
      </c>
      <c r="J319" s="110">
        <f t="shared" si="105"/>
        <v>75</v>
      </c>
      <c r="K319" s="4">
        <v>224</v>
      </c>
      <c r="L319" s="5" t="s">
        <v>1</v>
      </c>
      <c r="M319" s="80">
        <f t="shared" si="106"/>
        <v>224</v>
      </c>
      <c r="N319" s="78">
        <f t="shared" si="107"/>
        <v>16800</v>
      </c>
      <c r="O319" s="188">
        <f t="shared" si="108"/>
        <v>16800</v>
      </c>
    </row>
    <row r="320" spans="1:15" x14ac:dyDescent="0.25">
      <c r="A320" s="31"/>
      <c r="B320" s="4" t="s">
        <v>1668</v>
      </c>
      <c r="C320" s="5">
        <v>1</v>
      </c>
      <c r="D320" s="7">
        <v>0</v>
      </c>
      <c r="E320" s="3">
        <f t="shared" si="103"/>
        <v>1</v>
      </c>
      <c r="F320" s="3" t="s">
        <v>867</v>
      </c>
      <c r="G320" s="77"/>
      <c r="H320" s="5" t="s">
        <v>1</v>
      </c>
      <c r="I320" s="78">
        <f t="shared" si="104"/>
        <v>0</v>
      </c>
      <c r="J320" s="110">
        <f t="shared" si="105"/>
        <v>75</v>
      </c>
      <c r="K320" s="4">
        <v>238</v>
      </c>
      <c r="L320" s="5" t="s">
        <v>1</v>
      </c>
      <c r="M320" s="80">
        <f t="shared" si="106"/>
        <v>238</v>
      </c>
      <c r="N320" s="78">
        <f t="shared" si="107"/>
        <v>17850</v>
      </c>
      <c r="O320" s="188">
        <f t="shared" si="108"/>
        <v>17850</v>
      </c>
    </row>
    <row r="321" spans="1:15" x14ac:dyDescent="0.25">
      <c r="A321" s="31"/>
      <c r="B321" s="4" t="s">
        <v>1667</v>
      </c>
      <c r="C321" s="5">
        <v>1</v>
      </c>
      <c r="D321" s="7">
        <v>0</v>
      </c>
      <c r="E321" s="3">
        <f t="shared" si="103"/>
        <v>1</v>
      </c>
      <c r="F321" s="3" t="s">
        <v>867</v>
      </c>
      <c r="G321" s="77"/>
      <c r="H321" s="5" t="s">
        <v>1</v>
      </c>
      <c r="I321" s="78">
        <f t="shared" si="104"/>
        <v>0</v>
      </c>
      <c r="J321" s="110">
        <f t="shared" si="105"/>
        <v>75</v>
      </c>
      <c r="K321" s="4">
        <v>252</v>
      </c>
      <c r="L321" s="5" t="s">
        <v>1</v>
      </c>
      <c r="M321" s="80">
        <f t="shared" si="106"/>
        <v>252</v>
      </c>
      <c r="N321" s="78">
        <f t="shared" si="107"/>
        <v>18900</v>
      </c>
      <c r="O321" s="188">
        <f t="shared" si="108"/>
        <v>18900</v>
      </c>
    </row>
    <row r="322" spans="1:15" x14ac:dyDescent="0.25">
      <c r="A322" s="31"/>
      <c r="B322" s="4" t="s">
        <v>1666</v>
      </c>
      <c r="C322" s="5">
        <v>1</v>
      </c>
      <c r="D322" s="7">
        <v>0</v>
      </c>
      <c r="E322" s="3">
        <f t="shared" si="103"/>
        <v>1</v>
      </c>
      <c r="F322" s="3" t="s">
        <v>867</v>
      </c>
      <c r="G322" s="77"/>
      <c r="H322" s="5" t="s">
        <v>1</v>
      </c>
      <c r="I322" s="78">
        <f t="shared" si="104"/>
        <v>0</v>
      </c>
      <c r="J322" s="110">
        <f t="shared" si="105"/>
        <v>75</v>
      </c>
      <c r="K322" s="4">
        <v>266</v>
      </c>
      <c r="L322" s="5" t="s">
        <v>1</v>
      </c>
      <c r="M322" s="80">
        <f t="shared" si="106"/>
        <v>266</v>
      </c>
      <c r="N322" s="78">
        <f t="shared" si="107"/>
        <v>19950</v>
      </c>
      <c r="O322" s="188">
        <f t="shared" si="108"/>
        <v>19950</v>
      </c>
    </row>
    <row r="323" spans="1:15" x14ac:dyDescent="0.25">
      <c r="A323" s="31"/>
      <c r="B323" s="4" t="s">
        <v>1665</v>
      </c>
      <c r="C323" s="5">
        <v>1</v>
      </c>
      <c r="D323" s="7">
        <v>0</v>
      </c>
      <c r="E323" s="3">
        <f t="shared" si="103"/>
        <v>1</v>
      </c>
      <c r="F323" s="3" t="s">
        <v>867</v>
      </c>
      <c r="G323" s="77"/>
      <c r="H323" s="5" t="s">
        <v>1</v>
      </c>
      <c r="I323" s="78">
        <f t="shared" si="104"/>
        <v>0</v>
      </c>
      <c r="J323" s="110">
        <f t="shared" si="105"/>
        <v>75</v>
      </c>
      <c r="K323" s="4">
        <v>280</v>
      </c>
      <c r="L323" s="5" t="s">
        <v>1</v>
      </c>
      <c r="M323" s="80">
        <f t="shared" si="106"/>
        <v>280</v>
      </c>
      <c r="N323" s="78">
        <f t="shared" si="107"/>
        <v>21000</v>
      </c>
      <c r="O323" s="188">
        <f t="shared" si="108"/>
        <v>21000</v>
      </c>
    </row>
    <row r="324" spans="1:15" ht="15.75" thickBot="1" x14ac:dyDescent="0.3">
      <c r="A324" s="53"/>
      <c r="B324" s="54"/>
      <c r="C324" s="55"/>
      <c r="D324" s="55"/>
      <c r="E324" s="55"/>
      <c r="F324" s="55"/>
      <c r="G324" s="56"/>
      <c r="H324" s="56"/>
      <c r="I324" s="56"/>
      <c r="J324" s="56"/>
      <c r="K324" s="57"/>
      <c r="L324" s="55"/>
      <c r="M324" s="57"/>
      <c r="N324" s="56"/>
      <c r="O324" s="188"/>
    </row>
    <row r="325" spans="1:15" ht="15.75" thickBot="1" x14ac:dyDescent="0.3">
      <c r="A325" s="31"/>
      <c r="B325" s="145" t="s">
        <v>1664</v>
      </c>
      <c r="C325" s="5"/>
      <c r="D325" s="7"/>
      <c r="E325" s="3"/>
      <c r="F325" s="3"/>
      <c r="G325" s="77"/>
      <c r="H325" s="5"/>
      <c r="I325" s="78"/>
      <c r="J325" s="110"/>
      <c r="K325" s="4"/>
      <c r="L325" s="5"/>
      <c r="M325" s="80"/>
      <c r="N325" s="78"/>
      <c r="O325" s="188"/>
    </row>
    <row r="326" spans="1:15" x14ac:dyDescent="0.25">
      <c r="A326" s="31">
        <v>1</v>
      </c>
      <c r="B326" s="4" t="s">
        <v>1663</v>
      </c>
      <c r="C326" s="5">
        <v>1</v>
      </c>
      <c r="D326" s="7">
        <v>0</v>
      </c>
      <c r="E326" s="3">
        <f t="shared" ref="E326:E345" si="109">C326+(C326*D326)</f>
        <v>1</v>
      </c>
      <c r="F326" s="3" t="s">
        <v>867</v>
      </c>
      <c r="G326" s="77"/>
      <c r="H326" s="5" t="s">
        <v>1</v>
      </c>
      <c r="I326" s="78">
        <f t="shared" ref="I326:I345" si="110">IF(H326="C",(G326/100)*E326,IF(H326="M",(G326/1000)*E326,G326*E326))</f>
        <v>0</v>
      </c>
      <c r="J326" s="110">
        <f t="shared" ref="J326:J345" si="111">$O$4</f>
        <v>75</v>
      </c>
      <c r="K326" s="4">
        <v>16</v>
      </c>
      <c r="L326" s="5" t="s">
        <v>1</v>
      </c>
      <c r="M326" s="80">
        <f t="shared" ref="M326:M345" si="112">IF(L326="C",(K326/100)*E326,IF(L326="M",(K326/1000)*E326,K326*E326))</f>
        <v>16</v>
      </c>
      <c r="N326" s="78">
        <f t="shared" ref="N326:N345" si="113">M326*J326</f>
        <v>1200</v>
      </c>
      <c r="O326" s="188">
        <f t="shared" ref="O326:O345" si="114">N326+I326</f>
        <v>1200</v>
      </c>
    </row>
    <row r="327" spans="1:15" x14ac:dyDescent="0.25">
      <c r="A327" s="31"/>
      <c r="B327" s="4" t="s">
        <v>1662</v>
      </c>
      <c r="C327" s="5">
        <v>1</v>
      </c>
      <c r="D327" s="7">
        <v>0</v>
      </c>
      <c r="E327" s="3">
        <f t="shared" si="109"/>
        <v>1</v>
      </c>
      <c r="F327" s="3" t="s">
        <v>867</v>
      </c>
      <c r="G327" s="77"/>
      <c r="H327" s="5" t="s">
        <v>1</v>
      </c>
      <c r="I327" s="78">
        <f t="shared" si="110"/>
        <v>0</v>
      </c>
      <c r="J327" s="110">
        <f t="shared" si="111"/>
        <v>75</v>
      </c>
      <c r="K327" s="4">
        <v>32</v>
      </c>
      <c r="L327" s="5" t="s">
        <v>1</v>
      </c>
      <c r="M327" s="80">
        <f t="shared" si="112"/>
        <v>32</v>
      </c>
      <c r="N327" s="78">
        <f t="shared" si="113"/>
        <v>2400</v>
      </c>
      <c r="O327" s="188">
        <f t="shared" si="114"/>
        <v>2400</v>
      </c>
    </row>
    <row r="328" spans="1:15" x14ac:dyDescent="0.25">
      <c r="A328" s="31"/>
      <c r="B328" s="4" t="s">
        <v>1661</v>
      </c>
      <c r="C328" s="5">
        <v>1</v>
      </c>
      <c r="D328" s="7">
        <v>0</v>
      </c>
      <c r="E328" s="3">
        <f t="shared" si="109"/>
        <v>1</v>
      </c>
      <c r="F328" s="3" t="s">
        <v>867</v>
      </c>
      <c r="G328" s="77"/>
      <c r="H328" s="5" t="s">
        <v>1</v>
      </c>
      <c r="I328" s="78">
        <f t="shared" si="110"/>
        <v>0</v>
      </c>
      <c r="J328" s="110">
        <f t="shared" si="111"/>
        <v>75</v>
      </c>
      <c r="K328" s="4">
        <v>48</v>
      </c>
      <c r="L328" s="5" t="s">
        <v>1</v>
      </c>
      <c r="M328" s="80">
        <f t="shared" si="112"/>
        <v>48</v>
      </c>
      <c r="N328" s="78">
        <f t="shared" si="113"/>
        <v>3600</v>
      </c>
      <c r="O328" s="188">
        <f t="shared" si="114"/>
        <v>3600</v>
      </c>
    </row>
    <row r="329" spans="1:15" x14ac:dyDescent="0.25">
      <c r="A329" s="31"/>
      <c r="B329" s="4" t="s">
        <v>1660</v>
      </c>
      <c r="C329" s="5">
        <v>1</v>
      </c>
      <c r="D329" s="7">
        <v>0</v>
      </c>
      <c r="E329" s="3">
        <f t="shared" si="109"/>
        <v>1</v>
      </c>
      <c r="F329" s="3" t="s">
        <v>867</v>
      </c>
      <c r="G329" s="77"/>
      <c r="H329" s="5" t="s">
        <v>1</v>
      </c>
      <c r="I329" s="78">
        <f t="shared" si="110"/>
        <v>0</v>
      </c>
      <c r="J329" s="110">
        <f t="shared" si="111"/>
        <v>75</v>
      </c>
      <c r="K329" s="4">
        <v>64</v>
      </c>
      <c r="L329" s="5" t="s">
        <v>1</v>
      </c>
      <c r="M329" s="80">
        <f t="shared" si="112"/>
        <v>64</v>
      </c>
      <c r="N329" s="78">
        <f t="shared" si="113"/>
        <v>4800</v>
      </c>
      <c r="O329" s="188">
        <f t="shared" si="114"/>
        <v>4800</v>
      </c>
    </row>
    <row r="330" spans="1:15" x14ac:dyDescent="0.25">
      <c r="A330" s="31"/>
      <c r="B330" s="4" t="s">
        <v>1659</v>
      </c>
      <c r="C330" s="5">
        <v>1</v>
      </c>
      <c r="D330" s="7">
        <v>0</v>
      </c>
      <c r="E330" s="3">
        <f t="shared" si="109"/>
        <v>1</v>
      </c>
      <c r="F330" s="3" t="s">
        <v>867</v>
      </c>
      <c r="G330" s="77"/>
      <c r="H330" s="5" t="s">
        <v>1</v>
      </c>
      <c r="I330" s="78">
        <f t="shared" si="110"/>
        <v>0</v>
      </c>
      <c r="J330" s="110">
        <f t="shared" si="111"/>
        <v>75</v>
      </c>
      <c r="K330" s="4">
        <v>80</v>
      </c>
      <c r="L330" s="5" t="s">
        <v>1</v>
      </c>
      <c r="M330" s="80">
        <f t="shared" si="112"/>
        <v>80</v>
      </c>
      <c r="N330" s="78">
        <f t="shared" si="113"/>
        <v>6000</v>
      </c>
      <c r="O330" s="188">
        <f t="shared" si="114"/>
        <v>6000</v>
      </c>
    </row>
    <row r="331" spans="1:15" x14ac:dyDescent="0.25">
      <c r="A331" s="31"/>
      <c r="B331" s="4" t="s">
        <v>1658</v>
      </c>
      <c r="C331" s="5">
        <v>1</v>
      </c>
      <c r="D331" s="7">
        <v>0</v>
      </c>
      <c r="E331" s="3">
        <f t="shared" si="109"/>
        <v>1</v>
      </c>
      <c r="F331" s="3" t="s">
        <v>867</v>
      </c>
      <c r="G331" s="77"/>
      <c r="H331" s="5" t="s">
        <v>1</v>
      </c>
      <c r="I331" s="78">
        <f t="shared" si="110"/>
        <v>0</v>
      </c>
      <c r="J331" s="110">
        <f t="shared" si="111"/>
        <v>75</v>
      </c>
      <c r="K331" s="4">
        <v>96</v>
      </c>
      <c r="L331" s="5" t="s">
        <v>1</v>
      </c>
      <c r="M331" s="80">
        <f t="shared" si="112"/>
        <v>96</v>
      </c>
      <c r="N331" s="78">
        <f t="shared" si="113"/>
        <v>7200</v>
      </c>
      <c r="O331" s="188">
        <f t="shared" si="114"/>
        <v>7200</v>
      </c>
    </row>
    <row r="332" spans="1:15" x14ac:dyDescent="0.25">
      <c r="A332" s="31"/>
      <c r="B332" s="4" t="s">
        <v>1657</v>
      </c>
      <c r="C332" s="5">
        <v>1</v>
      </c>
      <c r="D332" s="7">
        <v>0</v>
      </c>
      <c r="E332" s="3">
        <f t="shared" si="109"/>
        <v>1</v>
      </c>
      <c r="F332" s="3" t="s">
        <v>867</v>
      </c>
      <c r="G332" s="77"/>
      <c r="H332" s="5" t="s">
        <v>1</v>
      </c>
      <c r="I332" s="78">
        <f t="shared" si="110"/>
        <v>0</v>
      </c>
      <c r="J332" s="110">
        <f t="shared" si="111"/>
        <v>75</v>
      </c>
      <c r="K332" s="4">
        <v>112</v>
      </c>
      <c r="L332" s="5" t="s">
        <v>1</v>
      </c>
      <c r="M332" s="80">
        <f t="shared" si="112"/>
        <v>112</v>
      </c>
      <c r="N332" s="78">
        <f t="shared" si="113"/>
        <v>8400</v>
      </c>
      <c r="O332" s="188">
        <f t="shared" si="114"/>
        <v>8400</v>
      </c>
    </row>
    <row r="333" spans="1:15" x14ac:dyDescent="0.25">
      <c r="A333" s="31"/>
      <c r="B333" s="4" t="s">
        <v>1656</v>
      </c>
      <c r="C333" s="5">
        <v>1</v>
      </c>
      <c r="D333" s="7">
        <v>0</v>
      </c>
      <c r="E333" s="3">
        <f t="shared" si="109"/>
        <v>1</v>
      </c>
      <c r="F333" s="3" t="s">
        <v>867</v>
      </c>
      <c r="G333" s="77"/>
      <c r="H333" s="5" t="s">
        <v>1</v>
      </c>
      <c r="I333" s="78">
        <f t="shared" si="110"/>
        <v>0</v>
      </c>
      <c r="J333" s="110">
        <f t="shared" si="111"/>
        <v>75</v>
      </c>
      <c r="K333" s="4">
        <v>128</v>
      </c>
      <c r="L333" s="5" t="s">
        <v>1</v>
      </c>
      <c r="M333" s="80">
        <f t="shared" si="112"/>
        <v>128</v>
      </c>
      <c r="N333" s="78">
        <f t="shared" si="113"/>
        <v>9600</v>
      </c>
      <c r="O333" s="188">
        <f t="shared" si="114"/>
        <v>9600</v>
      </c>
    </row>
    <row r="334" spans="1:15" x14ac:dyDescent="0.25">
      <c r="A334" s="31"/>
      <c r="B334" s="4" t="s">
        <v>1655</v>
      </c>
      <c r="C334" s="5">
        <v>1</v>
      </c>
      <c r="D334" s="7">
        <v>0</v>
      </c>
      <c r="E334" s="3">
        <f t="shared" si="109"/>
        <v>1</v>
      </c>
      <c r="F334" s="3" t="s">
        <v>867</v>
      </c>
      <c r="G334" s="77"/>
      <c r="H334" s="5" t="s">
        <v>1</v>
      </c>
      <c r="I334" s="78">
        <f t="shared" si="110"/>
        <v>0</v>
      </c>
      <c r="J334" s="110">
        <f t="shared" si="111"/>
        <v>75</v>
      </c>
      <c r="K334" s="4">
        <v>144</v>
      </c>
      <c r="L334" s="5" t="s">
        <v>1</v>
      </c>
      <c r="M334" s="80">
        <f t="shared" si="112"/>
        <v>144</v>
      </c>
      <c r="N334" s="78">
        <f t="shared" si="113"/>
        <v>10800</v>
      </c>
      <c r="O334" s="188">
        <f t="shared" si="114"/>
        <v>10800</v>
      </c>
    </row>
    <row r="335" spans="1:15" x14ac:dyDescent="0.25">
      <c r="A335" s="31"/>
      <c r="B335" s="4" t="s">
        <v>1654</v>
      </c>
      <c r="C335" s="5">
        <v>1</v>
      </c>
      <c r="D335" s="7">
        <v>0</v>
      </c>
      <c r="E335" s="3">
        <f t="shared" si="109"/>
        <v>1</v>
      </c>
      <c r="F335" s="3" t="s">
        <v>867</v>
      </c>
      <c r="G335" s="77"/>
      <c r="H335" s="5" t="s">
        <v>1</v>
      </c>
      <c r="I335" s="78">
        <f t="shared" si="110"/>
        <v>0</v>
      </c>
      <c r="J335" s="110">
        <f t="shared" si="111"/>
        <v>75</v>
      </c>
      <c r="K335" s="4">
        <v>160</v>
      </c>
      <c r="L335" s="5" t="s">
        <v>1</v>
      </c>
      <c r="M335" s="80">
        <f t="shared" si="112"/>
        <v>160</v>
      </c>
      <c r="N335" s="78">
        <f t="shared" si="113"/>
        <v>12000</v>
      </c>
      <c r="O335" s="188">
        <f t="shared" si="114"/>
        <v>12000</v>
      </c>
    </row>
    <row r="336" spans="1:15" x14ac:dyDescent="0.25">
      <c r="A336" s="31"/>
      <c r="B336" s="4" t="s">
        <v>1653</v>
      </c>
      <c r="C336" s="5">
        <v>1</v>
      </c>
      <c r="D336" s="7">
        <v>0</v>
      </c>
      <c r="E336" s="3">
        <f t="shared" si="109"/>
        <v>1</v>
      </c>
      <c r="F336" s="3" t="s">
        <v>867</v>
      </c>
      <c r="G336" s="77"/>
      <c r="H336" s="5" t="s">
        <v>1</v>
      </c>
      <c r="I336" s="78">
        <f t="shared" si="110"/>
        <v>0</v>
      </c>
      <c r="J336" s="110">
        <f t="shared" si="111"/>
        <v>75</v>
      </c>
      <c r="K336" s="4">
        <v>176</v>
      </c>
      <c r="L336" s="5" t="s">
        <v>1</v>
      </c>
      <c r="M336" s="80">
        <f t="shared" si="112"/>
        <v>176</v>
      </c>
      <c r="N336" s="78">
        <f t="shared" si="113"/>
        <v>13200</v>
      </c>
      <c r="O336" s="188">
        <f t="shared" si="114"/>
        <v>13200</v>
      </c>
    </row>
    <row r="337" spans="1:15" x14ac:dyDescent="0.25">
      <c r="A337" s="31"/>
      <c r="B337" s="4" t="s">
        <v>1652</v>
      </c>
      <c r="C337" s="5">
        <v>1</v>
      </c>
      <c r="D337" s="7">
        <v>0</v>
      </c>
      <c r="E337" s="3">
        <f t="shared" si="109"/>
        <v>1</v>
      </c>
      <c r="F337" s="3" t="s">
        <v>867</v>
      </c>
      <c r="G337" s="77"/>
      <c r="H337" s="5" t="s">
        <v>1</v>
      </c>
      <c r="I337" s="78">
        <f t="shared" si="110"/>
        <v>0</v>
      </c>
      <c r="J337" s="110">
        <f t="shared" si="111"/>
        <v>75</v>
      </c>
      <c r="K337" s="4">
        <v>192</v>
      </c>
      <c r="L337" s="5" t="s">
        <v>1</v>
      </c>
      <c r="M337" s="80">
        <f t="shared" si="112"/>
        <v>192</v>
      </c>
      <c r="N337" s="78">
        <f t="shared" si="113"/>
        <v>14400</v>
      </c>
      <c r="O337" s="188">
        <f t="shared" si="114"/>
        <v>14400</v>
      </c>
    </row>
    <row r="338" spans="1:15" x14ac:dyDescent="0.25">
      <c r="A338" s="31"/>
      <c r="B338" s="4" t="s">
        <v>1651</v>
      </c>
      <c r="C338" s="5">
        <v>1</v>
      </c>
      <c r="D338" s="7">
        <v>0</v>
      </c>
      <c r="E338" s="3">
        <f t="shared" si="109"/>
        <v>1</v>
      </c>
      <c r="F338" s="3" t="s">
        <v>867</v>
      </c>
      <c r="G338" s="77"/>
      <c r="H338" s="5" t="s">
        <v>1</v>
      </c>
      <c r="I338" s="78">
        <f t="shared" si="110"/>
        <v>0</v>
      </c>
      <c r="J338" s="110">
        <f t="shared" si="111"/>
        <v>75</v>
      </c>
      <c r="K338" s="4">
        <v>208</v>
      </c>
      <c r="L338" s="5" t="s">
        <v>1</v>
      </c>
      <c r="M338" s="80">
        <f t="shared" si="112"/>
        <v>208</v>
      </c>
      <c r="N338" s="78">
        <f t="shared" si="113"/>
        <v>15600</v>
      </c>
      <c r="O338" s="188">
        <f t="shared" si="114"/>
        <v>15600</v>
      </c>
    </row>
    <row r="339" spans="1:15" x14ac:dyDescent="0.25">
      <c r="A339" s="31"/>
      <c r="B339" s="4" t="s">
        <v>1650</v>
      </c>
      <c r="C339" s="5">
        <v>1</v>
      </c>
      <c r="D339" s="7">
        <v>0</v>
      </c>
      <c r="E339" s="3">
        <f t="shared" si="109"/>
        <v>1</v>
      </c>
      <c r="F339" s="3" t="s">
        <v>867</v>
      </c>
      <c r="G339" s="77"/>
      <c r="H339" s="5" t="s">
        <v>1</v>
      </c>
      <c r="I339" s="78">
        <f t="shared" si="110"/>
        <v>0</v>
      </c>
      <c r="J339" s="110">
        <f t="shared" si="111"/>
        <v>75</v>
      </c>
      <c r="K339" s="4">
        <v>224</v>
      </c>
      <c r="L339" s="5" t="s">
        <v>1</v>
      </c>
      <c r="M339" s="80">
        <f t="shared" si="112"/>
        <v>224</v>
      </c>
      <c r="N339" s="78">
        <f t="shared" si="113"/>
        <v>16800</v>
      </c>
      <c r="O339" s="188">
        <f t="shared" si="114"/>
        <v>16800</v>
      </c>
    </row>
    <row r="340" spans="1:15" x14ac:dyDescent="0.25">
      <c r="A340" s="31"/>
      <c r="B340" s="4" t="s">
        <v>1649</v>
      </c>
      <c r="C340" s="5">
        <v>1</v>
      </c>
      <c r="D340" s="7">
        <v>0</v>
      </c>
      <c r="E340" s="3">
        <f t="shared" si="109"/>
        <v>1</v>
      </c>
      <c r="F340" s="3" t="s">
        <v>867</v>
      </c>
      <c r="G340" s="77"/>
      <c r="H340" s="5" t="s">
        <v>1</v>
      </c>
      <c r="I340" s="78">
        <f t="shared" si="110"/>
        <v>0</v>
      </c>
      <c r="J340" s="110">
        <f t="shared" si="111"/>
        <v>75</v>
      </c>
      <c r="K340" s="4">
        <v>240</v>
      </c>
      <c r="L340" s="5" t="s">
        <v>1</v>
      </c>
      <c r="M340" s="80">
        <f t="shared" si="112"/>
        <v>240</v>
      </c>
      <c r="N340" s="78">
        <f t="shared" si="113"/>
        <v>18000</v>
      </c>
      <c r="O340" s="188">
        <f t="shared" si="114"/>
        <v>18000</v>
      </c>
    </row>
    <row r="341" spans="1:15" x14ac:dyDescent="0.25">
      <c r="A341" s="31"/>
      <c r="B341" s="4" t="s">
        <v>1648</v>
      </c>
      <c r="C341" s="5">
        <v>1</v>
      </c>
      <c r="D341" s="7">
        <v>0</v>
      </c>
      <c r="E341" s="3">
        <f t="shared" si="109"/>
        <v>1</v>
      </c>
      <c r="F341" s="3" t="s">
        <v>867</v>
      </c>
      <c r="G341" s="77"/>
      <c r="H341" s="5" t="s">
        <v>1</v>
      </c>
      <c r="I341" s="78">
        <f t="shared" si="110"/>
        <v>0</v>
      </c>
      <c r="J341" s="110">
        <f t="shared" si="111"/>
        <v>75</v>
      </c>
      <c r="K341" s="4">
        <v>256</v>
      </c>
      <c r="L341" s="5" t="s">
        <v>1</v>
      </c>
      <c r="M341" s="80">
        <f t="shared" si="112"/>
        <v>256</v>
      </c>
      <c r="N341" s="78">
        <f t="shared" si="113"/>
        <v>19200</v>
      </c>
      <c r="O341" s="188">
        <f t="shared" si="114"/>
        <v>19200</v>
      </c>
    </row>
    <row r="342" spans="1:15" x14ac:dyDescent="0.25">
      <c r="A342" s="31"/>
      <c r="B342" s="4" t="s">
        <v>1647</v>
      </c>
      <c r="C342" s="5">
        <v>1</v>
      </c>
      <c r="D342" s="7">
        <v>0</v>
      </c>
      <c r="E342" s="3">
        <f t="shared" si="109"/>
        <v>1</v>
      </c>
      <c r="F342" s="3" t="s">
        <v>867</v>
      </c>
      <c r="G342" s="77"/>
      <c r="H342" s="5" t="s">
        <v>1</v>
      </c>
      <c r="I342" s="78">
        <f t="shared" si="110"/>
        <v>0</v>
      </c>
      <c r="J342" s="110">
        <f t="shared" si="111"/>
        <v>75</v>
      </c>
      <c r="K342" s="4">
        <v>272</v>
      </c>
      <c r="L342" s="5" t="s">
        <v>1</v>
      </c>
      <c r="M342" s="80">
        <f t="shared" si="112"/>
        <v>272</v>
      </c>
      <c r="N342" s="78">
        <f t="shared" si="113"/>
        <v>20400</v>
      </c>
      <c r="O342" s="188">
        <f t="shared" si="114"/>
        <v>20400</v>
      </c>
    </row>
    <row r="343" spans="1:15" x14ac:dyDescent="0.25">
      <c r="A343" s="31"/>
      <c r="B343" s="4" t="s">
        <v>1646</v>
      </c>
      <c r="C343" s="5">
        <v>1</v>
      </c>
      <c r="D343" s="7">
        <v>0</v>
      </c>
      <c r="E343" s="3">
        <f t="shared" si="109"/>
        <v>1</v>
      </c>
      <c r="F343" s="3" t="s">
        <v>867</v>
      </c>
      <c r="G343" s="77"/>
      <c r="H343" s="5" t="s">
        <v>1</v>
      </c>
      <c r="I343" s="78">
        <f t="shared" si="110"/>
        <v>0</v>
      </c>
      <c r="J343" s="110">
        <f t="shared" si="111"/>
        <v>75</v>
      </c>
      <c r="K343" s="4">
        <v>288</v>
      </c>
      <c r="L343" s="5" t="s">
        <v>1</v>
      </c>
      <c r="M343" s="80">
        <f t="shared" si="112"/>
        <v>288</v>
      </c>
      <c r="N343" s="78">
        <f t="shared" si="113"/>
        <v>21600</v>
      </c>
      <c r="O343" s="188">
        <f t="shared" si="114"/>
        <v>21600</v>
      </c>
    </row>
    <row r="344" spans="1:15" x14ac:dyDescent="0.25">
      <c r="A344" s="31"/>
      <c r="B344" s="4" t="s">
        <v>1645</v>
      </c>
      <c r="C344" s="5">
        <v>1</v>
      </c>
      <c r="D344" s="7">
        <v>0</v>
      </c>
      <c r="E344" s="3">
        <f t="shared" si="109"/>
        <v>1</v>
      </c>
      <c r="F344" s="3" t="s">
        <v>867</v>
      </c>
      <c r="G344" s="77"/>
      <c r="H344" s="5" t="s">
        <v>1</v>
      </c>
      <c r="I344" s="78">
        <f t="shared" si="110"/>
        <v>0</v>
      </c>
      <c r="J344" s="110">
        <f t="shared" si="111"/>
        <v>75</v>
      </c>
      <c r="K344" s="4">
        <v>304</v>
      </c>
      <c r="L344" s="5" t="s">
        <v>1</v>
      </c>
      <c r="M344" s="80">
        <f t="shared" si="112"/>
        <v>304</v>
      </c>
      <c r="N344" s="78">
        <f t="shared" si="113"/>
        <v>22800</v>
      </c>
      <c r="O344" s="188">
        <f t="shared" si="114"/>
        <v>22800</v>
      </c>
    </row>
    <row r="345" spans="1:15" x14ac:dyDescent="0.25">
      <c r="A345" s="31"/>
      <c r="B345" s="4" t="s">
        <v>1644</v>
      </c>
      <c r="C345" s="5">
        <v>1</v>
      </c>
      <c r="D345" s="7">
        <v>0</v>
      </c>
      <c r="E345" s="3">
        <f t="shared" si="109"/>
        <v>1</v>
      </c>
      <c r="F345" s="3" t="s">
        <v>867</v>
      </c>
      <c r="G345" s="77"/>
      <c r="H345" s="5" t="s">
        <v>1</v>
      </c>
      <c r="I345" s="78">
        <f t="shared" si="110"/>
        <v>0</v>
      </c>
      <c r="J345" s="110">
        <f t="shared" si="111"/>
        <v>75</v>
      </c>
      <c r="K345" s="4">
        <v>320</v>
      </c>
      <c r="L345" s="5" t="s">
        <v>1</v>
      </c>
      <c r="M345" s="80">
        <f t="shared" si="112"/>
        <v>320</v>
      </c>
      <c r="N345" s="78">
        <f t="shared" si="113"/>
        <v>24000</v>
      </c>
      <c r="O345" s="188">
        <f t="shared" si="114"/>
        <v>24000</v>
      </c>
    </row>
    <row r="346" spans="1:15" ht="15.75" thickBot="1" x14ac:dyDescent="0.3">
      <c r="A346" s="53"/>
      <c r="B346" s="54"/>
      <c r="C346" s="55"/>
      <c r="D346" s="55"/>
      <c r="E346" s="55"/>
      <c r="F346" s="55"/>
      <c r="G346" s="56"/>
      <c r="H346" s="56"/>
      <c r="I346" s="56"/>
      <c r="J346" s="56"/>
      <c r="K346" s="57"/>
      <c r="L346" s="55"/>
      <c r="M346" s="57"/>
      <c r="N346" s="56"/>
      <c r="O346" s="188"/>
    </row>
    <row r="347" spans="1:15" ht="15.75" thickBot="1" x14ac:dyDescent="0.3">
      <c r="A347" s="31"/>
      <c r="B347" s="145" t="s">
        <v>1643</v>
      </c>
      <c r="C347" s="5"/>
      <c r="D347" s="7"/>
      <c r="E347" s="3"/>
      <c r="F347" s="3"/>
      <c r="G347" s="77"/>
      <c r="H347" s="5"/>
      <c r="I347" s="78"/>
      <c r="J347" s="110"/>
      <c r="K347" s="4"/>
      <c r="L347" s="5"/>
      <c r="M347" s="80"/>
      <c r="N347" s="78"/>
      <c r="O347" s="188"/>
    </row>
    <row r="348" spans="1:15" x14ac:dyDescent="0.25">
      <c r="A348" s="31">
        <v>1</v>
      </c>
      <c r="B348" s="4" t="s">
        <v>1642</v>
      </c>
      <c r="C348" s="5">
        <v>1</v>
      </c>
      <c r="D348" s="7">
        <v>0</v>
      </c>
      <c r="E348" s="3">
        <f t="shared" ref="E348:E367" si="115">C348+(C348*D348)</f>
        <v>1</v>
      </c>
      <c r="F348" s="3" t="s">
        <v>867</v>
      </c>
      <c r="G348" s="77"/>
      <c r="H348" s="5" t="s">
        <v>1</v>
      </c>
      <c r="I348" s="78">
        <f t="shared" ref="I348:I367" si="116">IF(H348="C",(G348/100)*E348,IF(H348="M",(G348/1000)*E348,G348*E348))</f>
        <v>0</v>
      </c>
      <c r="J348" s="110">
        <f t="shared" ref="J348:J367" si="117">$O$4</f>
        <v>75</v>
      </c>
      <c r="K348" s="4">
        <v>18</v>
      </c>
      <c r="L348" s="5" t="s">
        <v>1</v>
      </c>
      <c r="M348" s="80">
        <f t="shared" ref="M348:M367" si="118">IF(L348="C",(K348/100)*E348,IF(L348="M",(K348/1000)*E348,K348*E348))</f>
        <v>18</v>
      </c>
      <c r="N348" s="78">
        <f t="shared" ref="N348:N367" si="119">M348*J348</f>
        <v>1350</v>
      </c>
      <c r="O348" s="188">
        <f t="shared" ref="O348:O367" si="120">N348+I348</f>
        <v>1350</v>
      </c>
    </row>
    <row r="349" spans="1:15" x14ac:dyDescent="0.25">
      <c r="A349" s="31"/>
      <c r="B349" s="4" t="s">
        <v>1641</v>
      </c>
      <c r="C349" s="5">
        <v>1</v>
      </c>
      <c r="D349" s="7">
        <v>0</v>
      </c>
      <c r="E349" s="3">
        <f t="shared" si="115"/>
        <v>1</v>
      </c>
      <c r="F349" s="3" t="s">
        <v>867</v>
      </c>
      <c r="G349" s="77"/>
      <c r="H349" s="5" t="s">
        <v>1</v>
      </c>
      <c r="I349" s="78">
        <f t="shared" si="116"/>
        <v>0</v>
      </c>
      <c r="J349" s="110">
        <f t="shared" si="117"/>
        <v>75</v>
      </c>
      <c r="K349" s="4">
        <v>36</v>
      </c>
      <c r="L349" s="5" t="s">
        <v>1</v>
      </c>
      <c r="M349" s="80">
        <f t="shared" si="118"/>
        <v>36</v>
      </c>
      <c r="N349" s="78">
        <f t="shared" si="119"/>
        <v>2700</v>
      </c>
      <c r="O349" s="188">
        <f t="shared" si="120"/>
        <v>2700</v>
      </c>
    </row>
    <row r="350" spans="1:15" x14ac:dyDescent="0.25">
      <c r="A350" s="31"/>
      <c r="B350" s="4" t="s">
        <v>1640</v>
      </c>
      <c r="C350" s="5">
        <v>1</v>
      </c>
      <c r="D350" s="7">
        <v>0</v>
      </c>
      <c r="E350" s="3">
        <f t="shared" si="115"/>
        <v>1</v>
      </c>
      <c r="F350" s="3" t="s">
        <v>867</v>
      </c>
      <c r="G350" s="77"/>
      <c r="H350" s="5" t="s">
        <v>1</v>
      </c>
      <c r="I350" s="78">
        <f t="shared" si="116"/>
        <v>0</v>
      </c>
      <c r="J350" s="110">
        <f t="shared" si="117"/>
        <v>75</v>
      </c>
      <c r="K350" s="4">
        <v>54</v>
      </c>
      <c r="L350" s="5" t="s">
        <v>1</v>
      </c>
      <c r="M350" s="80">
        <f t="shared" si="118"/>
        <v>54</v>
      </c>
      <c r="N350" s="78">
        <f t="shared" si="119"/>
        <v>4050</v>
      </c>
      <c r="O350" s="188">
        <f t="shared" si="120"/>
        <v>4050</v>
      </c>
    </row>
    <row r="351" spans="1:15" x14ac:dyDescent="0.25">
      <c r="A351" s="31"/>
      <c r="B351" s="4" t="s">
        <v>1639</v>
      </c>
      <c r="C351" s="5">
        <v>1</v>
      </c>
      <c r="D351" s="7">
        <v>0</v>
      </c>
      <c r="E351" s="3">
        <f t="shared" si="115"/>
        <v>1</v>
      </c>
      <c r="F351" s="3" t="s">
        <v>867</v>
      </c>
      <c r="G351" s="77"/>
      <c r="H351" s="5" t="s">
        <v>1</v>
      </c>
      <c r="I351" s="78">
        <f t="shared" si="116"/>
        <v>0</v>
      </c>
      <c r="J351" s="110">
        <f t="shared" si="117"/>
        <v>75</v>
      </c>
      <c r="K351" s="4">
        <v>72</v>
      </c>
      <c r="L351" s="5" t="s">
        <v>1</v>
      </c>
      <c r="M351" s="80">
        <f t="shared" si="118"/>
        <v>72</v>
      </c>
      <c r="N351" s="78">
        <f t="shared" si="119"/>
        <v>5400</v>
      </c>
      <c r="O351" s="188">
        <f t="shared" si="120"/>
        <v>5400</v>
      </c>
    </row>
    <row r="352" spans="1:15" x14ac:dyDescent="0.25">
      <c r="A352" s="31"/>
      <c r="B352" s="4" t="s">
        <v>1638</v>
      </c>
      <c r="C352" s="5">
        <v>1</v>
      </c>
      <c r="D352" s="7">
        <v>0</v>
      </c>
      <c r="E352" s="3">
        <f t="shared" si="115"/>
        <v>1</v>
      </c>
      <c r="F352" s="3" t="s">
        <v>867</v>
      </c>
      <c r="G352" s="77"/>
      <c r="H352" s="5" t="s">
        <v>1</v>
      </c>
      <c r="I352" s="78">
        <f t="shared" si="116"/>
        <v>0</v>
      </c>
      <c r="J352" s="110">
        <f t="shared" si="117"/>
        <v>75</v>
      </c>
      <c r="K352" s="4">
        <v>90</v>
      </c>
      <c r="L352" s="5" t="s">
        <v>1</v>
      </c>
      <c r="M352" s="80">
        <f t="shared" si="118"/>
        <v>90</v>
      </c>
      <c r="N352" s="78">
        <f t="shared" si="119"/>
        <v>6750</v>
      </c>
      <c r="O352" s="188">
        <f t="shared" si="120"/>
        <v>6750</v>
      </c>
    </row>
    <row r="353" spans="1:15" x14ac:dyDescent="0.25">
      <c r="A353" s="31"/>
      <c r="B353" s="4" t="s">
        <v>1637</v>
      </c>
      <c r="C353" s="5">
        <v>1</v>
      </c>
      <c r="D353" s="7">
        <v>0</v>
      </c>
      <c r="E353" s="3">
        <f t="shared" si="115"/>
        <v>1</v>
      </c>
      <c r="F353" s="3" t="s">
        <v>867</v>
      </c>
      <c r="G353" s="77"/>
      <c r="H353" s="5" t="s">
        <v>1</v>
      </c>
      <c r="I353" s="78">
        <f t="shared" si="116"/>
        <v>0</v>
      </c>
      <c r="J353" s="110">
        <f t="shared" si="117"/>
        <v>75</v>
      </c>
      <c r="K353" s="4">
        <v>108</v>
      </c>
      <c r="L353" s="5" t="s">
        <v>1</v>
      </c>
      <c r="M353" s="80">
        <f t="shared" si="118"/>
        <v>108</v>
      </c>
      <c r="N353" s="78">
        <f t="shared" si="119"/>
        <v>8100</v>
      </c>
      <c r="O353" s="188">
        <f t="shared" si="120"/>
        <v>8100</v>
      </c>
    </row>
    <row r="354" spans="1:15" x14ac:dyDescent="0.25">
      <c r="A354" s="31"/>
      <c r="B354" s="4" t="s">
        <v>1636</v>
      </c>
      <c r="C354" s="5">
        <v>1</v>
      </c>
      <c r="D354" s="7">
        <v>0</v>
      </c>
      <c r="E354" s="3">
        <f t="shared" si="115"/>
        <v>1</v>
      </c>
      <c r="F354" s="3" t="s">
        <v>867</v>
      </c>
      <c r="G354" s="77"/>
      <c r="H354" s="5" t="s">
        <v>1</v>
      </c>
      <c r="I354" s="78">
        <f t="shared" si="116"/>
        <v>0</v>
      </c>
      <c r="J354" s="110">
        <f t="shared" si="117"/>
        <v>75</v>
      </c>
      <c r="K354" s="4">
        <v>126</v>
      </c>
      <c r="L354" s="5" t="s">
        <v>1</v>
      </c>
      <c r="M354" s="80">
        <f t="shared" si="118"/>
        <v>126</v>
      </c>
      <c r="N354" s="78">
        <f t="shared" si="119"/>
        <v>9450</v>
      </c>
      <c r="O354" s="188">
        <f t="shared" si="120"/>
        <v>9450</v>
      </c>
    </row>
    <row r="355" spans="1:15" x14ac:dyDescent="0.25">
      <c r="A355" s="31"/>
      <c r="B355" s="4" t="s">
        <v>1635</v>
      </c>
      <c r="C355" s="5">
        <v>1</v>
      </c>
      <c r="D355" s="7">
        <v>0</v>
      </c>
      <c r="E355" s="3">
        <f t="shared" si="115"/>
        <v>1</v>
      </c>
      <c r="F355" s="3" t="s">
        <v>867</v>
      </c>
      <c r="G355" s="77"/>
      <c r="H355" s="5" t="s">
        <v>1</v>
      </c>
      <c r="I355" s="78">
        <f t="shared" si="116"/>
        <v>0</v>
      </c>
      <c r="J355" s="110">
        <f t="shared" si="117"/>
        <v>75</v>
      </c>
      <c r="K355" s="4">
        <v>144</v>
      </c>
      <c r="L355" s="5" t="s">
        <v>1</v>
      </c>
      <c r="M355" s="80">
        <f t="shared" si="118"/>
        <v>144</v>
      </c>
      <c r="N355" s="78">
        <f t="shared" si="119"/>
        <v>10800</v>
      </c>
      <c r="O355" s="188">
        <f t="shared" si="120"/>
        <v>10800</v>
      </c>
    </row>
    <row r="356" spans="1:15" x14ac:dyDescent="0.25">
      <c r="A356" s="31"/>
      <c r="B356" s="4" t="s">
        <v>1634</v>
      </c>
      <c r="C356" s="5">
        <v>1</v>
      </c>
      <c r="D356" s="7">
        <v>0</v>
      </c>
      <c r="E356" s="3">
        <f t="shared" si="115"/>
        <v>1</v>
      </c>
      <c r="F356" s="3" t="s">
        <v>867</v>
      </c>
      <c r="G356" s="77"/>
      <c r="H356" s="5" t="s">
        <v>1</v>
      </c>
      <c r="I356" s="78">
        <f t="shared" si="116"/>
        <v>0</v>
      </c>
      <c r="J356" s="110">
        <f t="shared" si="117"/>
        <v>75</v>
      </c>
      <c r="K356" s="4">
        <v>162</v>
      </c>
      <c r="L356" s="5" t="s">
        <v>1</v>
      </c>
      <c r="M356" s="80">
        <f t="shared" si="118"/>
        <v>162</v>
      </c>
      <c r="N356" s="78">
        <f t="shared" si="119"/>
        <v>12150</v>
      </c>
      <c r="O356" s="188">
        <f t="shared" si="120"/>
        <v>12150</v>
      </c>
    </row>
    <row r="357" spans="1:15" x14ac:dyDescent="0.25">
      <c r="A357" s="31"/>
      <c r="B357" s="4" t="s">
        <v>1633</v>
      </c>
      <c r="C357" s="5">
        <v>1</v>
      </c>
      <c r="D357" s="7">
        <v>0</v>
      </c>
      <c r="E357" s="3">
        <f t="shared" si="115"/>
        <v>1</v>
      </c>
      <c r="F357" s="3" t="s">
        <v>867</v>
      </c>
      <c r="G357" s="77"/>
      <c r="H357" s="5" t="s">
        <v>1</v>
      </c>
      <c r="I357" s="78">
        <f t="shared" si="116"/>
        <v>0</v>
      </c>
      <c r="J357" s="110">
        <f t="shared" si="117"/>
        <v>75</v>
      </c>
      <c r="K357" s="4">
        <v>180</v>
      </c>
      <c r="L357" s="5" t="s">
        <v>1</v>
      </c>
      <c r="M357" s="80">
        <f t="shared" si="118"/>
        <v>180</v>
      </c>
      <c r="N357" s="78">
        <f t="shared" si="119"/>
        <v>13500</v>
      </c>
      <c r="O357" s="188">
        <f t="shared" si="120"/>
        <v>13500</v>
      </c>
    </row>
    <row r="358" spans="1:15" x14ac:dyDescent="0.25">
      <c r="A358" s="31"/>
      <c r="B358" s="4" t="s">
        <v>1632</v>
      </c>
      <c r="C358" s="5">
        <v>1</v>
      </c>
      <c r="D358" s="7">
        <v>0</v>
      </c>
      <c r="E358" s="3">
        <f t="shared" si="115"/>
        <v>1</v>
      </c>
      <c r="F358" s="3" t="s">
        <v>867</v>
      </c>
      <c r="G358" s="77"/>
      <c r="H358" s="5" t="s">
        <v>1</v>
      </c>
      <c r="I358" s="78">
        <f t="shared" si="116"/>
        <v>0</v>
      </c>
      <c r="J358" s="110">
        <f t="shared" si="117"/>
        <v>75</v>
      </c>
      <c r="K358" s="4">
        <v>198</v>
      </c>
      <c r="L358" s="5" t="s">
        <v>1</v>
      </c>
      <c r="M358" s="80">
        <f t="shared" si="118"/>
        <v>198</v>
      </c>
      <c r="N358" s="78">
        <f t="shared" si="119"/>
        <v>14850</v>
      </c>
      <c r="O358" s="188">
        <f t="shared" si="120"/>
        <v>14850</v>
      </c>
    </row>
    <row r="359" spans="1:15" x14ac:dyDescent="0.25">
      <c r="A359" s="31"/>
      <c r="B359" s="4" t="s">
        <v>1631</v>
      </c>
      <c r="C359" s="5">
        <v>1</v>
      </c>
      <c r="D359" s="7">
        <v>0</v>
      </c>
      <c r="E359" s="3">
        <f t="shared" si="115"/>
        <v>1</v>
      </c>
      <c r="F359" s="3" t="s">
        <v>867</v>
      </c>
      <c r="G359" s="77"/>
      <c r="H359" s="5" t="s">
        <v>1</v>
      </c>
      <c r="I359" s="78">
        <f t="shared" si="116"/>
        <v>0</v>
      </c>
      <c r="J359" s="110">
        <f t="shared" si="117"/>
        <v>75</v>
      </c>
      <c r="K359" s="4">
        <v>216</v>
      </c>
      <c r="L359" s="5" t="s">
        <v>1</v>
      </c>
      <c r="M359" s="80">
        <f t="shared" si="118"/>
        <v>216</v>
      </c>
      <c r="N359" s="78">
        <f t="shared" si="119"/>
        <v>16200</v>
      </c>
      <c r="O359" s="188">
        <f t="shared" si="120"/>
        <v>16200</v>
      </c>
    </row>
    <row r="360" spans="1:15" x14ac:dyDescent="0.25">
      <c r="A360" s="31"/>
      <c r="B360" s="4" t="s">
        <v>1630</v>
      </c>
      <c r="C360" s="5">
        <v>1</v>
      </c>
      <c r="D360" s="7">
        <v>0</v>
      </c>
      <c r="E360" s="3">
        <f t="shared" si="115"/>
        <v>1</v>
      </c>
      <c r="F360" s="3" t="s">
        <v>867</v>
      </c>
      <c r="G360" s="77"/>
      <c r="H360" s="5" t="s">
        <v>1</v>
      </c>
      <c r="I360" s="78">
        <f t="shared" si="116"/>
        <v>0</v>
      </c>
      <c r="J360" s="110">
        <f t="shared" si="117"/>
        <v>75</v>
      </c>
      <c r="K360" s="4">
        <v>234</v>
      </c>
      <c r="L360" s="5" t="s">
        <v>1</v>
      </c>
      <c r="M360" s="80">
        <f t="shared" si="118"/>
        <v>234</v>
      </c>
      <c r="N360" s="78">
        <f t="shared" si="119"/>
        <v>17550</v>
      </c>
      <c r="O360" s="188">
        <f t="shared" si="120"/>
        <v>17550</v>
      </c>
    </row>
    <row r="361" spans="1:15" x14ac:dyDescent="0.25">
      <c r="A361" s="31"/>
      <c r="B361" s="4" t="s">
        <v>1629</v>
      </c>
      <c r="C361" s="5">
        <v>1</v>
      </c>
      <c r="D361" s="7">
        <v>0</v>
      </c>
      <c r="E361" s="3">
        <f t="shared" si="115"/>
        <v>1</v>
      </c>
      <c r="F361" s="3" t="s">
        <v>867</v>
      </c>
      <c r="G361" s="77"/>
      <c r="H361" s="5" t="s">
        <v>1</v>
      </c>
      <c r="I361" s="78">
        <f t="shared" si="116"/>
        <v>0</v>
      </c>
      <c r="J361" s="110">
        <f t="shared" si="117"/>
        <v>75</v>
      </c>
      <c r="K361" s="4">
        <v>252</v>
      </c>
      <c r="L361" s="5" t="s">
        <v>1</v>
      </c>
      <c r="M361" s="80">
        <f t="shared" si="118"/>
        <v>252</v>
      </c>
      <c r="N361" s="78">
        <f t="shared" si="119"/>
        <v>18900</v>
      </c>
      <c r="O361" s="188">
        <f t="shared" si="120"/>
        <v>18900</v>
      </c>
    </row>
    <row r="362" spans="1:15" x14ac:dyDescent="0.25">
      <c r="A362" s="31"/>
      <c r="B362" s="4" t="s">
        <v>1628</v>
      </c>
      <c r="C362" s="5">
        <v>1</v>
      </c>
      <c r="D362" s="7">
        <v>0</v>
      </c>
      <c r="E362" s="3">
        <f t="shared" si="115"/>
        <v>1</v>
      </c>
      <c r="F362" s="3" t="s">
        <v>867</v>
      </c>
      <c r="G362" s="77"/>
      <c r="H362" s="5" t="s">
        <v>1</v>
      </c>
      <c r="I362" s="78">
        <f t="shared" si="116"/>
        <v>0</v>
      </c>
      <c r="J362" s="110">
        <f t="shared" si="117"/>
        <v>75</v>
      </c>
      <c r="K362" s="4">
        <v>270</v>
      </c>
      <c r="L362" s="5" t="s">
        <v>1</v>
      </c>
      <c r="M362" s="80">
        <f t="shared" si="118"/>
        <v>270</v>
      </c>
      <c r="N362" s="78">
        <f t="shared" si="119"/>
        <v>20250</v>
      </c>
      <c r="O362" s="188">
        <f t="shared" si="120"/>
        <v>20250</v>
      </c>
    </row>
    <row r="363" spans="1:15" x14ac:dyDescent="0.25">
      <c r="A363" s="31"/>
      <c r="B363" s="4" t="s">
        <v>1627</v>
      </c>
      <c r="C363" s="5">
        <v>1</v>
      </c>
      <c r="D363" s="7">
        <v>0</v>
      </c>
      <c r="E363" s="3">
        <f t="shared" si="115"/>
        <v>1</v>
      </c>
      <c r="F363" s="3" t="s">
        <v>867</v>
      </c>
      <c r="G363" s="77"/>
      <c r="H363" s="5" t="s">
        <v>1</v>
      </c>
      <c r="I363" s="78">
        <f t="shared" si="116"/>
        <v>0</v>
      </c>
      <c r="J363" s="110">
        <f t="shared" si="117"/>
        <v>75</v>
      </c>
      <c r="K363" s="4">
        <v>288</v>
      </c>
      <c r="L363" s="5" t="s">
        <v>1</v>
      </c>
      <c r="M363" s="80">
        <f t="shared" si="118"/>
        <v>288</v>
      </c>
      <c r="N363" s="78">
        <f t="shared" si="119"/>
        <v>21600</v>
      </c>
      <c r="O363" s="188">
        <f t="shared" si="120"/>
        <v>21600</v>
      </c>
    </row>
    <row r="364" spans="1:15" x14ac:dyDescent="0.25">
      <c r="A364" s="31"/>
      <c r="B364" s="4" t="s">
        <v>1626</v>
      </c>
      <c r="C364" s="5">
        <v>1</v>
      </c>
      <c r="D364" s="7">
        <v>0</v>
      </c>
      <c r="E364" s="3">
        <f t="shared" si="115"/>
        <v>1</v>
      </c>
      <c r="F364" s="3" t="s">
        <v>867</v>
      </c>
      <c r="G364" s="77"/>
      <c r="H364" s="5" t="s">
        <v>1</v>
      </c>
      <c r="I364" s="78">
        <f t="shared" si="116"/>
        <v>0</v>
      </c>
      <c r="J364" s="110">
        <f t="shared" si="117"/>
        <v>75</v>
      </c>
      <c r="K364" s="4">
        <v>306</v>
      </c>
      <c r="L364" s="5" t="s">
        <v>1</v>
      </c>
      <c r="M364" s="80">
        <f t="shared" si="118"/>
        <v>306</v>
      </c>
      <c r="N364" s="78">
        <f t="shared" si="119"/>
        <v>22950</v>
      </c>
      <c r="O364" s="188">
        <f t="shared" si="120"/>
        <v>22950</v>
      </c>
    </row>
    <row r="365" spans="1:15" x14ac:dyDescent="0.25">
      <c r="A365" s="31"/>
      <c r="B365" s="4" t="s">
        <v>1625</v>
      </c>
      <c r="C365" s="5">
        <v>1</v>
      </c>
      <c r="D365" s="7">
        <v>0</v>
      </c>
      <c r="E365" s="3">
        <f t="shared" si="115"/>
        <v>1</v>
      </c>
      <c r="F365" s="3" t="s">
        <v>867</v>
      </c>
      <c r="G365" s="77"/>
      <c r="H365" s="5" t="s">
        <v>1</v>
      </c>
      <c r="I365" s="78">
        <f t="shared" si="116"/>
        <v>0</v>
      </c>
      <c r="J365" s="110">
        <f t="shared" si="117"/>
        <v>75</v>
      </c>
      <c r="K365" s="4">
        <v>324</v>
      </c>
      <c r="L365" s="5" t="s">
        <v>1</v>
      </c>
      <c r="M365" s="80">
        <f t="shared" si="118"/>
        <v>324</v>
      </c>
      <c r="N365" s="78">
        <f t="shared" si="119"/>
        <v>24300</v>
      </c>
      <c r="O365" s="188">
        <f t="shared" si="120"/>
        <v>24300</v>
      </c>
    </row>
    <row r="366" spans="1:15" x14ac:dyDescent="0.25">
      <c r="A366" s="31"/>
      <c r="B366" s="4" t="s">
        <v>1624</v>
      </c>
      <c r="C366" s="5">
        <v>1</v>
      </c>
      <c r="D366" s="7">
        <v>0</v>
      </c>
      <c r="E366" s="3">
        <f t="shared" si="115"/>
        <v>1</v>
      </c>
      <c r="F366" s="3" t="s">
        <v>867</v>
      </c>
      <c r="G366" s="77"/>
      <c r="H366" s="5" t="s">
        <v>1</v>
      </c>
      <c r="I366" s="78">
        <f t="shared" si="116"/>
        <v>0</v>
      </c>
      <c r="J366" s="110">
        <f t="shared" si="117"/>
        <v>75</v>
      </c>
      <c r="K366" s="4">
        <v>342</v>
      </c>
      <c r="L366" s="5" t="s">
        <v>1</v>
      </c>
      <c r="M366" s="80">
        <f t="shared" si="118"/>
        <v>342</v>
      </c>
      <c r="N366" s="78">
        <f t="shared" si="119"/>
        <v>25650</v>
      </c>
      <c r="O366" s="188">
        <f t="shared" si="120"/>
        <v>25650</v>
      </c>
    </row>
    <row r="367" spans="1:15" x14ac:dyDescent="0.25">
      <c r="A367" s="60"/>
      <c r="B367" s="8" t="s">
        <v>1623</v>
      </c>
      <c r="C367" s="5">
        <v>1</v>
      </c>
      <c r="D367" s="7">
        <v>0</v>
      </c>
      <c r="E367" s="3">
        <f t="shared" si="115"/>
        <v>1</v>
      </c>
      <c r="F367" s="3" t="s">
        <v>867</v>
      </c>
      <c r="G367" s="77"/>
      <c r="H367" s="5" t="s">
        <v>1</v>
      </c>
      <c r="I367" s="78">
        <f t="shared" si="116"/>
        <v>0</v>
      </c>
      <c r="J367" s="110">
        <f t="shared" si="117"/>
        <v>75</v>
      </c>
      <c r="K367" s="4">
        <v>360</v>
      </c>
      <c r="L367" s="5" t="s">
        <v>1</v>
      </c>
      <c r="M367" s="80">
        <f t="shared" si="118"/>
        <v>360</v>
      </c>
      <c r="N367" s="78">
        <f t="shared" si="119"/>
        <v>27000</v>
      </c>
      <c r="O367" s="188">
        <f t="shared" si="120"/>
        <v>27000</v>
      </c>
    </row>
    <row r="368" spans="1:15" ht="15.75" thickBot="1" x14ac:dyDescent="0.3">
      <c r="A368" s="53"/>
      <c r="B368" s="54"/>
      <c r="C368" s="55"/>
      <c r="D368" s="55"/>
      <c r="E368" s="55"/>
      <c r="F368" s="55"/>
      <c r="G368" s="56"/>
      <c r="H368" s="56"/>
      <c r="I368" s="56"/>
      <c r="J368" s="56"/>
      <c r="K368" s="57"/>
      <c r="L368" s="55"/>
      <c r="M368" s="57"/>
      <c r="N368" s="56"/>
      <c r="O368" s="188"/>
    </row>
    <row r="369" spans="1:15" ht="15.75" thickBot="1" x14ac:dyDescent="0.3">
      <c r="A369" s="31"/>
      <c r="B369" s="145" t="s">
        <v>1622</v>
      </c>
      <c r="C369" s="5"/>
      <c r="D369" s="7"/>
      <c r="E369" s="3"/>
      <c r="F369" s="3"/>
      <c r="G369" s="77"/>
      <c r="H369" s="5"/>
      <c r="I369" s="78"/>
      <c r="J369" s="110"/>
      <c r="K369" s="4"/>
      <c r="L369" s="5"/>
      <c r="M369" s="80"/>
      <c r="N369" s="78"/>
      <c r="O369" s="188"/>
    </row>
    <row r="370" spans="1:15" x14ac:dyDescent="0.25">
      <c r="A370" s="31">
        <v>1</v>
      </c>
      <c r="B370" s="4" t="s">
        <v>1621</v>
      </c>
      <c r="C370" s="5">
        <v>1</v>
      </c>
      <c r="D370" s="7">
        <v>0</v>
      </c>
      <c r="E370" s="3">
        <f t="shared" ref="E370:E389" si="121">C370+(C370*D370)</f>
        <v>1</v>
      </c>
      <c r="F370" s="3" t="s">
        <v>867</v>
      </c>
      <c r="G370" s="77"/>
      <c r="H370" s="5" t="s">
        <v>1</v>
      </c>
      <c r="I370" s="78">
        <f t="shared" ref="I370:I389" si="122">IF(H370="C",(G370/100)*E370,IF(H370="M",(G370/1000)*E370,G370*E370))</f>
        <v>0</v>
      </c>
      <c r="J370" s="110">
        <f t="shared" ref="J370:J389" si="123">$O$4</f>
        <v>75</v>
      </c>
      <c r="K370" s="4">
        <v>22</v>
      </c>
      <c r="L370" s="5" t="s">
        <v>1</v>
      </c>
      <c r="M370" s="80">
        <f t="shared" ref="M370:M389" si="124">IF(L370="C",(K370/100)*E370,IF(L370="M",(K370/1000)*E370,K370*E370))</f>
        <v>22</v>
      </c>
      <c r="N370" s="78">
        <f t="shared" ref="N370:N389" si="125">M370*J370</f>
        <v>1650</v>
      </c>
      <c r="O370" s="188">
        <f t="shared" ref="O370:O389" si="126">N370+I370</f>
        <v>1650</v>
      </c>
    </row>
    <row r="371" spans="1:15" x14ac:dyDescent="0.25">
      <c r="A371" s="31"/>
      <c r="B371" s="4" t="s">
        <v>1620</v>
      </c>
      <c r="C371" s="5">
        <v>1</v>
      </c>
      <c r="D371" s="7">
        <v>0</v>
      </c>
      <c r="E371" s="3">
        <f t="shared" si="121"/>
        <v>1</v>
      </c>
      <c r="F371" s="3" t="s">
        <v>867</v>
      </c>
      <c r="G371" s="77"/>
      <c r="H371" s="5" t="s">
        <v>1</v>
      </c>
      <c r="I371" s="78">
        <f t="shared" si="122"/>
        <v>0</v>
      </c>
      <c r="J371" s="110">
        <f t="shared" si="123"/>
        <v>75</v>
      </c>
      <c r="K371" s="4">
        <v>44</v>
      </c>
      <c r="L371" s="5" t="s">
        <v>1</v>
      </c>
      <c r="M371" s="80">
        <f t="shared" si="124"/>
        <v>44</v>
      </c>
      <c r="N371" s="78">
        <f t="shared" si="125"/>
        <v>3300</v>
      </c>
      <c r="O371" s="188">
        <f t="shared" si="126"/>
        <v>3300</v>
      </c>
    </row>
    <row r="372" spans="1:15" x14ac:dyDescent="0.25">
      <c r="A372" s="31"/>
      <c r="B372" s="4" t="s">
        <v>1619</v>
      </c>
      <c r="C372" s="5">
        <v>1</v>
      </c>
      <c r="D372" s="7">
        <v>0</v>
      </c>
      <c r="E372" s="3">
        <f t="shared" si="121"/>
        <v>1</v>
      </c>
      <c r="F372" s="3" t="s">
        <v>867</v>
      </c>
      <c r="G372" s="77"/>
      <c r="H372" s="5" t="s">
        <v>1</v>
      </c>
      <c r="I372" s="78">
        <f t="shared" si="122"/>
        <v>0</v>
      </c>
      <c r="J372" s="110">
        <f t="shared" si="123"/>
        <v>75</v>
      </c>
      <c r="K372" s="4">
        <v>66</v>
      </c>
      <c r="L372" s="5" t="s">
        <v>1</v>
      </c>
      <c r="M372" s="80">
        <f t="shared" si="124"/>
        <v>66</v>
      </c>
      <c r="N372" s="78">
        <f t="shared" si="125"/>
        <v>4950</v>
      </c>
      <c r="O372" s="188">
        <f t="shared" si="126"/>
        <v>4950</v>
      </c>
    </row>
    <row r="373" spans="1:15" x14ac:dyDescent="0.25">
      <c r="A373" s="31"/>
      <c r="B373" s="4" t="s">
        <v>1618</v>
      </c>
      <c r="C373" s="5">
        <v>1</v>
      </c>
      <c r="D373" s="7">
        <v>0</v>
      </c>
      <c r="E373" s="3">
        <f t="shared" si="121"/>
        <v>1</v>
      </c>
      <c r="F373" s="3" t="s">
        <v>867</v>
      </c>
      <c r="G373" s="77"/>
      <c r="H373" s="5" t="s">
        <v>1</v>
      </c>
      <c r="I373" s="78">
        <f t="shared" si="122"/>
        <v>0</v>
      </c>
      <c r="J373" s="110">
        <f t="shared" si="123"/>
        <v>75</v>
      </c>
      <c r="K373" s="4">
        <v>88</v>
      </c>
      <c r="L373" s="5" t="s">
        <v>1</v>
      </c>
      <c r="M373" s="80">
        <f t="shared" si="124"/>
        <v>88</v>
      </c>
      <c r="N373" s="78">
        <f t="shared" si="125"/>
        <v>6600</v>
      </c>
      <c r="O373" s="188">
        <f t="shared" si="126"/>
        <v>6600</v>
      </c>
    </row>
    <row r="374" spans="1:15" x14ac:dyDescent="0.25">
      <c r="A374" s="31"/>
      <c r="B374" s="4" t="s">
        <v>1617</v>
      </c>
      <c r="C374" s="5">
        <v>1</v>
      </c>
      <c r="D374" s="7">
        <v>0</v>
      </c>
      <c r="E374" s="3">
        <f t="shared" si="121"/>
        <v>1</v>
      </c>
      <c r="F374" s="3" t="s">
        <v>867</v>
      </c>
      <c r="G374" s="77"/>
      <c r="H374" s="5" t="s">
        <v>1</v>
      </c>
      <c r="I374" s="78">
        <f t="shared" si="122"/>
        <v>0</v>
      </c>
      <c r="J374" s="110">
        <f t="shared" si="123"/>
        <v>75</v>
      </c>
      <c r="K374" s="4">
        <v>110</v>
      </c>
      <c r="L374" s="5" t="s">
        <v>1</v>
      </c>
      <c r="M374" s="80">
        <f t="shared" si="124"/>
        <v>110</v>
      </c>
      <c r="N374" s="78">
        <f t="shared" si="125"/>
        <v>8250</v>
      </c>
      <c r="O374" s="188">
        <f t="shared" si="126"/>
        <v>8250</v>
      </c>
    </row>
    <row r="375" spans="1:15" x14ac:dyDescent="0.25">
      <c r="A375" s="31"/>
      <c r="B375" s="4" t="s">
        <v>1616</v>
      </c>
      <c r="C375" s="5">
        <v>1</v>
      </c>
      <c r="D375" s="7">
        <v>0</v>
      </c>
      <c r="E375" s="3">
        <f t="shared" si="121"/>
        <v>1</v>
      </c>
      <c r="F375" s="3" t="s">
        <v>867</v>
      </c>
      <c r="G375" s="77"/>
      <c r="H375" s="5" t="s">
        <v>1</v>
      </c>
      <c r="I375" s="78">
        <f t="shared" si="122"/>
        <v>0</v>
      </c>
      <c r="J375" s="110">
        <f t="shared" si="123"/>
        <v>75</v>
      </c>
      <c r="K375" s="4">
        <v>132</v>
      </c>
      <c r="L375" s="5" t="s">
        <v>1</v>
      </c>
      <c r="M375" s="80">
        <f t="shared" si="124"/>
        <v>132</v>
      </c>
      <c r="N375" s="78">
        <f t="shared" si="125"/>
        <v>9900</v>
      </c>
      <c r="O375" s="188">
        <f t="shared" si="126"/>
        <v>9900</v>
      </c>
    </row>
    <row r="376" spans="1:15" x14ac:dyDescent="0.25">
      <c r="A376" s="31"/>
      <c r="B376" s="4" t="s">
        <v>1615</v>
      </c>
      <c r="C376" s="5">
        <v>1</v>
      </c>
      <c r="D376" s="7">
        <v>0</v>
      </c>
      <c r="E376" s="3">
        <f t="shared" si="121"/>
        <v>1</v>
      </c>
      <c r="F376" s="3" t="s">
        <v>867</v>
      </c>
      <c r="G376" s="77"/>
      <c r="H376" s="5" t="s">
        <v>1</v>
      </c>
      <c r="I376" s="78">
        <f t="shared" si="122"/>
        <v>0</v>
      </c>
      <c r="J376" s="110">
        <f t="shared" si="123"/>
        <v>75</v>
      </c>
      <c r="K376" s="4">
        <v>154</v>
      </c>
      <c r="L376" s="5" t="s">
        <v>1</v>
      </c>
      <c r="M376" s="80">
        <f t="shared" si="124"/>
        <v>154</v>
      </c>
      <c r="N376" s="78">
        <f t="shared" si="125"/>
        <v>11550</v>
      </c>
      <c r="O376" s="188">
        <f t="shared" si="126"/>
        <v>11550</v>
      </c>
    </row>
    <row r="377" spans="1:15" ht="15" customHeight="1" x14ac:dyDescent="0.25">
      <c r="A377" s="60"/>
      <c r="B377" s="8" t="s">
        <v>1614</v>
      </c>
      <c r="C377" s="5">
        <v>1</v>
      </c>
      <c r="D377" s="7">
        <v>0</v>
      </c>
      <c r="E377" s="3">
        <f t="shared" si="121"/>
        <v>1</v>
      </c>
      <c r="F377" s="3" t="s">
        <v>867</v>
      </c>
      <c r="G377" s="77"/>
      <c r="H377" s="5" t="s">
        <v>1</v>
      </c>
      <c r="I377" s="78">
        <f t="shared" si="122"/>
        <v>0</v>
      </c>
      <c r="J377" s="110">
        <f t="shared" si="123"/>
        <v>75</v>
      </c>
      <c r="K377" s="4">
        <v>176</v>
      </c>
      <c r="L377" s="5" t="s">
        <v>1</v>
      </c>
      <c r="M377" s="80">
        <f t="shared" si="124"/>
        <v>176</v>
      </c>
      <c r="N377" s="78">
        <f t="shared" si="125"/>
        <v>13200</v>
      </c>
      <c r="O377" s="188">
        <f t="shared" si="126"/>
        <v>13200</v>
      </c>
    </row>
    <row r="378" spans="1:15" x14ac:dyDescent="0.25">
      <c r="A378" s="31"/>
      <c r="B378" s="4" t="s">
        <v>1613</v>
      </c>
      <c r="C378" s="5">
        <v>1</v>
      </c>
      <c r="D378" s="7">
        <v>0</v>
      </c>
      <c r="E378" s="3">
        <f t="shared" si="121"/>
        <v>1</v>
      </c>
      <c r="F378" s="3" t="s">
        <v>867</v>
      </c>
      <c r="G378" s="77"/>
      <c r="H378" s="5" t="s">
        <v>1</v>
      </c>
      <c r="I378" s="78">
        <f t="shared" si="122"/>
        <v>0</v>
      </c>
      <c r="J378" s="110">
        <f t="shared" si="123"/>
        <v>75</v>
      </c>
      <c r="K378" s="4">
        <v>198</v>
      </c>
      <c r="L378" s="5" t="s">
        <v>1</v>
      </c>
      <c r="M378" s="80">
        <f t="shared" si="124"/>
        <v>198</v>
      </c>
      <c r="N378" s="78">
        <f t="shared" si="125"/>
        <v>14850</v>
      </c>
      <c r="O378" s="188">
        <f t="shared" si="126"/>
        <v>14850</v>
      </c>
    </row>
    <row r="379" spans="1:15" x14ac:dyDescent="0.25">
      <c r="A379" s="31"/>
      <c r="B379" s="4" t="s">
        <v>1612</v>
      </c>
      <c r="C379" s="5">
        <v>1</v>
      </c>
      <c r="D379" s="7">
        <v>0</v>
      </c>
      <c r="E379" s="3">
        <f t="shared" si="121"/>
        <v>1</v>
      </c>
      <c r="F379" s="3" t="s">
        <v>867</v>
      </c>
      <c r="G379" s="77"/>
      <c r="H379" s="5" t="s">
        <v>1</v>
      </c>
      <c r="I379" s="78">
        <f t="shared" si="122"/>
        <v>0</v>
      </c>
      <c r="J379" s="110">
        <f t="shared" si="123"/>
        <v>75</v>
      </c>
      <c r="K379" s="4">
        <v>220</v>
      </c>
      <c r="L379" s="5" t="s">
        <v>1</v>
      </c>
      <c r="M379" s="80">
        <f t="shared" si="124"/>
        <v>220</v>
      </c>
      <c r="N379" s="78">
        <f t="shared" si="125"/>
        <v>16500</v>
      </c>
      <c r="O379" s="188">
        <f t="shared" si="126"/>
        <v>16500</v>
      </c>
    </row>
    <row r="380" spans="1:15" x14ac:dyDescent="0.25">
      <c r="A380" s="31"/>
      <c r="B380" s="4" t="s">
        <v>1611</v>
      </c>
      <c r="C380" s="5">
        <v>1</v>
      </c>
      <c r="D380" s="7">
        <v>0</v>
      </c>
      <c r="E380" s="3">
        <f t="shared" si="121"/>
        <v>1</v>
      </c>
      <c r="F380" s="3" t="s">
        <v>867</v>
      </c>
      <c r="G380" s="77"/>
      <c r="H380" s="5" t="s">
        <v>1</v>
      </c>
      <c r="I380" s="78">
        <f t="shared" si="122"/>
        <v>0</v>
      </c>
      <c r="J380" s="110">
        <f t="shared" si="123"/>
        <v>75</v>
      </c>
      <c r="K380" s="4">
        <v>242</v>
      </c>
      <c r="L380" s="5" t="s">
        <v>1</v>
      </c>
      <c r="M380" s="80">
        <f t="shared" si="124"/>
        <v>242</v>
      </c>
      <c r="N380" s="78">
        <f t="shared" si="125"/>
        <v>18150</v>
      </c>
      <c r="O380" s="188">
        <f t="shared" si="126"/>
        <v>18150</v>
      </c>
    </row>
    <row r="381" spans="1:15" x14ac:dyDescent="0.25">
      <c r="A381" s="31"/>
      <c r="B381" s="4" t="s">
        <v>1610</v>
      </c>
      <c r="C381" s="5">
        <v>1</v>
      </c>
      <c r="D381" s="7">
        <v>0</v>
      </c>
      <c r="E381" s="3">
        <f t="shared" si="121"/>
        <v>1</v>
      </c>
      <c r="F381" s="3" t="s">
        <v>867</v>
      </c>
      <c r="G381" s="77"/>
      <c r="H381" s="5" t="s">
        <v>1</v>
      </c>
      <c r="I381" s="78">
        <f t="shared" si="122"/>
        <v>0</v>
      </c>
      <c r="J381" s="110">
        <f t="shared" si="123"/>
        <v>75</v>
      </c>
      <c r="K381" s="4">
        <v>264</v>
      </c>
      <c r="L381" s="5" t="s">
        <v>1</v>
      </c>
      <c r="M381" s="80">
        <f t="shared" si="124"/>
        <v>264</v>
      </c>
      <c r="N381" s="78">
        <f t="shared" si="125"/>
        <v>19800</v>
      </c>
      <c r="O381" s="188">
        <f t="shared" si="126"/>
        <v>19800</v>
      </c>
    </row>
    <row r="382" spans="1:15" x14ac:dyDescent="0.25">
      <c r="A382" s="31"/>
      <c r="B382" s="4" t="s">
        <v>1609</v>
      </c>
      <c r="C382" s="5">
        <v>1</v>
      </c>
      <c r="D382" s="7">
        <v>0</v>
      </c>
      <c r="E382" s="3">
        <f t="shared" si="121"/>
        <v>1</v>
      </c>
      <c r="F382" s="3" t="s">
        <v>867</v>
      </c>
      <c r="G382" s="77"/>
      <c r="H382" s="5" t="s">
        <v>1</v>
      </c>
      <c r="I382" s="78">
        <f t="shared" si="122"/>
        <v>0</v>
      </c>
      <c r="J382" s="110">
        <f t="shared" si="123"/>
        <v>75</v>
      </c>
      <c r="K382" s="4">
        <v>286</v>
      </c>
      <c r="L382" s="5" t="s">
        <v>1</v>
      </c>
      <c r="M382" s="80">
        <f t="shared" si="124"/>
        <v>286</v>
      </c>
      <c r="N382" s="78">
        <f t="shared" si="125"/>
        <v>21450</v>
      </c>
      <c r="O382" s="188">
        <f t="shared" si="126"/>
        <v>21450</v>
      </c>
    </row>
    <row r="383" spans="1:15" x14ac:dyDescent="0.25">
      <c r="A383" s="31"/>
      <c r="B383" s="4" t="s">
        <v>1608</v>
      </c>
      <c r="C383" s="5">
        <v>1</v>
      </c>
      <c r="D383" s="7">
        <v>0</v>
      </c>
      <c r="E383" s="3">
        <f t="shared" si="121"/>
        <v>1</v>
      </c>
      <c r="F383" s="3" t="s">
        <v>867</v>
      </c>
      <c r="G383" s="77"/>
      <c r="H383" s="5" t="s">
        <v>1</v>
      </c>
      <c r="I383" s="78">
        <f t="shared" si="122"/>
        <v>0</v>
      </c>
      <c r="J383" s="110">
        <f t="shared" si="123"/>
        <v>75</v>
      </c>
      <c r="K383" s="4">
        <v>308</v>
      </c>
      <c r="L383" s="5" t="s">
        <v>1</v>
      </c>
      <c r="M383" s="80">
        <f t="shared" si="124"/>
        <v>308</v>
      </c>
      <c r="N383" s="78">
        <f t="shared" si="125"/>
        <v>23100</v>
      </c>
      <c r="O383" s="188">
        <f t="shared" si="126"/>
        <v>23100</v>
      </c>
    </row>
    <row r="384" spans="1:15" x14ac:dyDescent="0.25">
      <c r="A384" s="31"/>
      <c r="B384" s="4" t="s">
        <v>1607</v>
      </c>
      <c r="C384" s="5">
        <v>1</v>
      </c>
      <c r="D384" s="7">
        <v>0</v>
      </c>
      <c r="E384" s="3">
        <f t="shared" si="121"/>
        <v>1</v>
      </c>
      <c r="F384" s="3" t="s">
        <v>867</v>
      </c>
      <c r="G384" s="77"/>
      <c r="H384" s="5" t="s">
        <v>1</v>
      </c>
      <c r="I384" s="78">
        <f t="shared" si="122"/>
        <v>0</v>
      </c>
      <c r="J384" s="110">
        <f t="shared" si="123"/>
        <v>75</v>
      </c>
      <c r="K384" s="4">
        <v>330</v>
      </c>
      <c r="L384" s="5" t="s">
        <v>1</v>
      </c>
      <c r="M384" s="80">
        <f t="shared" si="124"/>
        <v>330</v>
      </c>
      <c r="N384" s="78">
        <f t="shared" si="125"/>
        <v>24750</v>
      </c>
      <c r="O384" s="188">
        <f t="shared" si="126"/>
        <v>24750</v>
      </c>
    </row>
    <row r="385" spans="1:15" x14ac:dyDescent="0.25">
      <c r="A385" s="31"/>
      <c r="B385" s="4" t="s">
        <v>1606</v>
      </c>
      <c r="C385" s="5">
        <v>1</v>
      </c>
      <c r="D385" s="7">
        <v>0</v>
      </c>
      <c r="E385" s="3">
        <f t="shared" si="121"/>
        <v>1</v>
      </c>
      <c r="F385" s="3" t="s">
        <v>867</v>
      </c>
      <c r="G385" s="77"/>
      <c r="H385" s="5" t="s">
        <v>1</v>
      </c>
      <c r="I385" s="78">
        <f t="shared" si="122"/>
        <v>0</v>
      </c>
      <c r="J385" s="110">
        <f t="shared" si="123"/>
        <v>75</v>
      </c>
      <c r="K385" s="4">
        <v>352</v>
      </c>
      <c r="L385" s="5" t="s">
        <v>1</v>
      </c>
      <c r="M385" s="80">
        <f t="shared" si="124"/>
        <v>352</v>
      </c>
      <c r="N385" s="78">
        <f t="shared" si="125"/>
        <v>26400</v>
      </c>
      <c r="O385" s="188">
        <f t="shared" si="126"/>
        <v>26400</v>
      </c>
    </row>
    <row r="386" spans="1:15" x14ac:dyDescent="0.25">
      <c r="A386" s="31"/>
      <c r="B386" s="4" t="s">
        <v>1605</v>
      </c>
      <c r="C386" s="5">
        <v>1</v>
      </c>
      <c r="D386" s="7">
        <v>0</v>
      </c>
      <c r="E386" s="3">
        <f t="shared" si="121"/>
        <v>1</v>
      </c>
      <c r="F386" s="3" t="s">
        <v>867</v>
      </c>
      <c r="G386" s="77"/>
      <c r="H386" s="5" t="s">
        <v>1</v>
      </c>
      <c r="I386" s="78">
        <f t="shared" si="122"/>
        <v>0</v>
      </c>
      <c r="J386" s="110">
        <f t="shared" si="123"/>
        <v>75</v>
      </c>
      <c r="K386" s="4">
        <v>374</v>
      </c>
      <c r="L386" s="5" t="s">
        <v>1</v>
      </c>
      <c r="M386" s="80">
        <f t="shared" si="124"/>
        <v>374</v>
      </c>
      <c r="N386" s="78">
        <f t="shared" si="125"/>
        <v>28050</v>
      </c>
      <c r="O386" s="188">
        <f t="shared" si="126"/>
        <v>28050</v>
      </c>
    </row>
    <row r="387" spans="1:15" x14ac:dyDescent="0.25">
      <c r="A387" s="31"/>
      <c r="B387" s="4" t="s">
        <v>1604</v>
      </c>
      <c r="C387" s="5">
        <v>1</v>
      </c>
      <c r="D387" s="7">
        <v>0</v>
      </c>
      <c r="E387" s="3">
        <f t="shared" si="121"/>
        <v>1</v>
      </c>
      <c r="F387" s="3" t="s">
        <v>867</v>
      </c>
      <c r="G387" s="77"/>
      <c r="H387" s="5" t="s">
        <v>1</v>
      </c>
      <c r="I387" s="78">
        <f t="shared" si="122"/>
        <v>0</v>
      </c>
      <c r="J387" s="110">
        <f t="shared" si="123"/>
        <v>75</v>
      </c>
      <c r="K387" s="4">
        <v>396</v>
      </c>
      <c r="L387" s="5" t="s">
        <v>1</v>
      </c>
      <c r="M387" s="80">
        <f t="shared" si="124"/>
        <v>396</v>
      </c>
      <c r="N387" s="78">
        <f t="shared" si="125"/>
        <v>29700</v>
      </c>
      <c r="O387" s="188">
        <f t="shared" si="126"/>
        <v>29700</v>
      </c>
    </row>
    <row r="388" spans="1:15" x14ac:dyDescent="0.25">
      <c r="A388" s="31"/>
      <c r="B388" s="4" t="s">
        <v>1603</v>
      </c>
      <c r="C388" s="5">
        <v>1</v>
      </c>
      <c r="D388" s="7">
        <v>0</v>
      </c>
      <c r="E388" s="3">
        <f t="shared" si="121"/>
        <v>1</v>
      </c>
      <c r="F388" s="3" t="s">
        <v>867</v>
      </c>
      <c r="G388" s="77"/>
      <c r="H388" s="5" t="s">
        <v>1</v>
      </c>
      <c r="I388" s="78">
        <f t="shared" si="122"/>
        <v>0</v>
      </c>
      <c r="J388" s="110">
        <f t="shared" si="123"/>
        <v>75</v>
      </c>
      <c r="K388" s="4">
        <v>418</v>
      </c>
      <c r="L388" s="5" t="s">
        <v>1</v>
      </c>
      <c r="M388" s="80">
        <f t="shared" si="124"/>
        <v>418</v>
      </c>
      <c r="N388" s="78">
        <f t="shared" si="125"/>
        <v>31350</v>
      </c>
      <c r="O388" s="188">
        <f t="shared" si="126"/>
        <v>31350</v>
      </c>
    </row>
    <row r="389" spans="1:15" x14ac:dyDescent="0.25">
      <c r="A389" s="31"/>
      <c r="B389" s="4" t="s">
        <v>1602</v>
      </c>
      <c r="C389" s="5">
        <v>1</v>
      </c>
      <c r="D389" s="7">
        <v>0</v>
      </c>
      <c r="E389" s="3">
        <f t="shared" si="121"/>
        <v>1</v>
      </c>
      <c r="F389" s="3" t="s">
        <v>867</v>
      </c>
      <c r="G389" s="77"/>
      <c r="H389" s="5" t="s">
        <v>1</v>
      </c>
      <c r="I389" s="78">
        <f t="shared" si="122"/>
        <v>0</v>
      </c>
      <c r="J389" s="110">
        <f t="shared" si="123"/>
        <v>75</v>
      </c>
      <c r="K389" s="4">
        <v>440</v>
      </c>
      <c r="L389" s="5" t="s">
        <v>1</v>
      </c>
      <c r="M389" s="80">
        <f t="shared" si="124"/>
        <v>440</v>
      </c>
      <c r="N389" s="78">
        <f t="shared" si="125"/>
        <v>33000</v>
      </c>
      <c r="O389" s="188">
        <f t="shared" si="126"/>
        <v>33000</v>
      </c>
    </row>
    <row r="390" spans="1:15" ht="15.75" thickBot="1" x14ac:dyDescent="0.3">
      <c r="A390" s="53"/>
      <c r="B390" s="54"/>
      <c r="C390" s="55"/>
      <c r="D390" s="55"/>
      <c r="E390" s="55"/>
      <c r="F390" s="55"/>
      <c r="G390" s="56"/>
      <c r="H390" s="56"/>
      <c r="I390" s="56"/>
      <c r="J390" s="56"/>
      <c r="K390" s="57"/>
      <c r="L390" s="55"/>
      <c r="M390" s="57"/>
      <c r="N390" s="56"/>
      <c r="O390" s="188"/>
    </row>
    <row r="391" spans="1:15" ht="15.75" thickBot="1" x14ac:dyDescent="0.3">
      <c r="A391" s="31"/>
      <c r="B391" s="145" t="s">
        <v>1601</v>
      </c>
      <c r="C391" s="5"/>
      <c r="D391" s="7"/>
      <c r="E391" s="3"/>
      <c r="F391" s="3"/>
      <c r="G391" s="77"/>
      <c r="H391" s="5"/>
      <c r="I391" s="78"/>
      <c r="J391" s="110"/>
      <c r="K391" s="4"/>
      <c r="L391" s="5"/>
      <c r="M391" s="80"/>
      <c r="N391" s="78"/>
      <c r="O391" s="188"/>
    </row>
    <row r="392" spans="1:15" x14ac:dyDescent="0.25">
      <c r="A392" s="31">
        <v>1</v>
      </c>
      <c r="B392" s="4" t="s">
        <v>1600</v>
      </c>
      <c r="C392" s="5">
        <v>1</v>
      </c>
      <c r="D392" s="7">
        <v>0</v>
      </c>
      <c r="E392" s="3">
        <f t="shared" ref="E392:E411" si="127">C392+(C392*D392)</f>
        <v>1</v>
      </c>
      <c r="F392" s="3" t="s">
        <v>867</v>
      </c>
      <c r="G392" s="77"/>
      <c r="H392" s="5" t="s">
        <v>1</v>
      </c>
      <c r="I392" s="78">
        <f t="shared" ref="I392:I411" si="128">IF(H392="C",(G392/100)*E392,IF(H392="M",(G392/1000)*E392,G392*E392))</f>
        <v>0</v>
      </c>
      <c r="J392" s="110">
        <f t="shared" ref="J392:J411" si="129">$O$4</f>
        <v>75</v>
      </c>
      <c r="K392" s="4">
        <v>24</v>
      </c>
      <c r="L392" s="5" t="s">
        <v>1</v>
      </c>
      <c r="M392" s="80">
        <f t="shared" ref="M392:M411" si="130">IF(L392="C",(K392/100)*E392,IF(L392="M",(K392/1000)*E392,K392*E392))</f>
        <v>24</v>
      </c>
      <c r="N392" s="78">
        <f t="shared" ref="N392:N411" si="131">M392*J392</f>
        <v>1800</v>
      </c>
      <c r="O392" s="188">
        <f t="shared" ref="O392:O411" si="132">N392+I392</f>
        <v>1800</v>
      </c>
    </row>
    <row r="393" spans="1:15" x14ac:dyDescent="0.25">
      <c r="A393" s="31"/>
      <c r="B393" s="4" t="s">
        <v>1599</v>
      </c>
      <c r="C393" s="5">
        <v>1</v>
      </c>
      <c r="D393" s="7">
        <v>0</v>
      </c>
      <c r="E393" s="3">
        <f t="shared" si="127"/>
        <v>1</v>
      </c>
      <c r="F393" s="3" t="s">
        <v>867</v>
      </c>
      <c r="G393" s="77"/>
      <c r="H393" s="5" t="s">
        <v>1</v>
      </c>
      <c r="I393" s="78">
        <f t="shared" si="128"/>
        <v>0</v>
      </c>
      <c r="J393" s="110">
        <f t="shared" si="129"/>
        <v>75</v>
      </c>
      <c r="K393" s="4">
        <v>48</v>
      </c>
      <c r="L393" s="5" t="s">
        <v>1</v>
      </c>
      <c r="M393" s="80">
        <f t="shared" si="130"/>
        <v>48</v>
      </c>
      <c r="N393" s="78">
        <f t="shared" si="131"/>
        <v>3600</v>
      </c>
      <c r="O393" s="188">
        <f t="shared" si="132"/>
        <v>3600</v>
      </c>
    </row>
    <row r="394" spans="1:15" x14ac:dyDescent="0.25">
      <c r="A394" s="31"/>
      <c r="B394" s="4" t="s">
        <v>1598</v>
      </c>
      <c r="C394" s="5">
        <v>1</v>
      </c>
      <c r="D394" s="7">
        <v>0</v>
      </c>
      <c r="E394" s="3">
        <f t="shared" si="127"/>
        <v>1</v>
      </c>
      <c r="F394" s="3" t="s">
        <v>867</v>
      </c>
      <c r="G394" s="77"/>
      <c r="H394" s="5" t="s">
        <v>1</v>
      </c>
      <c r="I394" s="78">
        <f t="shared" si="128"/>
        <v>0</v>
      </c>
      <c r="J394" s="110">
        <f t="shared" si="129"/>
        <v>75</v>
      </c>
      <c r="K394" s="4">
        <v>72</v>
      </c>
      <c r="L394" s="5" t="s">
        <v>1</v>
      </c>
      <c r="M394" s="80">
        <f t="shared" si="130"/>
        <v>72</v>
      </c>
      <c r="N394" s="78">
        <f t="shared" si="131"/>
        <v>5400</v>
      </c>
      <c r="O394" s="188">
        <f t="shared" si="132"/>
        <v>5400</v>
      </c>
    </row>
    <row r="395" spans="1:15" x14ac:dyDescent="0.25">
      <c r="A395" s="31"/>
      <c r="B395" s="4" t="s">
        <v>1597</v>
      </c>
      <c r="C395" s="5">
        <v>1</v>
      </c>
      <c r="D395" s="7">
        <v>0</v>
      </c>
      <c r="E395" s="3">
        <f t="shared" si="127"/>
        <v>1</v>
      </c>
      <c r="F395" s="3" t="s">
        <v>867</v>
      </c>
      <c r="G395" s="77"/>
      <c r="H395" s="5" t="s">
        <v>1</v>
      </c>
      <c r="I395" s="78">
        <f t="shared" si="128"/>
        <v>0</v>
      </c>
      <c r="J395" s="110">
        <f t="shared" si="129"/>
        <v>75</v>
      </c>
      <c r="K395" s="4">
        <v>96</v>
      </c>
      <c r="L395" s="5" t="s">
        <v>1</v>
      </c>
      <c r="M395" s="80">
        <f t="shared" si="130"/>
        <v>96</v>
      </c>
      <c r="N395" s="78">
        <f t="shared" si="131"/>
        <v>7200</v>
      </c>
      <c r="O395" s="188">
        <f t="shared" si="132"/>
        <v>7200</v>
      </c>
    </row>
    <row r="396" spans="1:15" x14ac:dyDescent="0.25">
      <c r="A396" s="31"/>
      <c r="B396" s="4" t="s">
        <v>1596</v>
      </c>
      <c r="C396" s="5">
        <v>1</v>
      </c>
      <c r="D396" s="7">
        <v>0</v>
      </c>
      <c r="E396" s="3">
        <f t="shared" si="127"/>
        <v>1</v>
      </c>
      <c r="F396" s="3" t="s">
        <v>867</v>
      </c>
      <c r="G396" s="77"/>
      <c r="H396" s="5" t="s">
        <v>1</v>
      </c>
      <c r="I396" s="78">
        <f t="shared" si="128"/>
        <v>0</v>
      </c>
      <c r="J396" s="110">
        <f t="shared" si="129"/>
        <v>75</v>
      </c>
      <c r="K396" s="4">
        <v>120</v>
      </c>
      <c r="L396" s="5" t="s">
        <v>1</v>
      </c>
      <c r="M396" s="80">
        <f t="shared" si="130"/>
        <v>120</v>
      </c>
      <c r="N396" s="78">
        <f t="shared" si="131"/>
        <v>9000</v>
      </c>
      <c r="O396" s="188">
        <f t="shared" si="132"/>
        <v>9000</v>
      </c>
    </row>
    <row r="397" spans="1:15" x14ac:dyDescent="0.25">
      <c r="A397" s="31"/>
      <c r="B397" s="4" t="s">
        <v>1595</v>
      </c>
      <c r="C397" s="5">
        <v>1</v>
      </c>
      <c r="D397" s="7">
        <v>0</v>
      </c>
      <c r="E397" s="3">
        <f t="shared" si="127"/>
        <v>1</v>
      </c>
      <c r="F397" s="3" t="s">
        <v>867</v>
      </c>
      <c r="G397" s="77"/>
      <c r="H397" s="5" t="s">
        <v>1</v>
      </c>
      <c r="I397" s="78">
        <f t="shared" si="128"/>
        <v>0</v>
      </c>
      <c r="J397" s="110">
        <f t="shared" si="129"/>
        <v>75</v>
      </c>
      <c r="K397" s="4">
        <v>144</v>
      </c>
      <c r="L397" s="5" t="s">
        <v>1</v>
      </c>
      <c r="M397" s="80">
        <f t="shared" si="130"/>
        <v>144</v>
      </c>
      <c r="N397" s="78">
        <f t="shared" si="131"/>
        <v>10800</v>
      </c>
      <c r="O397" s="188">
        <f t="shared" si="132"/>
        <v>10800</v>
      </c>
    </row>
    <row r="398" spans="1:15" x14ac:dyDescent="0.25">
      <c r="A398" s="31"/>
      <c r="B398" s="4" t="s">
        <v>1594</v>
      </c>
      <c r="C398" s="5">
        <v>1</v>
      </c>
      <c r="D398" s="7">
        <v>0</v>
      </c>
      <c r="E398" s="3">
        <f t="shared" si="127"/>
        <v>1</v>
      </c>
      <c r="F398" s="3" t="s">
        <v>867</v>
      </c>
      <c r="G398" s="77"/>
      <c r="H398" s="5" t="s">
        <v>1</v>
      </c>
      <c r="I398" s="78">
        <f t="shared" si="128"/>
        <v>0</v>
      </c>
      <c r="J398" s="110">
        <f t="shared" si="129"/>
        <v>75</v>
      </c>
      <c r="K398" s="4">
        <v>168</v>
      </c>
      <c r="L398" s="5" t="s">
        <v>1</v>
      </c>
      <c r="M398" s="80">
        <f t="shared" si="130"/>
        <v>168</v>
      </c>
      <c r="N398" s="78">
        <f t="shared" si="131"/>
        <v>12600</v>
      </c>
      <c r="O398" s="188">
        <f t="shared" si="132"/>
        <v>12600</v>
      </c>
    </row>
    <row r="399" spans="1:15" x14ac:dyDescent="0.25">
      <c r="A399" s="31"/>
      <c r="B399" s="4" t="s">
        <v>1593</v>
      </c>
      <c r="C399" s="5">
        <v>1</v>
      </c>
      <c r="D399" s="7">
        <v>0</v>
      </c>
      <c r="E399" s="3">
        <f t="shared" si="127"/>
        <v>1</v>
      </c>
      <c r="F399" s="3" t="s">
        <v>867</v>
      </c>
      <c r="G399" s="77"/>
      <c r="H399" s="5" t="s">
        <v>1</v>
      </c>
      <c r="I399" s="78">
        <f t="shared" si="128"/>
        <v>0</v>
      </c>
      <c r="J399" s="110">
        <f t="shared" si="129"/>
        <v>75</v>
      </c>
      <c r="K399" s="4">
        <v>192</v>
      </c>
      <c r="L399" s="5" t="s">
        <v>1</v>
      </c>
      <c r="M399" s="80">
        <f t="shared" si="130"/>
        <v>192</v>
      </c>
      <c r="N399" s="78">
        <f t="shared" si="131"/>
        <v>14400</v>
      </c>
      <c r="O399" s="188">
        <f t="shared" si="132"/>
        <v>14400</v>
      </c>
    </row>
    <row r="400" spans="1:15" x14ac:dyDescent="0.25">
      <c r="A400" s="31"/>
      <c r="B400" s="4" t="s">
        <v>1592</v>
      </c>
      <c r="C400" s="5">
        <v>1</v>
      </c>
      <c r="D400" s="7">
        <v>0</v>
      </c>
      <c r="E400" s="3">
        <f t="shared" si="127"/>
        <v>1</v>
      </c>
      <c r="F400" s="3" t="s">
        <v>867</v>
      </c>
      <c r="G400" s="77"/>
      <c r="H400" s="5" t="s">
        <v>1</v>
      </c>
      <c r="I400" s="78">
        <f t="shared" si="128"/>
        <v>0</v>
      </c>
      <c r="J400" s="110">
        <f t="shared" si="129"/>
        <v>75</v>
      </c>
      <c r="K400" s="4">
        <v>216</v>
      </c>
      <c r="L400" s="5" t="s">
        <v>1</v>
      </c>
      <c r="M400" s="80">
        <f t="shared" si="130"/>
        <v>216</v>
      </c>
      <c r="N400" s="78">
        <f t="shared" si="131"/>
        <v>16200</v>
      </c>
      <c r="O400" s="188">
        <f t="shared" si="132"/>
        <v>16200</v>
      </c>
    </row>
    <row r="401" spans="1:15" x14ac:dyDescent="0.25">
      <c r="A401" s="31"/>
      <c r="B401" s="4" t="s">
        <v>1591</v>
      </c>
      <c r="C401" s="5">
        <v>1</v>
      </c>
      <c r="D401" s="7">
        <v>0</v>
      </c>
      <c r="E401" s="3">
        <f t="shared" si="127"/>
        <v>1</v>
      </c>
      <c r="F401" s="3" t="s">
        <v>867</v>
      </c>
      <c r="G401" s="77"/>
      <c r="H401" s="5" t="s">
        <v>1</v>
      </c>
      <c r="I401" s="78">
        <f t="shared" si="128"/>
        <v>0</v>
      </c>
      <c r="J401" s="110">
        <f t="shared" si="129"/>
        <v>75</v>
      </c>
      <c r="K401" s="4">
        <v>240</v>
      </c>
      <c r="L401" s="5" t="s">
        <v>1</v>
      </c>
      <c r="M401" s="80">
        <f t="shared" si="130"/>
        <v>240</v>
      </c>
      <c r="N401" s="78">
        <f t="shared" si="131"/>
        <v>18000</v>
      </c>
      <c r="O401" s="188">
        <f t="shared" si="132"/>
        <v>18000</v>
      </c>
    </row>
    <row r="402" spans="1:15" x14ac:dyDescent="0.25">
      <c r="A402" s="31"/>
      <c r="B402" s="4" t="s">
        <v>1590</v>
      </c>
      <c r="C402" s="5">
        <v>1</v>
      </c>
      <c r="D402" s="7">
        <v>0</v>
      </c>
      <c r="E402" s="3">
        <f t="shared" si="127"/>
        <v>1</v>
      </c>
      <c r="F402" s="3" t="s">
        <v>867</v>
      </c>
      <c r="G402" s="77"/>
      <c r="H402" s="5" t="s">
        <v>1</v>
      </c>
      <c r="I402" s="78">
        <f t="shared" si="128"/>
        <v>0</v>
      </c>
      <c r="J402" s="110">
        <f t="shared" si="129"/>
        <v>75</v>
      </c>
      <c r="K402" s="4">
        <v>264</v>
      </c>
      <c r="L402" s="5" t="s">
        <v>1</v>
      </c>
      <c r="M402" s="80">
        <f t="shared" si="130"/>
        <v>264</v>
      </c>
      <c r="N402" s="78">
        <f t="shared" si="131"/>
        <v>19800</v>
      </c>
      <c r="O402" s="188">
        <f t="shared" si="132"/>
        <v>19800</v>
      </c>
    </row>
    <row r="403" spans="1:15" x14ac:dyDescent="0.25">
      <c r="A403" s="31"/>
      <c r="B403" s="4" t="s">
        <v>1589</v>
      </c>
      <c r="C403" s="5">
        <v>1</v>
      </c>
      <c r="D403" s="7">
        <v>0</v>
      </c>
      <c r="E403" s="3">
        <f t="shared" si="127"/>
        <v>1</v>
      </c>
      <c r="F403" s="3" t="s">
        <v>867</v>
      </c>
      <c r="G403" s="77"/>
      <c r="H403" s="5" t="s">
        <v>1</v>
      </c>
      <c r="I403" s="78">
        <f t="shared" si="128"/>
        <v>0</v>
      </c>
      <c r="J403" s="110">
        <f t="shared" si="129"/>
        <v>75</v>
      </c>
      <c r="K403" s="4">
        <v>288</v>
      </c>
      <c r="L403" s="5" t="s">
        <v>1</v>
      </c>
      <c r="M403" s="80">
        <f t="shared" si="130"/>
        <v>288</v>
      </c>
      <c r="N403" s="78">
        <f t="shared" si="131"/>
        <v>21600</v>
      </c>
      <c r="O403" s="188">
        <f t="shared" si="132"/>
        <v>21600</v>
      </c>
    </row>
    <row r="404" spans="1:15" x14ac:dyDescent="0.25">
      <c r="A404" s="31"/>
      <c r="B404" s="4" t="s">
        <v>1588</v>
      </c>
      <c r="C404" s="5">
        <v>1</v>
      </c>
      <c r="D404" s="7">
        <v>0</v>
      </c>
      <c r="E404" s="3">
        <f t="shared" si="127"/>
        <v>1</v>
      </c>
      <c r="F404" s="3" t="s">
        <v>867</v>
      </c>
      <c r="G404" s="77"/>
      <c r="H404" s="5" t="s">
        <v>1</v>
      </c>
      <c r="I404" s="78">
        <f t="shared" si="128"/>
        <v>0</v>
      </c>
      <c r="J404" s="110">
        <f t="shared" si="129"/>
        <v>75</v>
      </c>
      <c r="K404" s="4">
        <v>312</v>
      </c>
      <c r="L404" s="5" t="s">
        <v>1</v>
      </c>
      <c r="M404" s="80">
        <f t="shared" si="130"/>
        <v>312</v>
      </c>
      <c r="N404" s="78">
        <f t="shared" si="131"/>
        <v>23400</v>
      </c>
      <c r="O404" s="188">
        <f t="shared" si="132"/>
        <v>23400</v>
      </c>
    </row>
    <row r="405" spans="1:15" x14ac:dyDescent="0.25">
      <c r="A405" s="31"/>
      <c r="B405" s="4" t="s">
        <v>1587</v>
      </c>
      <c r="C405" s="5">
        <v>1</v>
      </c>
      <c r="D405" s="7">
        <v>0</v>
      </c>
      <c r="E405" s="3">
        <f t="shared" si="127"/>
        <v>1</v>
      </c>
      <c r="F405" s="3" t="s">
        <v>867</v>
      </c>
      <c r="G405" s="77"/>
      <c r="H405" s="5" t="s">
        <v>1</v>
      </c>
      <c r="I405" s="78">
        <f t="shared" si="128"/>
        <v>0</v>
      </c>
      <c r="J405" s="110">
        <f t="shared" si="129"/>
        <v>75</v>
      </c>
      <c r="K405" s="4">
        <v>336</v>
      </c>
      <c r="L405" s="5" t="s">
        <v>1</v>
      </c>
      <c r="M405" s="80">
        <f t="shared" si="130"/>
        <v>336</v>
      </c>
      <c r="N405" s="78">
        <f t="shared" si="131"/>
        <v>25200</v>
      </c>
      <c r="O405" s="188">
        <f t="shared" si="132"/>
        <v>25200</v>
      </c>
    </row>
    <row r="406" spans="1:15" x14ac:dyDescent="0.25">
      <c r="A406" s="31"/>
      <c r="B406" s="4" t="s">
        <v>1586</v>
      </c>
      <c r="C406" s="5">
        <v>1</v>
      </c>
      <c r="D406" s="7">
        <v>0</v>
      </c>
      <c r="E406" s="3">
        <f t="shared" si="127"/>
        <v>1</v>
      </c>
      <c r="F406" s="3" t="s">
        <v>867</v>
      </c>
      <c r="G406" s="77"/>
      <c r="H406" s="5" t="s">
        <v>1</v>
      </c>
      <c r="I406" s="78">
        <f t="shared" si="128"/>
        <v>0</v>
      </c>
      <c r="J406" s="110">
        <f t="shared" si="129"/>
        <v>75</v>
      </c>
      <c r="K406" s="4">
        <v>360</v>
      </c>
      <c r="L406" s="5" t="s">
        <v>1</v>
      </c>
      <c r="M406" s="80">
        <f t="shared" si="130"/>
        <v>360</v>
      </c>
      <c r="N406" s="78">
        <f t="shared" si="131"/>
        <v>27000</v>
      </c>
      <c r="O406" s="188">
        <f t="shared" si="132"/>
        <v>27000</v>
      </c>
    </row>
    <row r="407" spans="1:15" x14ac:dyDescent="0.25">
      <c r="A407" s="31"/>
      <c r="B407" s="4" t="s">
        <v>1585</v>
      </c>
      <c r="C407" s="5">
        <v>1</v>
      </c>
      <c r="D407" s="7">
        <v>0</v>
      </c>
      <c r="E407" s="3">
        <f t="shared" si="127"/>
        <v>1</v>
      </c>
      <c r="F407" s="3" t="s">
        <v>867</v>
      </c>
      <c r="G407" s="77"/>
      <c r="H407" s="5" t="s">
        <v>1</v>
      </c>
      <c r="I407" s="78">
        <f t="shared" si="128"/>
        <v>0</v>
      </c>
      <c r="J407" s="110">
        <f t="shared" si="129"/>
        <v>75</v>
      </c>
      <c r="K407" s="4">
        <v>384</v>
      </c>
      <c r="L407" s="5" t="s">
        <v>1</v>
      </c>
      <c r="M407" s="80">
        <f t="shared" si="130"/>
        <v>384</v>
      </c>
      <c r="N407" s="78">
        <f t="shared" si="131"/>
        <v>28800</v>
      </c>
      <c r="O407" s="188">
        <f t="shared" si="132"/>
        <v>28800</v>
      </c>
    </row>
    <row r="408" spans="1:15" x14ac:dyDescent="0.25">
      <c r="A408" s="31"/>
      <c r="B408" s="4" t="s">
        <v>1584</v>
      </c>
      <c r="C408" s="5">
        <v>1</v>
      </c>
      <c r="D408" s="7">
        <v>0</v>
      </c>
      <c r="E408" s="3">
        <f t="shared" si="127"/>
        <v>1</v>
      </c>
      <c r="F408" s="3" t="s">
        <v>867</v>
      </c>
      <c r="G408" s="77"/>
      <c r="H408" s="5" t="s">
        <v>1</v>
      </c>
      <c r="I408" s="78">
        <f t="shared" si="128"/>
        <v>0</v>
      </c>
      <c r="J408" s="110">
        <f t="shared" si="129"/>
        <v>75</v>
      </c>
      <c r="K408" s="4">
        <v>408</v>
      </c>
      <c r="L408" s="5" t="s">
        <v>1</v>
      </c>
      <c r="M408" s="80">
        <f t="shared" si="130"/>
        <v>408</v>
      </c>
      <c r="N408" s="78">
        <f t="shared" si="131"/>
        <v>30600</v>
      </c>
      <c r="O408" s="188">
        <f t="shared" si="132"/>
        <v>30600</v>
      </c>
    </row>
    <row r="409" spans="1:15" x14ac:dyDescent="0.25">
      <c r="A409" s="31"/>
      <c r="B409" s="4" t="s">
        <v>1583</v>
      </c>
      <c r="C409" s="5">
        <v>1</v>
      </c>
      <c r="D409" s="7">
        <v>0</v>
      </c>
      <c r="E409" s="3">
        <f t="shared" si="127"/>
        <v>1</v>
      </c>
      <c r="F409" s="3" t="s">
        <v>867</v>
      </c>
      <c r="G409" s="77"/>
      <c r="H409" s="5" t="s">
        <v>1</v>
      </c>
      <c r="I409" s="78">
        <f t="shared" si="128"/>
        <v>0</v>
      </c>
      <c r="J409" s="110">
        <f t="shared" si="129"/>
        <v>75</v>
      </c>
      <c r="K409" s="4">
        <v>432</v>
      </c>
      <c r="L409" s="5" t="s">
        <v>1</v>
      </c>
      <c r="M409" s="80">
        <f t="shared" si="130"/>
        <v>432</v>
      </c>
      <c r="N409" s="78">
        <f t="shared" si="131"/>
        <v>32400</v>
      </c>
      <c r="O409" s="188">
        <f t="shared" si="132"/>
        <v>32400</v>
      </c>
    </row>
    <row r="410" spans="1:15" x14ac:dyDescent="0.25">
      <c r="A410" s="31"/>
      <c r="B410" s="4" t="s">
        <v>1582</v>
      </c>
      <c r="C410" s="5">
        <v>1</v>
      </c>
      <c r="D410" s="7">
        <v>0</v>
      </c>
      <c r="E410" s="3">
        <f t="shared" si="127"/>
        <v>1</v>
      </c>
      <c r="F410" s="3" t="s">
        <v>867</v>
      </c>
      <c r="G410" s="77"/>
      <c r="H410" s="5" t="s">
        <v>1</v>
      </c>
      <c r="I410" s="78">
        <f t="shared" si="128"/>
        <v>0</v>
      </c>
      <c r="J410" s="110">
        <f t="shared" si="129"/>
        <v>75</v>
      </c>
      <c r="K410" s="4">
        <v>456</v>
      </c>
      <c r="L410" s="5" t="s">
        <v>1</v>
      </c>
      <c r="M410" s="80">
        <f t="shared" si="130"/>
        <v>456</v>
      </c>
      <c r="N410" s="78">
        <f t="shared" si="131"/>
        <v>34200</v>
      </c>
      <c r="O410" s="188">
        <f t="shared" si="132"/>
        <v>34200</v>
      </c>
    </row>
    <row r="411" spans="1:15" x14ac:dyDescent="0.25">
      <c r="A411" s="60"/>
      <c r="B411" s="8" t="s">
        <v>1581</v>
      </c>
      <c r="C411" s="5">
        <v>1</v>
      </c>
      <c r="D411" s="7">
        <v>0</v>
      </c>
      <c r="E411" s="3">
        <f t="shared" si="127"/>
        <v>1</v>
      </c>
      <c r="F411" s="3" t="s">
        <v>867</v>
      </c>
      <c r="G411" s="77"/>
      <c r="H411" s="5" t="s">
        <v>1</v>
      </c>
      <c r="I411" s="78">
        <f t="shared" si="128"/>
        <v>0</v>
      </c>
      <c r="J411" s="110">
        <f t="shared" si="129"/>
        <v>75</v>
      </c>
      <c r="K411" s="4">
        <v>480</v>
      </c>
      <c r="L411" s="5" t="s">
        <v>1</v>
      </c>
      <c r="M411" s="80">
        <f t="shared" si="130"/>
        <v>480</v>
      </c>
      <c r="N411" s="78">
        <f t="shared" si="131"/>
        <v>36000</v>
      </c>
      <c r="O411" s="188">
        <f t="shared" si="132"/>
        <v>36000</v>
      </c>
    </row>
    <row r="412" spans="1:15" ht="15.75" thickBot="1" x14ac:dyDescent="0.3">
      <c r="A412" s="53"/>
      <c r="B412" s="54"/>
      <c r="C412" s="55"/>
      <c r="D412" s="55"/>
      <c r="E412" s="55"/>
      <c r="F412" s="55"/>
      <c r="G412" s="56"/>
      <c r="H412" s="56"/>
      <c r="I412" s="56"/>
      <c r="J412" s="56"/>
      <c r="K412" s="57"/>
      <c r="L412" s="55"/>
      <c r="M412" s="57"/>
      <c r="N412" s="56"/>
      <c r="O412" s="188"/>
    </row>
    <row r="413" spans="1:15" ht="15.75" thickBot="1" x14ac:dyDescent="0.3">
      <c r="A413" s="31"/>
      <c r="B413" s="145" t="s">
        <v>1580</v>
      </c>
      <c r="C413" s="5"/>
      <c r="D413" s="7"/>
      <c r="E413" s="3"/>
      <c r="F413" s="3"/>
      <c r="G413" s="77"/>
      <c r="H413" s="5"/>
      <c r="I413" s="78"/>
      <c r="J413" s="110"/>
      <c r="K413" s="4"/>
      <c r="L413" s="5"/>
      <c r="M413" s="80"/>
      <c r="N413" s="78"/>
      <c r="O413" s="188"/>
    </row>
    <row r="414" spans="1:15" x14ac:dyDescent="0.25">
      <c r="A414" s="31">
        <v>1</v>
      </c>
      <c r="B414" s="4" t="s">
        <v>1579</v>
      </c>
      <c r="C414" s="5">
        <v>1</v>
      </c>
      <c r="D414" s="7">
        <v>0</v>
      </c>
      <c r="E414" s="3">
        <f t="shared" ref="E414:E433" si="133">C414+(C414*D414)</f>
        <v>1</v>
      </c>
      <c r="F414" s="3" t="s">
        <v>867</v>
      </c>
      <c r="G414" s="77"/>
      <c r="H414" s="5" t="s">
        <v>1</v>
      </c>
      <c r="I414" s="78">
        <f t="shared" ref="I414:I433" si="134">IF(H414="C",(G414/100)*E414,IF(H414="M",(G414/1000)*E414,G414*E414))</f>
        <v>0</v>
      </c>
      <c r="J414" s="110">
        <f t="shared" ref="J414:J433" si="135">$O$4</f>
        <v>75</v>
      </c>
      <c r="K414" s="4">
        <v>26</v>
      </c>
      <c r="L414" s="5" t="s">
        <v>1</v>
      </c>
      <c r="M414" s="80">
        <f t="shared" ref="M414:M433" si="136">IF(L414="C",(K414/100)*E414,IF(L414="M",(K414/1000)*E414,K414*E414))</f>
        <v>26</v>
      </c>
      <c r="N414" s="78">
        <f t="shared" ref="N414:N433" si="137">M414*J414</f>
        <v>1950</v>
      </c>
      <c r="O414" s="188">
        <f t="shared" ref="O414:O433" si="138">N414+I414</f>
        <v>1950</v>
      </c>
    </row>
    <row r="415" spans="1:15" x14ac:dyDescent="0.25">
      <c r="A415" s="31"/>
      <c r="B415" s="4" t="s">
        <v>1578</v>
      </c>
      <c r="C415" s="5">
        <v>1</v>
      </c>
      <c r="D415" s="7">
        <v>0</v>
      </c>
      <c r="E415" s="3">
        <f t="shared" si="133"/>
        <v>1</v>
      </c>
      <c r="F415" s="3" t="s">
        <v>867</v>
      </c>
      <c r="G415" s="77"/>
      <c r="H415" s="5" t="s">
        <v>1</v>
      </c>
      <c r="I415" s="78">
        <f t="shared" si="134"/>
        <v>0</v>
      </c>
      <c r="J415" s="110">
        <f t="shared" si="135"/>
        <v>75</v>
      </c>
      <c r="K415" s="4">
        <v>52</v>
      </c>
      <c r="L415" s="5" t="s">
        <v>1</v>
      </c>
      <c r="M415" s="80">
        <f t="shared" si="136"/>
        <v>52</v>
      </c>
      <c r="N415" s="78">
        <f t="shared" si="137"/>
        <v>3900</v>
      </c>
      <c r="O415" s="188">
        <f t="shared" si="138"/>
        <v>3900</v>
      </c>
    </row>
    <row r="416" spans="1:15" x14ac:dyDescent="0.25">
      <c r="A416" s="31"/>
      <c r="B416" s="4" t="s">
        <v>1577</v>
      </c>
      <c r="C416" s="5">
        <v>1</v>
      </c>
      <c r="D416" s="7">
        <v>0</v>
      </c>
      <c r="E416" s="3">
        <f t="shared" si="133"/>
        <v>1</v>
      </c>
      <c r="F416" s="3" t="s">
        <v>867</v>
      </c>
      <c r="G416" s="77"/>
      <c r="H416" s="5" t="s">
        <v>1</v>
      </c>
      <c r="I416" s="78">
        <f t="shared" si="134"/>
        <v>0</v>
      </c>
      <c r="J416" s="110">
        <f t="shared" si="135"/>
        <v>75</v>
      </c>
      <c r="K416" s="4">
        <v>78</v>
      </c>
      <c r="L416" s="5" t="s">
        <v>1</v>
      </c>
      <c r="M416" s="80">
        <f t="shared" si="136"/>
        <v>78</v>
      </c>
      <c r="N416" s="78">
        <f t="shared" si="137"/>
        <v>5850</v>
      </c>
      <c r="O416" s="188">
        <f t="shared" si="138"/>
        <v>5850</v>
      </c>
    </row>
    <row r="417" spans="1:15" x14ac:dyDescent="0.25">
      <c r="A417" s="31"/>
      <c r="B417" s="4" t="s">
        <v>1576</v>
      </c>
      <c r="C417" s="5">
        <v>1</v>
      </c>
      <c r="D417" s="7">
        <v>0</v>
      </c>
      <c r="E417" s="3">
        <f t="shared" si="133"/>
        <v>1</v>
      </c>
      <c r="F417" s="3" t="s">
        <v>867</v>
      </c>
      <c r="G417" s="77"/>
      <c r="H417" s="5" t="s">
        <v>1</v>
      </c>
      <c r="I417" s="78">
        <f t="shared" si="134"/>
        <v>0</v>
      </c>
      <c r="J417" s="110">
        <f t="shared" si="135"/>
        <v>75</v>
      </c>
      <c r="K417" s="4">
        <v>104</v>
      </c>
      <c r="L417" s="5" t="s">
        <v>1</v>
      </c>
      <c r="M417" s="80">
        <f t="shared" si="136"/>
        <v>104</v>
      </c>
      <c r="N417" s="78">
        <f t="shared" si="137"/>
        <v>7800</v>
      </c>
      <c r="O417" s="188">
        <f t="shared" si="138"/>
        <v>7800</v>
      </c>
    </row>
    <row r="418" spans="1:15" x14ac:dyDescent="0.25">
      <c r="A418" s="31"/>
      <c r="B418" s="4" t="s">
        <v>1575</v>
      </c>
      <c r="C418" s="5">
        <v>1</v>
      </c>
      <c r="D418" s="7">
        <v>0</v>
      </c>
      <c r="E418" s="3">
        <f t="shared" si="133"/>
        <v>1</v>
      </c>
      <c r="F418" s="3" t="s">
        <v>867</v>
      </c>
      <c r="G418" s="77"/>
      <c r="H418" s="5" t="s">
        <v>1</v>
      </c>
      <c r="I418" s="78">
        <f t="shared" si="134"/>
        <v>0</v>
      </c>
      <c r="J418" s="110">
        <f t="shared" si="135"/>
        <v>75</v>
      </c>
      <c r="K418" s="4">
        <v>130</v>
      </c>
      <c r="L418" s="5" t="s">
        <v>1</v>
      </c>
      <c r="M418" s="80">
        <f t="shared" si="136"/>
        <v>130</v>
      </c>
      <c r="N418" s="78">
        <f t="shared" si="137"/>
        <v>9750</v>
      </c>
      <c r="O418" s="188">
        <f t="shared" si="138"/>
        <v>9750</v>
      </c>
    </row>
    <row r="419" spans="1:15" x14ac:dyDescent="0.25">
      <c r="A419" s="31"/>
      <c r="B419" s="4" t="s">
        <v>1574</v>
      </c>
      <c r="C419" s="5">
        <v>1</v>
      </c>
      <c r="D419" s="7">
        <v>0</v>
      </c>
      <c r="E419" s="3">
        <f t="shared" si="133"/>
        <v>1</v>
      </c>
      <c r="F419" s="3" t="s">
        <v>867</v>
      </c>
      <c r="G419" s="77"/>
      <c r="H419" s="5" t="s">
        <v>1</v>
      </c>
      <c r="I419" s="78">
        <f t="shared" si="134"/>
        <v>0</v>
      </c>
      <c r="J419" s="110">
        <f t="shared" si="135"/>
        <v>75</v>
      </c>
      <c r="K419" s="4">
        <v>156</v>
      </c>
      <c r="L419" s="5" t="s">
        <v>1</v>
      </c>
      <c r="M419" s="80">
        <f t="shared" si="136"/>
        <v>156</v>
      </c>
      <c r="N419" s="78">
        <f t="shared" si="137"/>
        <v>11700</v>
      </c>
      <c r="O419" s="188">
        <f t="shared" si="138"/>
        <v>11700</v>
      </c>
    </row>
    <row r="420" spans="1:15" x14ac:dyDescent="0.25">
      <c r="A420" s="31"/>
      <c r="B420" s="4" t="s">
        <v>1573</v>
      </c>
      <c r="C420" s="5">
        <v>1</v>
      </c>
      <c r="D420" s="7">
        <v>0</v>
      </c>
      <c r="E420" s="3">
        <f t="shared" si="133"/>
        <v>1</v>
      </c>
      <c r="F420" s="3" t="s">
        <v>867</v>
      </c>
      <c r="G420" s="77"/>
      <c r="H420" s="5" t="s">
        <v>1</v>
      </c>
      <c r="I420" s="78">
        <f t="shared" si="134"/>
        <v>0</v>
      </c>
      <c r="J420" s="110">
        <f t="shared" si="135"/>
        <v>75</v>
      </c>
      <c r="K420" s="4">
        <v>182</v>
      </c>
      <c r="L420" s="5" t="s">
        <v>1</v>
      </c>
      <c r="M420" s="80">
        <f t="shared" si="136"/>
        <v>182</v>
      </c>
      <c r="N420" s="78">
        <f t="shared" si="137"/>
        <v>13650</v>
      </c>
      <c r="O420" s="188">
        <f t="shared" si="138"/>
        <v>13650</v>
      </c>
    </row>
    <row r="421" spans="1:15" x14ac:dyDescent="0.25">
      <c r="A421" s="31"/>
      <c r="B421" s="4" t="s">
        <v>1572</v>
      </c>
      <c r="C421" s="5">
        <v>1</v>
      </c>
      <c r="D421" s="7">
        <v>0</v>
      </c>
      <c r="E421" s="3">
        <f t="shared" si="133"/>
        <v>1</v>
      </c>
      <c r="F421" s="3" t="s">
        <v>867</v>
      </c>
      <c r="G421" s="77"/>
      <c r="H421" s="5" t="s">
        <v>1</v>
      </c>
      <c r="I421" s="78">
        <f t="shared" si="134"/>
        <v>0</v>
      </c>
      <c r="J421" s="110">
        <f t="shared" si="135"/>
        <v>75</v>
      </c>
      <c r="K421" s="4">
        <v>208</v>
      </c>
      <c r="L421" s="5" t="s">
        <v>1</v>
      </c>
      <c r="M421" s="80">
        <f t="shared" si="136"/>
        <v>208</v>
      </c>
      <c r="N421" s="78">
        <f t="shared" si="137"/>
        <v>15600</v>
      </c>
      <c r="O421" s="188">
        <f t="shared" si="138"/>
        <v>15600</v>
      </c>
    </row>
    <row r="422" spans="1:15" x14ac:dyDescent="0.25">
      <c r="A422" s="31"/>
      <c r="B422" s="4" t="s">
        <v>1571</v>
      </c>
      <c r="C422" s="5">
        <v>1</v>
      </c>
      <c r="D422" s="7">
        <v>0</v>
      </c>
      <c r="E422" s="3">
        <f t="shared" si="133"/>
        <v>1</v>
      </c>
      <c r="F422" s="3" t="s">
        <v>867</v>
      </c>
      <c r="G422" s="77"/>
      <c r="H422" s="5" t="s">
        <v>1</v>
      </c>
      <c r="I422" s="78">
        <f t="shared" si="134"/>
        <v>0</v>
      </c>
      <c r="J422" s="110">
        <f t="shared" si="135"/>
        <v>75</v>
      </c>
      <c r="K422" s="4">
        <v>234</v>
      </c>
      <c r="L422" s="5" t="s">
        <v>1</v>
      </c>
      <c r="M422" s="80">
        <f t="shared" si="136"/>
        <v>234</v>
      </c>
      <c r="N422" s="78">
        <f t="shared" si="137"/>
        <v>17550</v>
      </c>
      <c r="O422" s="188">
        <f t="shared" si="138"/>
        <v>17550</v>
      </c>
    </row>
    <row r="423" spans="1:15" x14ac:dyDescent="0.25">
      <c r="A423" s="31"/>
      <c r="B423" s="4" t="s">
        <v>1570</v>
      </c>
      <c r="C423" s="5">
        <v>1</v>
      </c>
      <c r="D423" s="7">
        <v>0</v>
      </c>
      <c r="E423" s="3">
        <f t="shared" si="133"/>
        <v>1</v>
      </c>
      <c r="F423" s="3" t="s">
        <v>867</v>
      </c>
      <c r="G423" s="77"/>
      <c r="H423" s="5" t="s">
        <v>1</v>
      </c>
      <c r="I423" s="78">
        <f t="shared" si="134"/>
        <v>0</v>
      </c>
      <c r="J423" s="110">
        <f t="shared" si="135"/>
        <v>75</v>
      </c>
      <c r="K423" s="4">
        <v>260</v>
      </c>
      <c r="L423" s="5" t="s">
        <v>1</v>
      </c>
      <c r="M423" s="80">
        <f t="shared" si="136"/>
        <v>260</v>
      </c>
      <c r="N423" s="78">
        <f t="shared" si="137"/>
        <v>19500</v>
      </c>
      <c r="O423" s="188">
        <f t="shared" si="138"/>
        <v>19500</v>
      </c>
    </row>
    <row r="424" spans="1:15" x14ac:dyDescent="0.25">
      <c r="A424" s="31"/>
      <c r="B424" s="4" t="s">
        <v>1569</v>
      </c>
      <c r="C424" s="5">
        <v>1</v>
      </c>
      <c r="D424" s="7">
        <v>0</v>
      </c>
      <c r="E424" s="3">
        <f t="shared" si="133"/>
        <v>1</v>
      </c>
      <c r="F424" s="3" t="s">
        <v>867</v>
      </c>
      <c r="G424" s="77"/>
      <c r="H424" s="5" t="s">
        <v>1</v>
      </c>
      <c r="I424" s="78">
        <f t="shared" si="134"/>
        <v>0</v>
      </c>
      <c r="J424" s="110">
        <f t="shared" si="135"/>
        <v>75</v>
      </c>
      <c r="K424" s="4">
        <v>286</v>
      </c>
      <c r="L424" s="5" t="s">
        <v>1</v>
      </c>
      <c r="M424" s="80">
        <f t="shared" si="136"/>
        <v>286</v>
      </c>
      <c r="N424" s="78">
        <f t="shared" si="137"/>
        <v>21450</v>
      </c>
      <c r="O424" s="188">
        <f t="shared" si="138"/>
        <v>21450</v>
      </c>
    </row>
    <row r="425" spans="1:15" x14ac:dyDescent="0.25">
      <c r="A425" s="31"/>
      <c r="B425" s="4" t="s">
        <v>1568</v>
      </c>
      <c r="C425" s="5">
        <v>1</v>
      </c>
      <c r="D425" s="7">
        <v>0</v>
      </c>
      <c r="E425" s="3">
        <f t="shared" si="133"/>
        <v>1</v>
      </c>
      <c r="F425" s="3" t="s">
        <v>867</v>
      </c>
      <c r="G425" s="77"/>
      <c r="H425" s="5" t="s">
        <v>1</v>
      </c>
      <c r="I425" s="78">
        <f t="shared" si="134"/>
        <v>0</v>
      </c>
      <c r="J425" s="110">
        <f t="shared" si="135"/>
        <v>75</v>
      </c>
      <c r="K425" s="4">
        <v>312</v>
      </c>
      <c r="L425" s="5" t="s">
        <v>1</v>
      </c>
      <c r="M425" s="80">
        <f t="shared" si="136"/>
        <v>312</v>
      </c>
      <c r="N425" s="78">
        <f t="shared" si="137"/>
        <v>23400</v>
      </c>
      <c r="O425" s="188">
        <f t="shared" si="138"/>
        <v>23400</v>
      </c>
    </row>
    <row r="426" spans="1:15" x14ac:dyDescent="0.25">
      <c r="A426" s="60"/>
      <c r="B426" s="8" t="s">
        <v>1567</v>
      </c>
      <c r="C426" s="5">
        <v>1</v>
      </c>
      <c r="D426" s="7">
        <v>0</v>
      </c>
      <c r="E426" s="3">
        <f t="shared" si="133"/>
        <v>1</v>
      </c>
      <c r="F426" s="3" t="s">
        <v>867</v>
      </c>
      <c r="G426" s="77"/>
      <c r="H426" s="5" t="s">
        <v>1</v>
      </c>
      <c r="I426" s="78">
        <f t="shared" si="134"/>
        <v>0</v>
      </c>
      <c r="J426" s="110">
        <f t="shared" si="135"/>
        <v>75</v>
      </c>
      <c r="K426" s="4">
        <v>338</v>
      </c>
      <c r="L426" s="5" t="s">
        <v>1</v>
      </c>
      <c r="M426" s="80">
        <f t="shared" si="136"/>
        <v>338</v>
      </c>
      <c r="N426" s="78">
        <f t="shared" si="137"/>
        <v>25350</v>
      </c>
      <c r="O426" s="188">
        <f t="shared" si="138"/>
        <v>25350</v>
      </c>
    </row>
    <row r="427" spans="1:15" x14ac:dyDescent="0.25">
      <c r="A427" s="31"/>
      <c r="B427" s="4" t="s">
        <v>1566</v>
      </c>
      <c r="C427" s="5">
        <v>1</v>
      </c>
      <c r="D427" s="7">
        <v>0</v>
      </c>
      <c r="E427" s="3">
        <f t="shared" si="133"/>
        <v>1</v>
      </c>
      <c r="F427" s="3" t="s">
        <v>867</v>
      </c>
      <c r="G427" s="77"/>
      <c r="H427" s="5" t="s">
        <v>1</v>
      </c>
      <c r="I427" s="78">
        <f t="shared" si="134"/>
        <v>0</v>
      </c>
      <c r="J427" s="110">
        <f t="shared" si="135"/>
        <v>75</v>
      </c>
      <c r="K427" s="4">
        <v>364</v>
      </c>
      <c r="L427" s="5" t="s">
        <v>1</v>
      </c>
      <c r="M427" s="80">
        <f t="shared" si="136"/>
        <v>364</v>
      </c>
      <c r="N427" s="78">
        <f t="shared" si="137"/>
        <v>27300</v>
      </c>
      <c r="O427" s="188">
        <f t="shared" si="138"/>
        <v>27300</v>
      </c>
    </row>
    <row r="428" spans="1:15" x14ac:dyDescent="0.25">
      <c r="A428" s="31"/>
      <c r="B428" s="4" t="s">
        <v>1565</v>
      </c>
      <c r="C428" s="5">
        <v>1</v>
      </c>
      <c r="D428" s="7">
        <v>0</v>
      </c>
      <c r="E428" s="3">
        <f t="shared" si="133"/>
        <v>1</v>
      </c>
      <c r="F428" s="3" t="s">
        <v>867</v>
      </c>
      <c r="G428" s="77"/>
      <c r="H428" s="5" t="s">
        <v>1</v>
      </c>
      <c r="I428" s="78">
        <f t="shared" si="134"/>
        <v>0</v>
      </c>
      <c r="J428" s="110">
        <f t="shared" si="135"/>
        <v>75</v>
      </c>
      <c r="K428" s="4">
        <v>390</v>
      </c>
      <c r="L428" s="5" t="s">
        <v>1</v>
      </c>
      <c r="M428" s="80">
        <f t="shared" si="136"/>
        <v>390</v>
      </c>
      <c r="N428" s="78">
        <f t="shared" si="137"/>
        <v>29250</v>
      </c>
      <c r="O428" s="188">
        <f t="shared" si="138"/>
        <v>29250</v>
      </c>
    </row>
    <row r="429" spans="1:15" x14ac:dyDescent="0.25">
      <c r="A429" s="31"/>
      <c r="B429" s="4" t="s">
        <v>1564</v>
      </c>
      <c r="C429" s="5">
        <v>1</v>
      </c>
      <c r="D429" s="7">
        <v>0</v>
      </c>
      <c r="E429" s="3">
        <f t="shared" si="133"/>
        <v>1</v>
      </c>
      <c r="F429" s="3" t="s">
        <v>867</v>
      </c>
      <c r="G429" s="77"/>
      <c r="H429" s="5" t="s">
        <v>1</v>
      </c>
      <c r="I429" s="78">
        <f t="shared" si="134"/>
        <v>0</v>
      </c>
      <c r="J429" s="110">
        <f t="shared" si="135"/>
        <v>75</v>
      </c>
      <c r="K429" s="4">
        <v>416</v>
      </c>
      <c r="L429" s="5" t="s">
        <v>1</v>
      </c>
      <c r="M429" s="80">
        <f t="shared" si="136"/>
        <v>416</v>
      </c>
      <c r="N429" s="78">
        <f t="shared" si="137"/>
        <v>31200</v>
      </c>
      <c r="O429" s="188">
        <f t="shared" si="138"/>
        <v>31200</v>
      </c>
    </row>
    <row r="430" spans="1:15" x14ac:dyDescent="0.25">
      <c r="A430" s="31"/>
      <c r="B430" s="4" t="s">
        <v>1563</v>
      </c>
      <c r="C430" s="5">
        <v>1</v>
      </c>
      <c r="D430" s="7">
        <v>0</v>
      </c>
      <c r="E430" s="3">
        <f t="shared" si="133"/>
        <v>1</v>
      </c>
      <c r="F430" s="3" t="s">
        <v>867</v>
      </c>
      <c r="G430" s="77"/>
      <c r="H430" s="5" t="s">
        <v>1</v>
      </c>
      <c r="I430" s="78">
        <f t="shared" si="134"/>
        <v>0</v>
      </c>
      <c r="J430" s="110">
        <f t="shared" si="135"/>
        <v>75</v>
      </c>
      <c r="K430" s="4">
        <v>442</v>
      </c>
      <c r="L430" s="5" t="s">
        <v>1</v>
      </c>
      <c r="M430" s="80">
        <f t="shared" si="136"/>
        <v>442</v>
      </c>
      <c r="N430" s="78">
        <f t="shared" si="137"/>
        <v>33150</v>
      </c>
      <c r="O430" s="188">
        <f t="shared" si="138"/>
        <v>33150</v>
      </c>
    </row>
    <row r="431" spans="1:15" x14ac:dyDescent="0.25">
      <c r="A431" s="31"/>
      <c r="B431" s="4" t="s">
        <v>1562</v>
      </c>
      <c r="C431" s="5">
        <v>1</v>
      </c>
      <c r="D431" s="7">
        <v>0</v>
      </c>
      <c r="E431" s="3">
        <f t="shared" si="133"/>
        <v>1</v>
      </c>
      <c r="F431" s="3" t="s">
        <v>867</v>
      </c>
      <c r="G431" s="77"/>
      <c r="H431" s="5" t="s">
        <v>1</v>
      </c>
      <c r="I431" s="78">
        <f t="shared" si="134"/>
        <v>0</v>
      </c>
      <c r="J431" s="110">
        <f t="shared" si="135"/>
        <v>75</v>
      </c>
      <c r="K431" s="4">
        <v>468</v>
      </c>
      <c r="L431" s="5" t="s">
        <v>1</v>
      </c>
      <c r="M431" s="80">
        <f t="shared" si="136"/>
        <v>468</v>
      </c>
      <c r="N431" s="78">
        <f t="shared" si="137"/>
        <v>35100</v>
      </c>
      <c r="O431" s="188">
        <f t="shared" si="138"/>
        <v>35100</v>
      </c>
    </row>
    <row r="432" spans="1:15" x14ac:dyDescent="0.25">
      <c r="A432" s="31"/>
      <c r="B432" s="4" t="s">
        <v>1561</v>
      </c>
      <c r="C432" s="5">
        <v>1</v>
      </c>
      <c r="D432" s="7">
        <v>0</v>
      </c>
      <c r="E432" s="3">
        <f t="shared" si="133"/>
        <v>1</v>
      </c>
      <c r="F432" s="3" t="s">
        <v>867</v>
      </c>
      <c r="G432" s="77"/>
      <c r="H432" s="5" t="s">
        <v>1</v>
      </c>
      <c r="I432" s="78">
        <f t="shared" si="134"/>
        <v>0</v>
      </c>
      <c r="J432" s="110">
        <f t="shared" si="135"/>
        <v>75</v>
      </c>
      <c r="K432" s="4">
        <v>494</v>
      </c>
      <c r="L432" s="5" t="s">
        <v>1</v>
      </c>
      <c r="M432" s="80">
        <f t="shared" si="136"/>
        <v>494</v>
      </c>
      <c r="N432" s="78">
        <f t="shared" si="137"/>
        <v>37050</v>
      </c>
      <c r="O432" s="188">
        <f t="shared" si="138"/>
        <v>37050</v>
      </c>
    </row>
    <row r="433" spans="1:15" x14ac:dyDescent="0.25">
      <c r="A433" s="31"/>
      <c r="B433" s="4" t="s">
        <v>1560</v>
      </c>
      <c r="C433" s="5">
        <v>1</v>
      </c>
      <c r="D433" s="7">
        <v>0</v>
      </c>
      <c r="E433" s="3">
        <f t="shared" si="133"/>
        <v>1</v>
      </c>
      <c r="F433" s="3" t="s">
        <v>867</v>
      </c>
      <c r="G433" s="77"/>
      <c r="H433" s="5" t="s">
        <v>1</v>
      </c>
      <c r="I433" s="78">
        <f t="shared" si="134"/>
        <v>0</v>
      </c>
      <c r="J433" s="110">
        <f t="shared" si="135"/>
        <v>75</v>
      </c>
      <c r="K433" s="4">
        <v>520</v>
      </c>
      <c r="L433" s="5" t="s">
        <v>1</v>
      </c>
      <c r="M433" s="80">
        <f t="shared" si="136"/>
        <v>520</v>
      </c>
      <c r="N433" s="78">
        <f t="shared" si="137"/>
        <v>39000</v>
      </c>
      <c r="O433" s="188">
        <f t="shared" si="138"/>
        <v>39000</v>
      </c>
    </row>
    <row r="434" spans="1:15" ht="15.75" thickBot="1" x14ac:dyDescent="0.3">
      <c r="A434" s="53"/>
      <c r="B434" s="54"/>
      <c r="C434" s="55"/>
      <c r="D434" s="55"/>
      <c r="E434" s="55"/>
      <c r="F434" s="55"/>
      <c r="G434" s="56"/>
      <c r="H434" s="56"/>
      <c r="I434" s="56"/>
      <c r="J434" s="56"/>
      <c r="K434" s="57"/>
      <c r="L434" s="55"/>
      <c r="M434" s="57"/>
      <c r="N434" s="56"/>
      <c r="O434" s="188"/>
    </row>
    <row r="435" spans="1:15" ht="15.75" thickBot="1" x14ac:dyDescent="0.3">
      <c r="A435" s="31"/>
      <c r="B435" s="145" t="s">
        <v>1559</v>
      </c>
      <c r="C435" s="5"/>
      <c r="D435" s="7"/>
      <c r="E435" s="3"/>
      <c r="F435" s="3"/>
      <c r="G435" s="77"/>
      <c r="H435" s="5"/>
      <c r="I435" s="78"/>
      <c r="J435" s="110"/>
      <c r="K435" s="4"/>
      <c r="L435" s="5"/>
      <c r="M435" s="80"/>
      <c r="N435" s="78"/>
      <c r="O435" s="188"/>
    </row>
    <row r="436" spans="1:15" ht="15" customHeight="1" x14ac:dyDescent="0.25">
      <c r="A436" s="60">
        <v>1</v>
      </c>
      <c r="B436" s="8" t="s">
        <v>1558</v>
      </c>
      <c r="C436" s="5">
        <v>1</v>
      </c>
      <c r="D436" s="7">
        <v>0</v>
      </c>
      <c r="E436" s="3">
        <f t="shared" ref="E436:E455" si="139">C436+(C436*D436)</f>
        <v>1</v>
      </c>
      <c r="F436" s="3" t="s">
        <v>867</v>
      </c>
      <c r="G436" s="77"/>
      <c r="H436" s="5" t="s">
        <v>1</v>
      </c>
      <c r="I436" s="78">
        <f t="shared" ref="I436:I455" si="140">IF(H436="C",(G436/100)*E436,IF(H436="M",(G436/1000)*E436,G436*E436))</f>
        <v>0</v>
      </c>
      <c r="J436" s="110">
        <f t="shared" ref="J436:J455" si="141">$O$4</f>
        <v>75</v>
      </c>
      <c r="K436" s="4">
        <v>28</v>
      </c>
      <c r="L436" s="5" t="s">
        <v>1</v>
      </c>
      <c r="M436" s="80">
        <f t="shared" ref="M436:M455" si="142">IF(L436="C",(K436/100)*E436,IF(L436="M",(K436/1000)*E436,K436*E436))</f>
        <v>28</v>
      </c>
      <c r="N436" s="78">
        <f t="shared" ref="N436:N455" si="143">M436*J436</f>
        <v>2100</v>
      </c>
      <c r="O436" s="188">
        <f t="shared" ref="O436:O455" si="144">N436+I436</f>
        <v>2100</v>
      </c>
    </row>
    <row r="437" spans="1:15" x14ac:dyDescent="0.25">
      <c r="A437" s="31"/>
      <c r="B437" s="4" t="s">
        <v>1557</v>
      </c>
      <c r="C437" s="5">
        <v>1</v>
      </c>
      <c r="D437" s="7">
        <v>0</v>
      </c>
      <c r="E437" s="3">
        <f t="shared" si="139"/>
        <v>1</v>
      </c>
      <c r="F437" s="3" t="s">
        <v>867</v>
      </c>
      <c r="G437" s="77"/>
      <c r="H437" s="5" t="s">
        <v>1</v>
      </c>
      <c r="I437" s="78">
        <f t="shared" si="140"/>
        <v>0</v>
      </c>
      <c r="J437" s="110">
        <f t="shared" si="141"/>
        <v>75</v>
      </c>
      <c r="K437" s="4">
        <v>56</v>
      </c>
      <c r="L437" s="5" t="s">
        <v>1</v>
      </c>
      <c r="M437" s="80">
        <f t="shared" si="142"/>
        <v>56</v>
      </c>
      <c r="N437" s="78">
        <f t="shared" si="143"/>
        <v>4200</v>
      </c>
      <c r="O437" s="188">
        <f t="shared" si="144"/>
        <v>4200</v>
      </c>
    </row>
    <row r="438" spans="1:15" x14ac:dyDescent="0.25">
      <c r="A438" s="31"/>
      <c r="B438" s="4" t="s">
        <v>1556</v>
      </c>
      <c r="C438" s="5">
        <v>1</v>
      </c>
      <c r="D438" s="7">
        <v>0</v>
      </c>
      <c r="E438" s="3">
        <f t="shared" si="139"/>
        <v>1</v>
      </c>
      <c r="F438" s="3" t="s">
        <v>867</v>
      </c>
      <c r="G438" s="77"/>
      <c r="H438" s="5" t="s">
        <v>1</v>
      </c>
      <c r="I438" s="78">
        <f t="shared" si="140"/>
        <v>0</v>
      </c>
      <c r="J438" s="110">
        <f t="shared" si="141"/>
        <v>75</v>
      </c>
      <c r="K438" s="4">
        <v>84</v>
      </c>
      <c r="L438" s="5" t="s">
        <v>1</v>
      </c>
      <c r="M438" s="80">
        <f t="shared" si="142"/>
        <v>84</v>
      </c>
      <c r="N438" s="78">
        <f t="shared" si="143"/>
        <v>6300</v>
      </c>
      <c r="O438" s="188">
        <f t="shared" si="144"/>
        <v>6300</v>
      </c>
    </row>
    <row r="439" spans="1:15" x14ac:dyDescent="0.25">
      <c r="A439" s="31"/>
      <c r="B439" s="4" t="s">
        <v>1555</v>
      </c>
      <c r="C439" s="5">
        <v>1</v>
      </c>
      <c r="D439" s="7">
        <v>0</v>
      </c>
      <c r="E439" s="3">
        <f t="shared" si="139"/>
        <v>1</v>
      </c>
      <c r="F439" s="3" t="s">
        <v>867</v>
      </c>
      <c r="G439" s="77"/>
      <c r="H439" s="5" t="s">
        <v>1</v>
      </c>
      <c r="I439" s="78">
        <f t="shared" si="140"/>
        <v>0</v>
      </c>
      <c r="J439" s="110">
        <f t="shared" si="141"/>
        <v>75</v>
      </c>
      <c r="K439" s="4">
        <v>112</v>
      </c>
      <c r="L439" s="5" t="s">
        <v>1</v>
      </c>
      <c r="M439" s="80">
        <f t="shared" si="142"/>
        <v>112</v>
      </c>
      <c r="N439" s="78">
        <f t="shared" si="143"/>
        <v>8400</v>
      </c>
      <c r="O439" s="188">
        <f t="shared" si="144"/>
        <v>8400</v>
      </c>
    </row>
    <row r="440" spans="1:15" x14ac:dyDescent="0.25">
      <c r="A440" s="31"/>
      <c r="B440" s="4" t="s">
        <v>1554</v>
      </c>
      <c r="C440" s="5">
        <v>1</v>
      </c>
      <c r="D440" s="7">
        <v>0</v>
      </c>
      <c r="E440" s="3">
        <f t="shared" si="139"/>
        <v>1</v>
      </c>
      <c r="F440" s="3" t="s">
        <v>867</v>
      </c>
      <c r="G440" s="77"/>
      <c r="H440" s="5" t="s">
        <v>1</v>
      </c>
      <c r="I440" s="78">
        <f t="shared" si="140"/>
        <v>0</v>
      </c>
      <c r="J440" s="110">
        <f t="shared" si="141"/>
        <v>75</v>
      </c>
      <c r="K440" s="4">
        <v>140</v>
      </c>
      <c r="L440" s="5" t="s">
        <v>1</v>
      </c>
      <c r="M440" s="80">
        <f t="shared" si="142"/>
        <v>140</v>
      </c>
      <c r="N440" s="78">
        <f t="shared" si="143"/>
        <v>10500</v>
      </c>
      <c r="O440" s="188">
        <f t="shared" si="144"/>
        <v>10500</v>
      </c>
    </row>
    <row r="441" spans="1:15" x14ac:dyDescent="0.25">
      <c r="A441" s="31"/>
      <c r="B441" s="4" t="s">
        <v>1553</v>
      </c>
      <c r="C441" s="5">
        <v>1</v>
      </c>
      <c r="D441" s="7">
        <v>0</v>
      </c>
      <c r="E441" s="3">
        <f t="shared" si="139"/>
        <v>1</v>
      </c>
      <c r="F441" s="3" t="s">
        <v>867</v>
      </c>
      <c r="G441" s="77"/>
      <c r="H441" s="5" t="s">
        <v>1</v>
      </c>
      <c r="I441" s="78">
        <f t="shared" si="140"/>
        <v>0</v>
      </c>
      <c r="J441" s="110">
        <f t="shared" si="141"/>
        <v>75</v>
      </c>
      <c r="K441" s="4">
        <v>168</v>
      </c>
      <c r="L441" s="5" t="s">
        <v>1</v>
      </c>
      <c r="M441" s="80">
        <f t="shared" si="142"/>
        <v>168</v>
      </c>
      <c r="N441" s="78">
        <f t="shared" si="143"/>
        <v>12600</v>
      </c>
      <c r="O441" s="188">
        <f t="shared" si="144"/>
        <v>12600</v>
      </c>
    </row>
    <row r="442" spans="1:15" x14ac:dyDescent="0.25">
      <c r="A442" s="31"/>
      <c r="B442" s="4" t="s">
        <v>1552</v>
      </c>
      <c r="C442" s="5">
        <v>1</v>
      </c>
      <c r="D442" s="7">
        <v>0</v>
      </c>
      <c r="E442" s="3">
        <f t="shared" si="139"/>
        <v>1</v>
      </c>
      <c r="F442" s="3" t="s">
        <v>867</v>
      </c>
      <c r="G442" s="77"/>
      <c r="H442" s="5" t="s">
        <v>1</v>
      </c>
      <c r="I442" s="78">
        <f t="shared" si="140"/>
        <v>0</v>
      </c>
      <c r="J442" s="110">
        <f t="shared" si="141"/>
        <v>75</v>
      </c>
      <c r="K442" s="4">
        <v>196</v>
      </c>
      <c r="L442" s="5" t="s">
        <v>1</v>
      </c>
      <c r="M442" s="80">
        <f t="shared" si="142"/>
        <v>196</v>
      </c>
      <c r="N442" s="78">
        <f t="shared" si="143"/>
        <v>14700</v>
      </c>
      <c r="O442" s="188">
        <f t="shared" si="144"/>
        <v>14700</v>
      </c>
    </row>
    <row r="443" spans="1:15" x14ac:dyDescent="0.25">
      <c r="A443" s="31"/>
      <c r="B443" s="4" t="s">
        <v>1551</v>
      </c>
      <c r="C443" s="5">
        <v>1</v>
      </c>
      <c r="D443" s="7">
        <v>0</v>
      </c>
      <c r="E443" s="3">
        <f t="shared" si="139"/>
        <v>1</v>
      </c>
      <c r="F443" s="3" t="s">
        <v>867</v>
      </c>
      <c r="G443" s="77"/>
      <c r="H443" s="5" t="s">
        <v>1</v>
      </c>
      <c r="I443" s="78">
        <f t="shared" si="140"/>
        <v>0</v>
      </c>
      <c r="J443" s="110">
        <f t="shared" si="141"/>
        <v>75</v>
      </c>
      <c r="K443" s="4">
        <v>224</v>
      </c>
      <c r="L443" s="5" t="s">
        <v>1</v>
      </c>
      <c r="M443" s="80">
        <f t="shared" si="142"/>
        <v>224</v>
      </c>
      <c r="N443" s="78">
        <f t="shared" si="143"/>
        <v>16800</v>
      </c>
      <c r="O443" s="188">
        <f t="shared" si="144"/>
        <v>16800</v>
      </c>
    </row>
    <row r="444" spans="1:15" x14ac:dyDescent="0.25">
      <c r="A444" s="31"/>
      <c r="B444" s="4" t="s">
        <v>1550</v>
      </c>
      <c r="C444" s="5">
        <v>1</v>
      </c>
      <c r="D444" s="7">
        <v>0</v>
      </c>
      <c r="E444" s="3">
        <f t="shared" si="139"/>
        <v>1</v>
      </c>
      <c r="F444" s="3" t="s">
        <v>867</v>
      </c>
      <c r="G444" s="77"/>
      <c r="H444" s="5" t="s">
        <v>1</v>
      </c>
      <c r="I444" s="78">
        <f t="shared" si="140"/>
        <v>0</v>
      </c>
      <c r="J444" s="110">
        <f t="shared" si="141"/>
        <v>75</v>
      </c>
      <c r="K444" s="4">
        <v>252</v>
      </c>
      <c r="L444" s="5" t="s">
        <v>1</v>
      </c>
      <c r="M444" s="80">
        <f t="shared" si="142"/>
        <v>252</v>
      </c>
      <c r="N444" s="78">
        <f t="shared" si="143"/>
        <v>18900</v>
      </c>
      <c r="O444" s="188">
        <f t="shared" si="144"/>
        <v>18900</v>
      </c>
    </row>
    <row r="445" spans="1:15" x14ac:dyDescent="0.25">
      <c r="A445" s="31"/>
      <c r="B445" s="4" t="s">
        <v>1549</v>
      </c>
      <c r="C445" s="5">
        <v>1</v>
      </c>
      <c r="D445" s="7">
        <v>0</v>
      </c>
      <c r="E445" s="3">
        <f t="shared" si="139"/>
        <v>1</v>
      </c>
      <c r="F445" s="3" t="s">
        <v>867</v>
      </c>
      <c r="G445" s="77"/>
      <c r="H445" s="5" t="s">
        <v>1</v>
      </c>
      <c r="I445" s="78">
        <f t="shared" si="140"/>
        <v>0</v>
      </c>
      <c r="J445" s="110">
        <f t="shared" si="141"/>
        <v>75</v>
      </c>
      <c r="K445" s="4">
        <v>280</v>
      </c>
      <c r="L445" s="5" t="s">
        <v>1</v>
      </c>
      <c r="M445" s="80">
        <f t="shared" si="142"/>
        <v>280</v>
      </c>
      <c r="N445" s="78">
        <f t="shared" si="143"/>
        <v>21000</v>
      </c>
      <c r="O445" s="188">
        <f t="shared" si="144"/>
        <v>21000</v>
      </c>
    </row>
    <row r="446" spans="1:15" x14ac:dyDescent="0.25">
      <c r="A446" s="31"/>
      <c r="B446" s="4" t="s">
        <v>1548</v>
      </c>
      <c r="C446" s="5">
        <v>1</v>
      </c>
      <c r="D446" s="7">
        <v>0</v>
      </c>
      <c r="E446" s="3">
        <f t="shared" si="139"/>
        <v>1</v>
      </c>
      <c r="F446" s="3" t="s">
        <v>867</v>
      </c>
      <c r="G446" s="77"/>
      <c r="H446" s="5" t="s">
        <v>1</v>
      </c>
      <c r="I446" s="78">
        <f t="shared" si="140"/>
        <v>0</v>
      </c>
      <c r="J446" s="110">
        <f t="shared" si="141"/>
        <v>75</v>
      </c>
      <c r="K446" s="4">
        <v>308</v>
      </c>
      <c r="L446" s="5" t="s">
        <v>1</v>
      </c>
      <c r="M446" s="80">
        <f t="shared" si="142"/>
        <v>308</v>
      </c>
      <c r="N446" s="78">
        <f t="shared" si="143"/>
        <v>23100</v>
      </c>
      <c r="O446" s="188">
        <f t="shared" si="144"/>
        <v>23100</v>
      </c>
    </row>
    <row r="447" spans="1:15" x14ac:dyDescent="0.25">
      <c r="A447" s="31"/>
      <c r="B447" s="4" t="s">
        <v>1547</v>
      </c>
      <c r="C447" s="5">
        <v>1</v>
      </c>
      <c r="D447" s="7">
        <v>0</v>
      </c>
      <c r="E447" s="3">
        <f t="shared" si="139"/>
        <v>1</v>
      </c>
      <c r="F447" s="3" t="s">
        <v>867</v>
      </c>
      <c r="G447" s="77"/>
      <c r="H447" s="5" t="s">
        <v>1</v>
      </c>
      <c r="I447" s="78">
        <f t="shared" si="140"/>
        <v>0</v>
      </c>
      <c r="J447" s="110">
        <f t="shared" si="141"/>
        <v>75</v>
      </c>
      <c r="K447" s="4">
        <v>336</v>
      </c>
      <c r="L447" s="5" t="s">
        <v>1</v>
      </c>
      <c r="M447" s="80">
        <f t="shared" si="142"/>
        <v>336</v>
      </c>
      <c r="N447" s="78">
        <f t="shared" si="143"/>
        <v>25200</v>
      </c>
      <c r="O447" s="188">
        <f t="shared" si="144"/>
        <v>25200</v>
      </c>
    </row>
    <row r="448" spans="1:15" x14ac:dyDescent="0.25">
      <c r="A448" s="31"/>
      <c r="B448" s="4" t="s">
        <v>1546</v>
      </c>
      <c r="C448" s="5">
        <v>1</v>
      </c>
      <c r="D448" s="7">
        <v>0</v>
      </c>
      <c r="E448" s="3">
        <f t="shared" si="139"/>
        <v>1</v>
      </c>
      <c r="F448" s="3" t="s">
        <v>867</v>
      </c>
      <c r="G448" s="77"/>
      <c r="H448" s="5" t="s">
        <v>1</v>
      </c>
      <c r="I448" s="78">
        <f t="shared" si="140"/>
        <v>0</v>
      </c>
      <c r="J448" s="110">
        <f t="shared" si="141"/>
        <v>75</v>
      </c>
      <c r="K448" s="4">
        <v>364</v>
      </c>
      <c r="L448" s="5" t="s">
        <v>1</v>
      </c>
      <c r="M448" s="80">
        <f t="shared" si="142"/>
        <v>364</v>
      </c>
      <c r="N448" s="78">
        <f t="shared" si="143"/>
        <v>27300</v>
      </c>
      <c r="O448" s="188">
        <f t="shared" si="144"/>
        <v>27300</v>
      </c>
    </row>
    <row r="449" spans="1:15" x14ac:dyDescent="0.25">
      <c r="A449" s="31"/>
      <c r="B449" s="4" t="s">
        <v>1545</v>
      </c>
      <c r="C449" s="5">
        <v>1</v>
      </c>
      <c r="D449" s="7">
        <v>0</v>
      </c>
      <c r="E449" s="3">
        <f t="shared" si="139"/>
        <v>1</v>
      </c>
      <c r="F449" s="3" t="s">
        <v>867</v>
      </c>
      <c r="G449" s="77"/>
      <c r="H449" s="5" t="s">
        <v>1</v>
      </c>
      <c r="I449" s="78">
        <f t="shared" si="140"/>
        <v>0</v>
      </c>
      <c r="J449" s="110">
        <f t="shared" si="141"/>
        <v>75</v>
      </c>
      <c r="K449" s="4">
        <v>392</v>
      </c>
      <c r="L449" s="5" t="s">
        <v>1</v>
      </c>
      <c r="M449" s="80">
        <f t="shared" si="142"/>
        <v>392</v>
      </c>
      <c r="N449" s="78">
        <f t="shared" si="143"/>
        <v>29400</v>
      </c>
      <c r="O449" s="188">
        <f t="shared" si="144"/>
        <v>29400</v>
      </c>
    </row>
    <row r="450" spans="1:15" x14ac:dyDescent="0.25">
      <c r="A450" s="31"/>
      <c r="B450" s="4" t="s">
        <v>1544</v>
      </c>
      <c r="C450" s="5">
        <v>1</v>
      </c>
      <c r="D450" s="7">
        <v>0</v>
      </c>
      <c r="E450" s="3">
        <f t="shared" si="139"/>
        <v>1</v>
      </c>
      <c r="F450" s="3" t="s">
        <v>867</v>
      </c>
      <c r="G450" s="77"/>
      <c r="H450" s="5" t="s">
        <v>1</v>
      </c>
      <c r="I450" s="78">
        <f t="shared" si="140"/>
        <v>0</v>
      </c>
      <c r="J450" s="110">
        <f t="shared" si="141"/>
        <v>75</v>
      </c>
      <c r="K450" s="4">
        <v>420</v>
      </c>
      <c r="L450" s="5" t="s">
        <v>1</v>
      </c>
      <c r="M450" s="80">
        <f t="shared" si="142"/>
        <v>420</v>
      </c>
      <c r="N450" s="78">
        <f t="shared" si="143"/>
        <v>31500</v>
      </c>
      <c r="O450" s="188">
        <f t="shared" si="144"/>
        <v>31500</v>
      </c>
    </row>
    <row r="451" spans="1:15" x14ac:dyDescent="0.25">
      <c r="A451" s="31"/>
      <c r="B451" s="4" t="s">
        <v>1543</v>
      </c>
      <c r="C451" s="5">
        <v>1</v>
      </c>
      <c r="D451" s="7">
        <v>0</v>
      </c>
      <c r="E451" s="3">
        <f t="shared" si="139"/>
        <v>1</v>
      </c>
      <c r="F451" s="3" t="s">
        <v>867</v>
      </c>
      <c r="G451" s="77"/>
      <c r="H451" s="5" t="s">
        <v>1</v>
      </c>
      <c r="I451" s="78">
        <f t="shared" si="140"/>
        <v>0</v>
      </c>
      <c r="J451" s="110">
        <f t="shared" si="141"/>
        <v>75</v>
      </c>
      <c r="K451" s="4">
        <v>448</v>
      </c>
      <c r="L451" s="5" t="s">
        <v>1</v>
      </c>
      <c r="M451" s="80">
        <f t="shared" si="142"/>
        <v>448</v>
      </c>
      <c r="N451" s="78">
        <f t="shared" si="143"/>
        <v>33600</v>
      </c>
      <c r="O451" s="188">
        <f t="shared" si="144"/>
        <v>33600</v>
      </c>
    </row>
    <row r="452" spans="1:15" x14ac:dyDescent="0.25">
      <c r="A452" s="31"/>
      <c r="B452" s="4" t="s">
        <v>1542</v>
      </c>
      <c r="C452" s="5">
        <v>1</v>
      </c>
      <c r="D452" s="7">
        <v>0</v>
      </c>
      <c r="E452" s="3">
        <f t="shared" si="139"/>
        <v>1</v>
      </c>
      <c r="F452" s="3" t="s">
        <v>867</v>
      </c>
      <c r="G452" s="77"/>
      <c r="H452" s="5" t="s">
        <v>1</v>
      </c>
      <c r="I452" s="78">
        <f t="shared" si="140"/>
        <v>0</v>
      </c>
      <c r="J452" s="110">
        <f t="shared" si="141"/>
        <v>75</v>
      </c>
      <c r="K452" s="4">
        <v>476</v>
      </c>
      <c r="L452" s="5" t="s">
        <v>1</v>
      </c>
      <c r="M452" s="80">
        <f t="shared" si="142"/>
        <v>476</v>
      </c>
      <c r="N452" s="78">
        <f t="shared" si="143"/>
        <v>35700</v>
      </c>
      <c r="O452" s="188">
        <f t="shared" si="144"/>
        <v>35700</v>
      </c>
    </row>
    <row r="453" spans="1:15" x14ac:dyDescent="0.25">
      <c r="A453" s="31"/>
      <c r="B453" s="4" t="s">
        <v>1541</v>
      </c>
      <c r="C453" s="5">
        <v>1</v>
      </c>
      <c r="D453" s="7">
        <v>0</v>
      </c>
      <c r="E453" s="3">
        <f t="shared" si="139"/>
        <v>1</v>
      </c>
      <c r="F453" s="3" t="s">
        <v>867</v>
      </c>
      <c r="G453" s="77"/>
      <c r="H453" s="5" t="s">
        <v>1</v>
      </c>
      <c r="I453" s="78">
        <f t="shared" si="140"/>
        <v>0</v>
      </c>
      <c r="J453" s="110">
        <f t="shared" si="141"/>
        <v>75</v>
      </c>
      <c r="K453" s="4">
        <v>504</v>
      </c>
      <c r="L453" s="5" t="s">
        <v>1</v>
      </c>
      <c r="M453" s="80">
        <f t="shared" si="142"/>
        <v>504</v>
      </c>
      <c r="N453" s="78">
        <f t="shared" si="143"/>
        <v>37800</v>
      </c>
      <c r="O453" s="188">
        <f t="shared" si="144"/>
        <v>37800</v>
      </c>
    </row>
    <row r="454" spans="1:15" x14ac:dyDescent="0.25">
      <c r="A454" s="31"/>
      <c r="B454" s="4" t="s">
        <v>1540</v>
      </c>
      <c r="C454" s="5">
        <v>1</v>
      </c>
      <c r="D454" s="7">
        <v>0</v>
      </c>
      <c r="E454" s="3">
        <f t="shared" si="139"/>
        <v>1</v>
      </c>
      <c r="F454" s="3" t="s">
        <v>867</v>
      </c>
      <c r="G454" s="77"/>
      <c r="H454" s="5" t="s">
        <v>1</v>
      </c>
      <c r="I454" s="78">
        <f t="shared" si="140"/>
        <v>0</v>
      </c>
      <c r="J454" s="110">
        <f t="shared" si="141"/>
        <v>75</v>
      </c>
      <c r="K454" s="4">
        <v>532</v>
      </c>
      <c r="L454" s="5" t="s">
        <v>1</v>
      </c>
      <c r="M454" s="80">
        <f t="shared" si="142"/>
        <v>532</v>
      </c>
      <c r="N454" s="78">
        <f t="shared" si="143"/>
        <v>39900</v>
      </c>
      <c r="O454" s="188">
        <f t="shared" si="144"/>
        <v>39900</v>
      </c>
    </row>
    <row r="455" spans="1:15" x14ac:dyDescent="0.25">
      <c r="A455" s="31"/>
      <c r="B455" s="4" t="s">
        <v>1539</v>
      </c>
      <c r="C455" s="5">
        <v>1</v>
      </c>
      <c r="D455" s="7">
        <v>0</v>
      </c>
      <c r="E455" s="3">
        <f t="shared" si="139"/>
        <v>1</v>
      </c>
      <c r="F455" s="3" t="s">
        <v>867</v>
      </c>
      <c r="G455" s="77"/>
      <c r="H455" s="5" t="s">
        <v>1</v>
      </c>
      <c r="I455" s="78">
        <f t="shared" si="140"/>
        <v>0</v>
      </c>
      <c r="J455" s="110">
        <f t="shared" si="141"/>
        <v>75</v>
      </c>
      <c r="K455" s="4">
        <v>560</v>
      </c>
      <c r="L455" s="5" t="s">
        <v>1</v>
      </c>
      <c r="M455" s="80">
        <f t="shared" si="142"/>
        <v>560</v>
      </c>
      <c r="N455" s="78">
        <f t="shared" si="143"/>
        <v>42000</v>
      </c>
      <c r="O455" s="188">
        <f t="shared" si="144"/>
        <v>42000</v>
      </c>
    </row>
    <row r="456" spans="1:15" ht="15.75" thickBot="1" x14ac:dyDescent="0.3">
      <c r="A456" s="53"/>
      <c r="B456" s="54"/>
      <c r="C456" s="55"/>
      <c r="D456" s="55"/>
      <c r="E456" s="55"/>
      <c r="F456" s="55"/>
      <c r="G456" s="56"/>
      <c r="H456" s="56"/>
      <c r="I456" s="56"/>
      <c r="J456" s="56"/>
      <c r="K456" s="57"/>
      <c r="L456" s="55"/>
      <c r="M456" s="57"/>
      <c r="N456" s="56"/>
      <c r="O456" s="188"/>
    </row>
    <row r="457" spans="1:15" ht="15.75" thickBot="1" x14ac:dyDescent="0.3">
      <c r="A457" s="31"/>
      <c r="B457" s="145" t="s">
        <v>1538</v>
      </c>
      <c r="C457" s="5"/>
      <c r="D457" s="7"/>
      <c r="E457" s="3"/>
      <c r="F457" s="3"/>
      <c r="G457" s="77"/>
      <c r="H457" s="5"/>
      <c r="I457" s="78"/>
      <c r="J457" s="110"/>
      <c r="K457" s="4"/>
      <c r="L457" s="5"/>
      <c r="M457" s="80"/>
      <c r="N457" s="78"/>
      <c r="O457" s="188"/>
    </row>
    <row r="458" spans="1:15" x14ac:dyDescent="0.25">
      <c r="A458" s="31">
        <v>1</v>
      </c>
      <c r="B458" s="4" t="s">
        <v>1537</v>
      </c>
      <c r="C458" s="5">
        <v>1</v>
      </c>
      <c r="D458" s="7">
        <v>0</v>
      </c>
      <c r="E458" s="3">
        <f t="shared" ref="E458:E477" si="145">C458+(C458*D458)</f>
        <v>1</v>
      </c>
      <c r="F458" s="3" t="s">
        <v>867</v>
      </c>
      <c r="G458" s="77"/>
      <c r="H458" s="5" t="s">
        <v>1</v>
      </c>
      <c r="I458" s="78">
        <f t="shared" ref="I458:I477" si="146">IF(H458="C",(G458/100)*E458,IF(H458="M",(G458/1000)*E458,G458*E458))</f>
        <v>0</v>
      </c>
      <c r="J458" s="110">
        <f t="shared" ref="J458:J477" si="147">$O$4</f>
        <v>75</v>
      </c>
      <c r="K458" s="4">
        <v>32</v>
      </c>
      <c r="L458" s="5" t="s">
        <v>1</v>
      </c>
      <c r="M458" s="80">
        <f t="shared" ref="M458:M477" si="148">IF(L458="C",(K458/100)*E458,IF(L458="M",(K458/1000)*E458,K458*E458))</f>
        <v>32</v>
      </c>
      <c r="N458" s="78">
        <f t="shared" ref="N458:N477" si="149">M458*J458</f>
        <v>2400</v>
      </c>
      <c r="O458" s="188">
        <f t="shared" ref="O458:O477" si="150">N458+I458</f>
        <v>2400</v>
      </c>
    </row>
    <row r="459" spans="1:15" x14ac:dyDescent="0.25">
      <c r="A459" s="31"/>
      <c r="B459" s="4" t="s">
        <v>1536</v>
      </c>
      <c r="C459" s="5">
        <v>1</v>
      </c>
      <c r="D459" s="7">
        <v>0</v>
      </c>
      <c r="E459" s="3">
        <f t="shared" si="145"/>
        <v>1</v>
      </c>
      <c r="F459" s="3" t="s">
        <v>867</v>
      </c>
      <c r="G459" s="77"/>
      <c r="H459" s="5" t="s">
        <v>1</v>
      </c>
      <c r="I459" s="78">
        <f t="shared" si="146"/>
        <v>0</v>
      </c>
      <c r="J459" s="110">
        <f t="shared" si="147"/>
        <v>75</v>
      </c>
      <c r="K459" s="4">
        <v>64</v>
      </c>
      <c r="L459" s="5" t="s">
        <v>1</v>
      </c>
      <c r="M459" s="80">
        <f t="shared" si="148"/>
        <v>64</v>
      </c>
      <c r="N459" s="78">
        <f t="shared" si="149"/>
        <v>4800</v>
      </c>
      <c r="O459" s="188">
        <f t="shared" si="150"/>
        <v>4800</v>
      </c>
    </row>
    <row r="460" spans="1:15" x14ac:dyDescent="0.25">
      <c r="A460" s="31"/>
      <c r="B460" s="4" t="s">
        <v>1535</v>
      </c>
      <c r="C460" s="5">
        <v>1</v>
      </c>
      <c r="D460" s="7">
        <v>0</v>
      </c>
      <c r="E460" s="3">
        <f t="shared" si="145"/>
        <v>1</v>
      </c>
      <c r="F460" s="3" t="s">
        <v>867</v>
      </c>
      <c r="G460" s="77"/>
      <c r="H460" s="5" t="s">
        <v>1</v>
      </c>
      <c r="I460" s="78">
        <f t="shared" si="146"/>
        <v>0</v>
      </c>
      <c r="J460" s="110">
        <f t="shared" si="147"/>
        <v>75</v>
      </c>
      <c r="K460" s="4">
        <v>96</v>
      </c>
      <c r="L460" s="5" t="s">
        <v>1</v>
      </c>
      <c r="M460" s="80">
        <f t="shared" si="148"/>
        <v>96</v>
      </c>
      <c r="N460" s="78">
        <f t="shared" si="149"/>
        <v>7200</v>
      </c>
      <c r="O460" s="188">
        <f t="shared" si="150"/>
        <v>7200</v>
      </c>
    </row>
    <row r="461" spans="1:15" x14ac:dyDescent="0.25">
      <c r="A461" s="31"/>
      <c r="B461" s="4" t="s">
        <v>1534</v>
      </c>
      <c r="C461" s="5">
        <v>1</v>
      </c>
      <c r="D461" s="7">
        <v>0</v>
      </c>
      <c r="E461" s="3">
        <f t="shared" si="145"/>
        <v>1</v>
      </c>
      <c r="F461" s="3" t="s">
        <v>867</v>
      </c>
      <c r="G461" s="77"/>
      <c r="H461" s="5" t="s">
        <v>1</v>
      </c>
      <c r="I461" s="78">
        <f t="shared" si="146"/>
        <v>0</v>
      </c>
      <c r="J461" s="110">
        <f t="shared" si="147"/>
        <v>75</v>
      </c>
      <c r="K461" s="4">
        <v>128</v>
      </c>
      <c r="L461" s="5" t="s">
        <v>1</v>
      </c>
      <c r="M461" s="80">
        <f t="shared" si="148"/>
        <v>128</v>
      </c>
      <c r="N461" s="78">
        <f t="shared" si="149"/>
        <v>9600</v>
      </c>
      <c r="O461" s="188">
        <f t="shared" si="150"/>
        <v>9600</v>
      </c>
    </row>
    <row r="462" spans="1:15" x14ac:dyDescent="0.25">
      <c r="A462" s="31"/>
      <c r="B462" s="4" t="s">
        <v>1533</v>
      </c>
      <c r="C462" s="5">
        <v>1</v>
      </c>
      <c r="D462" s="7">
        <v>0</v>
      </c>
      <c r="E462" s="3">
        <f t="shared" si="145"/>
        <v>1</v>
      </c>
      <c r="F462" s="3" t="s">
        <v>867</v>
      </c>
      <c r="G462" s="77"/>
      <c r="H462" s="5" t="s">
        <v>1</v>
      </c>
      <c r="I462" s="78">
        <f t="shared" si="146"/>
        <v>0</v>
      </c>
      <c r="J462" s="110">
        <f t="shared" si="147"/>
        <v>75</v>
      </c>
      <c r="K462" s="4">
        <v>160</v>
      </c>
      <c r="L462" s="5" t="s">
        <v>1</v>
      </c>
      <c r="M462" s="80">
        <f t="shared" si="148"/>
        <v>160</v>
      </c>
      <c r="N462" s="78">
        <f t="shared" si="149"/>
        <v>12000</v>
      </c>
      <c r="O462" s="188">
        <f t="shared" si="150"/>
        <v>12000</v>
      </c>
    </row>
    <row r="463" spans="1:15" x14ac:dyDescent="0.25">
      <c r="A463" s="31"/>
      <c r="B463" s="4" t="s">
        <v>1532</v>
      </c>
      <c r="C463" s="5">
        <v>1</v>
      </c>
      <c r="D463" s="7">
        <v>0</v>
      </c>
      <c r="E463" s="3">
        <f t="shared" si="145"/>
        <v>1</v>
      </c>
      <c r="F463" s="3" t="s">
        <v>867</v>
      </c>
      <c r="G463" s="77"/>
      <c r="H463" s="5" t="s">
        <v>1</v>
      </c>
      <c r="I463" s="78">
        <f t="shared" si="146"/>
        <v>0</v>
      </c>
      <c r="J463" s="110">
        <f t="shared" si="147"/>
        <v>75</v>
      </c>
      <c r="K463" s="4">
        <v>192</v>
      </c>
      <c r="L463" s="5" t="s">
        <v>1</v>
      </c>
      <c r="M463" s="80">
        <f t="shared" si="148"/>
        <v>192</v>
      </c>
      <c r="N463" s="78">
        <f t="shared" si="149"/>
        <v>14400</v>
      </c>
      <c r="O463" s="188">
        <f t="shared" si="150"/>
        <v>14400</v>
      </c>
    </row>
    <row r="464" spans="1:15" x14ac:dyDescent="0.25">
      <c r="A464" s="31"/>
      <c r="B464" s="4" t="s">
        <v>1531</v>
      </c>
      <c r="C464" s="5">
        <v>1</v>
      </c>
      <c r="D464" s="7">
        <v>0</v>
      </c>
      <c r="E464" s="3">
        <f t="shared" si="145"/>
        <v>1</v>
      </c>
      <c r="F464" s="3" t="s">
        <v>867</v>
      </c>
      <c r="G464" s="77"/>
      <c r="H464" s="5" t="s">
        <v>1</v>
      </c>
      <c r="I464" s="78">
        <f t="shared" si="146"/>
        <v>0</v>
      </c>
      <c r="J464" s="110">
        <f t="shared" si="147"/>
        <v>75</v>
      </c>
      <c r="K464" s="4">
        <v>224</v>
      </c>
      <c r="L464" s="5" t="s">
        <v>1</v>
      </c>
      <c r="M464" s="80">
        <f t="shared" si="148"/>
        <v>224</v>
      </c>
      <c r="N464" s="78">
        <f t="shared" si="149"/>
        <v>16800</v>
      </c>
      <c r="O464" s="188">
        <f t="shared" si="150"/>
        <v>16800</v>
      </c>
    </row>
    <row r="465" spans="1:15" x14ac:dyDescent="0.25">
      <c r="A465" s="31"/>
      <c r="B465" s="4" t="s">
        <v>1530</v>
      </c>
      <c r="C465" s="5">
        <v>1</v>
      </c>
      <c r="D465" s="7">
        <v>0</v>
      </c>
      <c r="E465" s="3">
        <f t="shared" si="145"/>
        <v>1</v>
      </c>
      <c r="F465" s="3" t="s">
        <v>867</v>
      </c>
      <c r="G465" s="77"/>
      <c r="H465" s="5" t="s">
        <v>1</v>
      </c>
      <c r="I465" s="78">
        <f t="shared" si="146"/>
        <v>0</v>
      </c>
      <c r="J465" s="110">
        <f t="shared" si="147"/>
        <v>75</v>
      </c>
      <c r="K465" s="4">
        <v>256</v>
      </c>
      <c r="L465" s="5" t="s">
        <v>1</v>
      </c>
      <c r="M465" s="80">
        <f t="shared" si="148"/>
        <v>256</v>
      </c>
      <c r="N465" s="78">
        <f t="shared" si="149"/>
        <v>19200</v>
      </c>
      <c r="O465" s="188">
        <f t="shared" si="150"/>
        <v>19200</v>
      </c>
    </row>
    <row r="466" spans="1:15" x14ac:dyDescent="0.25">
      <c r="A466" s="31"/>
      <c r="B466" s="4" t="s">
        <v>1529</v>
      </c>
      <c r="C466" s="5">
        <v>1</v>
      </c>
      <c r="D466" s="7">
        <v>0</v>
      </c>
      <c r="E466" s="3">
        <f t="shared" si="145"/>
        <v>1</v>
      </c>
      <c r="F466" s="3" t="s">
        <v>867</v>
      </c>
      <c r="G466" s="77"/>
      <c r="H466" s="5" t="s">
        <v>1</v>
      </c>
      <c r="I466" s="78">
        <f t="shared" si="146"/>
        <v>0</v>
      </c>
      <c r="J466" s="110">
        <f t="shared" si="147"/>
        <v>75</v>
      </c>
      <c r="K466" s="4">
        <v>288</v>
      </c>
      <c r="L466" s="5" t="s">
        <v>1</v>
      </c>
      <c r="M466" s="80">
        <f t="shared" si="148"/>
        <v>288</v>
      </c>
      <c r="N466" s="78">
        <f t="shared" si="149"/>
        <v>21600</v>
      </c>
      <c r="O466" s="188">
        <f t="shared" si="150"/>
        <v>21600</v>
      </c>
    </row>
    <row r="467" spans="1:15" x14ac:dyDescent="0.25">
      <c r="A467" s="31"/>
      <c r="B467" s="4" t="s">
        <v>1528</v>
      </c>
      <c r="C467" s="5">
        <v>1</v>
      </c>
      <c r="D467" s="7">
        <v>0</v>
      </c>
      <c r="E467" s="3">
        <f t="shared" si="145"/>
        <v>1</v>
      </c>
      <c r="F467" s="3" t="s">
        <v>867</v>
      </c>
      <c r="G467" s="77"/>
      <c r="H467" s="5" t="s">
        <v>1</v>
      </c>
      <c r="I467" s="78">
        <f t="shared" si="146"/>
        <v>0</v>
      </c>
      <c r="J467" s="110">
        <f t="shared" si="147"/>
        <v>75</v>
      </c>
      <c r="K467" s="4">
        <v>320</v>
      </c>
      <c r="L467" s="5" t="s">
        <v>1</v>
      </c>
      <c r="M467" s="80">
        <f t="shared" si="148"/>
        <v>320</v>
      </c>
      <c r="N467" s="78">
        <f t="shared" si="149"/>
        <v>24000</v>
      </c>
      <c r="O467" s="188">
        <f t="shared" si="150"/>
        <v>24000</v>
      </c>
    </row>
    <row r="468" spans="1:15" x14ac:dyDescent="0.25">
      <c r="A468" s="31"/>
      <c r="B468" s="4" t="s">
        <v>1527</v>
      </c>
      <c r="C468" s="5">
        <v>1</v>
      </c>
      <c r="D468" s="7">
        <v>0</v>
      </c>
      <c r="E468" s="3">
        <f t="shared" si="145"/>
        <v>1</v>
      </c>
      <c r="F468" s="3" t="s">
        <v>867</v>
      </c>
      <c r="G468" s="77"/>
      <c r="H468" s="5" t="s">
        <v>1</v>
      </c>
      <c r="I468" s="78">
        <f t="shared" si="146"/>
        <v>0</v>
      </c>
      <c r="J468" s="110">
        <f t="shared" si="147"/>
        <v>75</v>
      </c>
      <c r="K468" s="4">
        <v>352</v>
      </c>
      <c r="L468" s="5" t="s">
        <v>1</v>
      </c>
      <c r="M468" s="80">
        <f t="shared" si="148"/>
        <v>352</v>
      </c>
      <c r="N468" s="78">
        <f t="shared" si="149"/>
        <v>26400</v>
      </c>
      <c r="O468" s="188">
        <f t="shared" si="150"/>
        <v>26400</v>
      </c>
    </row>
    <row r="469" spans="1:15" x14ac:dyDescent="0.25">
      <c r="A469" s="60"/>
      <c r="B469" s="8" t="s">
        <v>1526</v>
      </c>
      <c r="C469" s="5">
        <v>1</v>
      </c>
      <c r="D469" s="7">
        <v>0</v>
      </c>
      <c r="E469" s="3">
        <f t="shared" si="145"/>
        <v>1</v>
      </c>
      <c r="F469" s="3" t="s">
        <v>867</v>
      </c>
      <c r="G469" s="77"/>
      <c r="H469" s="5" t="s">
        <v>1</v>
      </c>
      <c r="I469" s="78">
        <f t="shared" si="146"/>
        <v>0</v>
      </c>
      <c r="J469" s="110">
        <f t="shared" si="147"/>
        <v>75</v>
      </c>
      <c r="K469" s="4">
        <v>384</v>
      </c>
      <c r="L469" s="5" t="s">
        <v>1</v>
      </c>
      <c r="M469" s="80">
        <f t="shared" si="148"/>
        <v>384</v>
      </c>
      <c r="N469" s="78">
        <f t="shared" si="149"/>
        <v>28800</v>
      </c>
      <c r="O469" s="188">
        <f t="shared" si="150"/>
        <v>28800</v>
      </c>
    </row>
    <row r="470" spans="1:15" x14ac:dyDescent="0.25">
      <c r="A470" s="31"/>
      <c r="B470" s="4" t="s">
        <v>1525</v>
      </c>
      <c r="C470" s="5">
        <v>1</v>
      </c>
      <c r="D470" s="7">
        <v>0</v>
      </c>
      <c r="E470" s="3">
        <f t="shared" si="145"/>
        <v>1</v>
      </c>
      <c r="F470" s="3" t="s">
        <v>867</v>
      </c>
      <c r="G470" s="77"/>
      <c r="H470" s="5" t="s">
        <v>1</v>
      </c>
      <c r="I470" s="78">
        <f t="shared" si="146"/>
        <v>0</v>
      </c>
      <c r="J470" s="110">
        <f t="shared" si="147"/>
        <v>75</v>
      </c>
      <c r="K470" s="4">
        <v>416</v>
      </c>
      <c r="L470" s="5" t="s">
        <v>1</v>
      </c>
      <c r="M470" s="80">
        <f t="shared" si="148"/>
        <v>416</v>
      </c>
      <c r="N470" s="78">
        <f t="shared" si="149"/>
        <v>31200</v>
      </c>
      <c r="O470" s="188">
        <f t="shared" si="150"/>
        <v>31200</v>
      </c>
    </row>
    <row r="471" spans="1:15" x14ac:dyDescent="0.25">
      <c r="A471" s="31"/>
      <c r="B471" s="4" t="s">
        <v>1524</v>
      </c>
      <c r="C471" s="5">
        <v>1</v>
      </c>
      <c r="D471" s="7">
        <v>0</v>
      </c>
      <c r="E471" s="3">
        <f t="shared" si="145"/>
        <v>1</v>
      </c>
      <c r="F471" s="3" t="s">
        <v>867</v>
      </c>
      <c r="G471" s="77"/>
      <c r="H471" s="5" t="s">
        <v>1</v>
      </c>
      <c r="I471" s="78">
        <f t="shared" si="146"/>
        <v>0</v>
      </c>
      <c r="J471" s="110">
        <f t="shared" si="147"/>
        <v>75</v>
      </c>
      <c r="K471" s="4">
        <v>448</v>
      </c>
      <c r="L471" s="5" t="s">
        <v>1</v>
      </c>
      <c r="M471" s="80">
        <f t="shared" si="148"/>
        <v>448</v>
      </c>
      <c r="N471" s="78">
        <f t="shared" si="149"/>
        <v>33600</v>
      </c>
      <c r="O471" s="188">
        <f t="shared" si="150"/>
        <v>33600</v>
      </c>
    </row>
    <row r="472" spans="1:15" x14ac:dyDescent="0.25">
      <c r="A472" s="31"/>
      <c r="B472" s="4" t="s">
        <v>1523</v>
      </c>
      <c r="C472" s="5">
        <v>1</v>
      </c>
      <c r="D472" s="7">
        <v>0</v>
      </c>
      <c r="E472" s="3">
        <f t="shared" si="145"/>
        <v>1</v>
      </c>
      <c r="F472" s="3" t="s">
        <v>867</v>
      </c>
      <c r="G472" s="77"/>
      <c r="H472" s="5" t="s">
        <v>1</v>
      </c>
      <c r="I472" s="78">
        <f t="shared" si="146"/>
        <v>0</v>
      </c>
      <c r="J472" s="110">
        <f t="shared" si="147"/>
        <v>75</v>
      </c>
      <c r="K472" s="4">
        <v>480</v>
      </c>
      <c r="L472" s="5" t="s">
        <v>1</v>
      </c>
      <c r="M472" s="80">
        <f t="shared" si="148"/>
        <v>480</v>
      </c>
      <c r="N472" s="78">
        <f t="shared" si="149"/>
        <v>36000</v>
      </c>
      <c r="O472" s="188">
        <f t="shared" si="150"/>
        <v>36000</v>
      </c>
    </row>
    <row r="473" spans="1:15" x14ac:dyDescent="0.25">
      <c r="A473" s="31"/>
      <c r="B473" s="4" t="s">
        <v>1522</v>
      </c>
      <c r="C473" s="5">
        <v>1</v>
      </c>
      <c r="D473" s="7">
        <v>0</v>
      </c>
      <c r="E473" s="3">
        <f t="shared" si="145"/>
        <v>1</v>
      </c>
      <c r="F473" s="3" t="s">
        <v>867</v>
      </c>
      <c r="G473" s="77"/>
      <c r="H473" s="5" t="s">
        <v>1</v>
      </c>
      <c r="I473" s="78">
        <f t="shared" si="146"/>
        <v>0</v>
      </c>
      <c r="J473" s="110">
        <f t="shared" si="147"/>
        <v>75</v>
      </c>
      <c r="K473" s="4">
        <v>512</v>
      </c>
      <c r="L473" s="5" t="s">
        <v>1</v>
      </c>
      <c r="M473" s="80">
        <f t="shared" si="148"/>
        <v>512</v>
      </c>
      <c r="N473" s="78">
        <f t="shared" si="149"/>
        <v>38400</v>
      </c>
      <c r="O473" s="188">
        <f t="shared" si="150"/>
        <v>38400</v>
      </c>
    </row>
    <row r="474" spans="1:15" x14ac:dyDescent="0.25">
      <c r="A474" s="31"/>
      <c r="B474" s="4" t="s">
        <v>1521</v>
      </c>
      <c r="C474" s="5">
        <v>1</v>
      </c>
      <c r="D474" s="7">
        <v>0</v>
      </c>
      <c r="E474" s="3">
        <f t="shared" si="145"/>
        <v>1</v>
      </c>
      <c r="F474" s="3" t="s">
        <v>867</v>
      </c>
      <c r="G474" s="77"/>
      <c r="H474" s="5" t="s">
        <v>1</v>
      </c>
      <c r="I474" s="78">
        <f t="shared" si="146"/>
        <v>0</v>
      </c>
      <c r="J474" s="110">
        <f t="shared" si="147"/>
        <v>75</v>
      </c>
      <c r="K474" s="4">
        <v>544</v>
      </c>
      <c r="L474" s="5" t="s">
        <v>1</v>
      </c>
      <c r="M474" s="80">
        <f t="shared" si="148"/>
        <v>544</v>
      </c>
      <c r="N474" s="78">
        <f t="shared" si="149"/>
        <v>40800</v>
      </c>
      <c r="O474" s="188">
        <f t="shared" si="150"/>
        <v>40800</v>
      </c>
    </row>
    <row r="475" spans="1:15" x14ac:dyDescent="0.25">
      <c r="A475" s="31"/>
      <c r="B475" s="4" t="s">
        <v>1520</v>
      </c>
      <c r="C475" s="5">
        <v>1</v>
      </c>
      <c r="D475" s="7">
        <v>0</v>
      </c>
      <c r="E475" s="3">
        <f t="shared" si="145"/>
        <v>1</v>
      </c>
      <c r="F475" s="3" t="s">
        <v>867</v>
      </c>
      <c r="G475" s="77"/>
      <c r="H475" s="5" t="s">
        <v>1</v>
      </c>
      <c r="I475" s="78">
        <f t="shared" si="146"/>
        <v>0</v>
      </c>
      <c r="J475" s="110">
        <f t="shared" si="147"/>
        <v>75</v>
      </c>
      <c r="K475" s="4">
        <v>576</v>
      </c>
      <c r="L475" s="5" t="s">
        <v>1</v>
      </c>
      <c r="M475" s="80">
        <f t="shared" si="148"/>
        <v>576</v>
      </c>
      <c r="N475" s="78">
        <f t="shared" si="149"/>
        <v>43200</v>
      </c>
      <c r="O475" s="188">
        <f t="shared" si="150"/>
        <v>43200</v>
      </c>
    </row>
    <row r="476" spans="1:15" x14ac:dyDescent="0.25">
      <c r="A476" s="31"/>
      <c r="B476" s="4" t="s">
        <v>1519</v>
      </c>
      <c r="C476" s="5">
        <v>1</v>
      </c>
      <c r="D476" s="7">
        <v>0</v>
      </c>
      <c r="E476" s="3">
        <f t="shared" si="145"/>
        <v>1</v>
      </c>
      <c r="F476" s="3" t="s">
        <v>867</v>
      </c>
      <c r="G476" s="77"/>
      <c r="H476" s="5" t="s">
        <v>1</v>
      </c>
      <c r="I476" s="78">
        <f t="shared" si="146"/>
        <v>0</v>
      </c>
      <c r="J476" s="110">
        <f t="shared" si="147"/>
        <v>75</v>
      </c>
      <c r="K476" s="4">
        <v>608</v>
      </c>
      <c r="L476" s="5" t="s">
        <v>1</v>
      </c>
      <c r="M476" s="80">
        <f t="shared" si="148"/>
        <v>608</v>
      </c>
      <c r="N476" s="78">
        <f t="shared" si="149"/>
        <v>45600</v>
      </c>
      <c r="O476" s="188">
        <f t="shared" si="150"/>
        <v>45600</v>
      </c>
    </row>
    <row r="477" spans="1:15" x14ac:dyDescent="0.25">
      <c r="A477" s="31"/>
      <c r="B477" s="4" t="s">
        <v>1518</v>
      </c>
      <c r="C477" s="5">
        <v>1</v>
      </c>
      <c r="D477" s="7">
        <v>0</v>
      </c>
      <c r="E477" s="3">
        <f t="shared" si="145"/>
        <v>1</v>
      </c>
      <c r="F477" s="3" t="s">
        <v>867</v>
      </c>
      <c r="G477" s="77"/>
      <c r="H477" s="5" t="s">
        <v>1</v>
      </c>
      <c r="I477" s="78">
        <f t="shared" si="146"/>
        <v>0</v>
      </c>
      <c r="J477" s="110">
        <f t="shared" si="147"/>
        <v>75</v>
      </c>
      <c r="K477" s="4">
        <v>640</v>
      </c>
      <c r="L477" s="5" t="s">
        <v>1</v>
      </c>
      <c r="M477" s="80">
        <f t="shared" si="148"/>
        <v>640</v>
      </c>
      <c r="N477" s="78">
        <f t="shared" si="149"/>
        <v>48000</v>
      </c>
      <c r="O477" s="188">
        <f t="shared" si="150"/>
        <v>48000</v>
      </c>
    </row>
    <row r="478" spans="1:15" ht="15.75" thickBot="1" x14ac:dyDescent="0.3">
      <c r="A478" s="53"/>
      <c r="B478" s="54"/>
      <c r="C478" s="55"/>
      <c r="D478" s="55"/>
      <c r="E478" s="55"/>
      <c r="F478" s="55"/>
      <c r="G478" s="56"/>
      <c r="H478" s="56"/>
      <c r="I478" s="56"/>
      <c r="J478" s="56"/>
      <c r="K478" s="57"/>
      <c r="L478" s="55"/>
      <c r="M478" s="57"/>
      <c r="N478" s="56"/>
      <c r="O478" s="188"/>
    </row>
    <row r="479" spans="1:15" ht="15.75" thickBot="1" x14ac:dyDescent="0.3">
      <c r="A479" s="31"/>
      <c r="B479" s="145" t="s">
        <v>1517</v>
      </c>
      <c r="C479" s="5"/>
      <c r="D479" s="7"/>
      <c r="E479" s="3"/>
      <c r="F479" s="3"/>
      <c r="G479" s="77"/>
      <c r="H479" s="5"/>
      <c r="I479" s="78"/>
      <c r="J479" s="110"/>
      <c r="K479" s="4"/>
      <c r="L479" s="5"/>
      <c r="M479" s="80"/>
      <c r="N479" s="78"/>
      <c r="O479" s="188"/>
    </row>
    <row r="480" spans="1:15" x14ac:dyDescent="0.25">
      <c r="A480" s="31">
        <v>1</v>
      </c>
      <c r="B480" s="4" t="s">
        <v>1516</v>
      </c>
      <c r="C480" s="5">
        <v>1</v>
      </c>
      <c r="D480" s="7">
        <v>0</v>
      </c>
      <c r="E480" s="3">
        <f t="shared" ref="E480:E499" si="151">C480+(C480*D480)</f>
        <v>1</v>
      </c>
      <c r="F480" s="3" t="s">
        <v>867</v>
      </c>
      <c r="G480" s="77"/>
      <c r="H480" s="5" t="s">
        <v>1</v>
      </c>
      <c r="I480" s="78">
        <f t="shared" ref="I480:I499" si="152">IF(H480="C",(G480/100)*E480,IF(H480="M",(G480/1000)*E480,G480*E480))</f>
        <v>0</v>
      </c>
      <c r="J480" s="110">
        <f t="shared" ref="J480:J499" si="153">$O$4</f>
        <v>75</v>
      </c>
      <c r="K480" s="4">
        <v>36</v>
      </c>
      <c r="L480" s="5" t="s">
        <v>1</v>
      </c>
      <c r="M480" s="80">
        <f t="shared" ref="M480:M499" si="154">IF(L480="C",(K480/100)*E480,IF(L480="M",(K480/1000)*E480,K480*E480))</f>
        <v>36</v>
      </c>
      <c r="N480" s="78">
        <f t="shared" ref="N480:N499" si="155">M480*J480</f>
        <v>2700</v>
      </c>
      <c r="O480" s="188">
        <f t="shared" ref="O480:O499" si="156">N480+I480</f>
        <v>2700</v>
      </c>
    </row>
    <row r="481" spans="1:15" x14ac:dyDescent="0.25">
      <c r="A481" s="31"/>
      <c r="B481" s="4" t="s">
        <v>1515</v>
      </c>
      <c r="C481" s="5">
        <v>1</v>
      </c>
      <c r="D481" s="7">
        <v>0</v>
      </c>
      <c r="E481" s="3">
        <f t="shared" si="151"/>
        <v>1</v>
      </c>
      <c r="F481" s="3" t="s">
        <v>867</v>
      </c>
      <c r="G481" s="77"/>
      <c r="H481" s="5" t="s">
        <v>1</v>
      </c>
      <c r="I481" s="78">
        <f t="shared" si="152"/>
        <v>0</v>
      </c>
      <c r="J481" s="110">
        <f t="shared" si="153"/>
        <v>75</v>
      </c>
      <c r="K481" s="4">
        <v>72</v>
      </c>
      <c r="L481" s="5" t="s">
        <v>1</v>
      </c>
      <c r="M481" s="80">
        <f t="shared" si="154"/>
        <v>72</v>
      </c>
      <c r="N481" s="78">
        <f t="shared" si="155"/>
        <v>5400</v>
      </c>
      <c r="O481" s="188">
        <f t="shared" si="156"/>
        <v>5400</v>
      </c>
    </row>
    <row r="482" spans="1:15" x14ac:dyDescent="0.25">
      <c r="A482" s="31"/>
      <c r="B482" s="4" t="s">
        <v>1514</v>
      </c>
      <c r="C482" s="5">
        <v>1</v>
      </c>
      <c r="D482" s="7">
        <v>0</v>
      </c>
      <c r="E482" s="3">
        <f t="shared" si="151"/>
        <v>1</v>
      </c>
      <c r="F482" s="3" t="s">
        <v>867</v>
      </c>
      <c r="G482" s="77"/>
      <c r="H482" s="5" t="s">
        <v>1</v>
      </c>
      <c r="I482" s="78">
        <f t="shared" si="152"/>
        <v>0</v>
      </c>
      <c r="J482" s="110">
        <f t="shared" si="153"/>
        <v>75</v>
      </c>
      <c r="K482" s="4">
        <v>108</v>
      </c>
      <c r="L482" s="5" t="s">
        <v>1</v>
      </c>
      <c r="M482" s="80">
        <f t="shared" si="154"/>
        <v>108</v>
      </c>
      <c r="N482" s="78">
        <f t="shared" si="155"/>
        <v>8100</v>
      </c>
      <c r="O482" s="188">
        <f t="shared" si="156"/>
        <v>8100</v>
      </c>
    </row>
    <row r="483" spans="1:15" x14ac:dyDescent="0.25">
      <c r="A483" s="31"/>
      <c r="B483" s="4" t="s">
        <v>1513</v>
      </c>
      <c r="C483" s="5">
        <v>1</v>
      </c>
      <c r="D483" s="7">
        <v>0</v>
      </c>
      <c r="E483" s="3">
        <f t="shared" si="151"/>
        <v>1</v>
      </c>
      <c r="F483" s="3" t="s">
        <v>867</v>
      </c>
      <c r="G483" s="77"/>
      <c r="H483" s="5" t="s">
        <v>1</v>
      </c>
      <c r="I483" s="78">
        <f t="shared" si="152"/>
        <v>0</v>
      </c>
      <c r="J483" s="110">
        <f t="shared" si="153"/>
        <v>75</v>
      </c>
      <c r="K483" s="4">
        <v>144</v>
      </c>
      <c r="L483" s="5" t="s">
        <v>1</v>
      </c>
      <c r="M483" s="80">
        <f t="shared" si="154"/>
        <v>144</v>
      </c>
      <c r="N483" s="78">
        <f t="shared" si="155"/>
        <v>10800</v>
      </c>
      <c r="O483" s="188">
        <f t="shared" si="156"/>
        <v>10800</v>
      </c>
    </row>
    <row r="484" spans="1:15" x14ac:dyDescent="0.25">
      <c r="A484" s="31"/>
      <c r="B484" s="4" t="s">
        <v>1512</v>
      </c>
      <c r="C484" s="5">
        <v>1</v>
      </c>
      <c r="D484" s="7">
        <v>0</v>
      </c>
      <c r="E484" s="3">
        <f t="shared" si="151"/>
        <v>1</v>
      </c>
      <c r="F484" s="3" t="s">
        <v>867</v>
      </c>
      <c r="G484" s="77"/>
      <c r="H484" s="5" t="s">
        <v>1</v>
      </c>
      <c r="I484" s="78">
        <f t="shared" si="152"/>
        <v>0</v>
      </c>
      <c r="J484" s="110">
        <f t="shared" si="153"/>
        <v>75</v>
      </c>
      <c r="K484" s="4">
        <v>180</v>
      </c>
      <c r="L484" s="5" t="s">
        <v>1</v>
      </c>
      <c r="M484" s="80">
        <f t="shared" si="154"/>
        <v>180</v>
      </c>
      <c r="N484" s="78">
        <f t="shared" si="155"/>
        <v>13500</v>
      </c>
      <c r="O484" s="188">
        <f t="shared" si="156"/>
        <v>13500</v>
      </c>
    </row>
    <row r="485" spans="1:15" x14ac:dyDescent="0.25">
      <c r="A485" s="31"/>
      <c r="B485" s="4" t="s">
        <v>1511</v>
      </c>
      <c r="C485" s="5">
        <v>1</v>
      </c>
      <c r="D485" s="7">
        <v>0</v>
      </c>
      <c r="E485" s="3">
        <f t="shared" si="151"/>
        <v>1</v>
      </c>
      <c r="F485" s="3" t="s">
        <v>867</v>
      </c>
      <c r="G485" s="77"/>
      <c r="H485" s="5" t="s">
        <v>1</v>
      </c>
      <c r="I485" s="78">
        <f t="shared" si="152"/>
        <v>0</v>
      </c>
      <c r="J485" s="110">
        <f t="shared" si="153"/>
        <v>75</v>
      </c>
      <c r="K485" s="4">
        <v>216</v>
      </c>
      <c r="L485" s="5" t="s">
        <v>1</v>
      </c>
      <c r="M485" s="80">
        <f t="shared" si="154"/>
        <v>216</v>
      </c>
      <c r="N485" s="78">
        <f t="shared" si="155"/>
        <v>16200</v>
      </c>
      <c r="O485" s="188">
        <f t="shared" si="156"/>
        <v>16200</v>
      </c>
    </row>
    <row r="486" spans="1:15" x14ac:dyDescent="0.25">
      <c r="A486" s="31"/>
      <c r="B486" s="4" t="s">
        <v>1510</v>
      </c>
      <c r="C486" s="5">
        <v>1</v>
      </c>
      <c r="D486" s="7">
        <v>0</v>
      </c>
      <c r="E486" s="3">
        <f t="shared" si="151"/>
        <v>1</v>
      </c>
      <c r="F486" s="3" t="s">
        <v>867</v>
      </c>
      <c r="G486" s="77"/>
      <c r="H486" s="5" t="s">
        <v>1</v>
      </c>
      <c r="I486" s="78">
        <f t="shared" si="152"/>
        <v>0</v>
      </c>
      <c r="J486" s="110">
        <f t="shared" si="153"/>
        <v>75</v>
      </c>
      <c r="K486" s="4">
        <v>252</v>
      </c>
      <c r="L486" s="5" t="s">
        <v>1</v>
      </c>
      <c r="M486" s="80">
        <f t="shared" si="154"/>
        <v>252</v>
      </c>
      <c r="N486" s="78">
        <f t="shared" si="155"/>
        <v>18900</v>
      </c>
      <c r="O486" s="188">
        <f t="shared" si="156"/>
        <v>18900</v>
      </c>
    </row>
    <row r="487" spans="1:15" x14ac:dyDescent="0.25">
      <c r="A487" s="31"/>
      <c r="B487" s="4" t="s">
        <v>1509</v>
      </c>
      <c r="C487" s="5">
        <v>1</v>
      </c>
      <c r="D487" s="7">
        <v>0</v>
      </c>
      <c r="E487" s="3">
        <f t="shared" si="151"/>
        <v>1</v>
      </c>
      <c r="F487" s="3" t="s">
        <v>867</v>
      </c>
      <c r="G487" s="77"/>
      <c r="H487" s="5" t="s">
        <v>1</v>
      </c>
      <c r="I487" s="78">
        <f t="shared" si="152"/>
        <v>0</v>
      </c>
      <c r="J487" s="110">
        <f t="shared" si="153"/>
        <v>75</v>
      </c>
      <c r="K487" s="4">
        <v>288</v>
      </c>
      <c r="L487" s="5" t="s">
        <v>1</v>
      </c>
      <c r="M487" s="80">
        <f t="shared" si="154"/>
        <v>288</v>
      </c>
      <c r="N487" s="78">
        <f t="shared" si="155"/>
        <v>21600</v>
      </c>
      <c r="O487" s="188">
        <f t="shared" si="156"/>
        <v>21600</v>
      </c>
    </row>
    <row r="488" spans="1:15" x14ac:dyDescent="0.25">
      <c r="A488" s="31"/>
      <c r="B488" s="4" t="s">
        <v>1508</v>
      </c>
      <c r="C488" s="5">
        <v>1</v>
      </c>
      <c r="D488" s="7">
        <v>0</v>
      </c>
      <c r="E488" s="3">
        <f t="shared" si="151"/>
        <v>1</v>
      </c>
      <c r="F488" s="3" t="s">
        <v>867</v>
      </c>
      <c r="G488" s="77"/>
      <c r="H488" s="5" t="s">
        <v>1</v>
      </c>
      <c r="I488" s="78">
        <f t="shared" si="152"/>
        <v>0</v>
      </c>
      <c r="J488" s="110">
        <f t="shared" si="153"/>
        <v>75</v>
      </c>
      <c r="K488" s="4">
        <v>324</v>
      </c>
      <c r="L488" s="5" t="s">
        <v>1</v>
      </c>
      <c r="M488" s="80">
        <f t="shared" si="154"/>
        <v>324</v>
      </c>
      <c r="N488" s="78">
        <f t="shared" si="155"/>
        <v>24300</v>
      </c>
      <c r="O488" s="188">
        <f t="shared" si="156"/>
        <v>24300</v>
      </c>
    </row>
    <row r="489" spans="1:15" x14ac:dyDescent="0.25">
      <c r="A489" s="31"/>
      <c r="B489" s="4" t="s">
        <v>1507</v>
      </c>
      <c r="C489" s="5">
        <v>1</v>
      </c>
      <c r="D489" s="7">
        <v>0</v>
      </c>
      <c r="E489" s="3">
        <f t="shared" si="151"/>
        <v>1</v>
      </c>
      <c r="F489" s="3" t="s">
        <v>867</v>
      </c>
      <c r="G489" s="77"/>
      <c r="H489" s="5" t="s">
        <v>1</v>
      </c>
      <c r="I489" s="78">
        <f t="shared" si="152"/>
        <v>0</v>
      </c>
      <c r="J489" s="110">
        <f t="shared" si="153"/>
        <v>75</v>
      </c>
      <c r="K489" s="4">
        <v>360</v>
      </c>
      <c r="L489" s="5" t="s">
        <v>1</v>
      </c>
      <c r="M489" s="80">
        <f t="shared" si="154"/>
        <v>360</v>
      </c>
      <c r="N489" s="78">
        <f t="shared" si="155"/>
        <v>27000</v>
      </c>
      <c r="O489" s="188">
        <f t="shared" si="156"/>
        <v>27000</v>
      </c>
    </row>
    <row r="490" spans="1:15" x14ac:dyDescent="0.25">
      <c r="A490" s="31"/>
      <c r="B490" s="4" t="s">
        <v>1506</v>
      </c>
      <c r="C490" s="5">
        <v>1</v>
      </c>
      <c r="D490" s="7">
        <v>0</v>
      </c>
      <c r="E490" s="3">
        <f t="shared" si="151"/>
        <v>1</v>
      </c>
      <c r="F490" s="3" t="s">
        <v>867</v>
      </c>
      <c r="G490" s="77"/>
      <c r="H490" s="5" t="s">
        <v>1</v>
      </c>
      <c r="I490" s="78">
        <f t="shared" si="152"/>
        <v>0</v>
      </c>
      <c r="J490" s="110">
        <f t="shared" si="153"/>
        <v>75</v>
      </c>
      <c r="K490" s="4">
        <v>396</v>
      </c>
      <c r="L490" s="5" t="s">
        <v>1</v>
      </c>
      <c r="M490" s="80">
        <f t="shared" si="154"/>
        <v>396</v>
      </c>
      <c r="N490" s="78">
        <f t="shared" si="155"/>
        <v>29700</v>
      </c>
      <c r="O490" s="188">
        <f t="shared" si="156"/>
        <v>29700</v>
      </c>
    </row>
    <row r="491" spans="1:15" x14ac:dyDescent="0.25">
      <c r="A491" s="31"/>
      <c r="B491" s="4" t="s">
        <v>1505</v>
      </c>
      <c r="C491" s="5">
        <v>1</v>
      </c>
      <c r="D491" s="7">
        <v>0</v>
      </c>
      <c r="E491" s="3">
        <f t="shared" si="151"/>
        <v>1</v>
      </c>
      <c r="F491" s="3" t="s">
        <v>867</v>
      </c>
      <c r="G491" s="77"/>
      <c r="H491" s="5" t="s">
        <v>1</v>
      </c>
      <c r="I491" s="78">
        <f t="shared" si="152"/>
        <v>0</v>
      </c>
      <c r="J491" s="110">
        <f t="shared" si="153"/>
        <v>75</v>
      </c>
      <c r="K491" s="4">
        <v>432</v>
      </c>
      <c r="L491" s="5" t="s">
        <v>1</v>
      </c>
      <c r="M491" s="80">
        <f t="shared" si="154"/>
        <v>432</v>
      </c>
      <c r="N491" s="78">
        <f t="shared" si="155"/>
        <v>32400</v>
      </c>
      <c r="O491" s="188">
        <f t="shared" si="156"/>
        <v>32400</v>
      </c>
    </row>
    <row r="492" spans="1:15" x14ac:dyDescent="0.25">
      <c r="A492" s="31"/>
      <c r="B492" s="4" t="s">
        <v>1504</v>
      </c>
      <c r="C492" s="5">
        <v>1</v>
      </c>
      <c r="D492" s="7">
        <v>0</v>
      </c>
      <c r="E492" s="3">
        <f t="shared" si="151"/>
        <v>1</v>
      </c>
      <c r="F492" s="3" t="s">
        <v>867</v>
      </c>
      <c r="G492" s="77"/>
      <c r="H492" s="5" t="s">
        <v>1</v>
      </c>
      <c r="I492" s="78">
        <f t="shared" si="152"/>
        <v>0</v>
      </c>
      <c r="J492" s="110">
        <f t="shared" si="153"/>
        <v>75</v>
      </c>
      <c r="K492" s="4">
        <v>468</v>
      </c>
      <c r="L492" s="5" t="s">
        <v>1</v>
      </c>
      <c r="M492" s="80">
        <f t="shared" si="154"/>
        <v>468</v>
      </c>
      <c r="N492" s="78">
        <f t="shared" si="155"/>
        <v>35100</v>
      </c>
      <c r="O492" s="188">
        <f t="shared" si="156"/>
        <v>35100</v>
      </c>
    </row>
    <row r="493" spans="1:15" x14ac:dyDescent="0.25">
      <c r="A493" s="31"/>
      <c r="B493" s="4" t="s">
        <v>1503</v>
      </c>
      <c r="C493" s="5">
        <v>1</v>
      </c>
      <c r="D493" s="7">
        <v>0</v>
      </c>
      <c r="E493" s="3">
        <f t="shared" si="151"/>
        <v>1</v>
      </c>
      <c r="F493" s="3" t="s">
        <v>867</v>
      </c>
      <c r="G493" s="77"/>
      <c r="H493" s="5" t="s">
        <v>1</v>
      </c>
      <c r="I493" s="78">
        <f t="shared" si="152"/>
        <v>0</v>
      </c>
      <c r="J493" s="110">
        <f t="shared" si="153"/>
        <v>75</v>
      </c>
      <c r="K493" s="4">
        <v>504</v>
      </c>
      <c r="L493" s="5" t="s">
        <v>1</v>
      </c>
      <c r="M493" s="80">
        <f t="shared" si="154"/>
        <v>504</v>
      </c>
      <c r="N493" s="78">
        <f t="shared" si="155"/>
        <v>37800</v>
      </c>
      <c r="O493" s="188">
        <f t="shared" si="156"/>
        <v>37800</v>
      </c>
    </row>
    <row r="494" spans="1:15" x14ac:dyDescent="0.25">
      <c r="A494" s="31"/>
      <c r="B494" s="4" t="s">
        <v>1502</v>
      </c>
      <c r="C494" s="5">
        <v>1</v>
      </c>
      <c r="D494" s="7">
        <v>0</v>
      </c>
      <c r="E494" s="3">
        <f t="shared" si="151"/>
        <v>1</v>
      </c>
      <c r="F494" s="3" t="s">
        <v>867</v>
      </c>
      <c r="G494" s="77"/>
      <c r="H494" s="5" t="s">
        <v>1</v>
      </c>
      <c r="I494" s="78">
        <f t="shared" si="152"/>
        <v>0</v>
      </c>
      <c r="J494" s="110">
        <f t="shared" si="153"/>
        <v>75</v>
      </c>
      <c r="K494" s="4">
        <v>540</v>
      </c>
      <c r="L494" s="5" t="s">
        <v>1</v>
      </c>
      <c r="M494" s="80">
        <f t="shared" si="154"/>
        <v>540</v>
      </c>
      <c r="N494" s="78">
        <f t="shared" si="155"/>
        <v>40500</v>
      </c>
      <c r="O494" s="188">
        <f t="shared" si="156"/>
        <v>40500</v>
      </c>
    </row>
    <row r="495" spans="1:15" x14ac:dyDescent="0.25">
      <c r="A495" s="31"/>
      <c r="B495" s="4" t="s">
        <v>1501</v>
      </c>
      <c r="C495" s="5">
        <v>1</v>
      </c>
      <c r="D495" s="7">
        <v>0</v>
      </c>
      <c r="E495" s="3">
        <f t="shared" si="151"/>
        <v>1</v>
      </c>
      <c r="F495" s="3" t="s">
        <v>867</v>
      </c>
      <c r="G495" s="77"/>
      <c r="H495" s="5" t="s">
        <v>1</v>
      </c>
      <c r="I495" s="78">
        <f t="shared" si="152"/>
        <v>0</v>
      </c>
      <c r="J495" s="110">
        <f t="shared" si="153"/>
        <v>75</v>
      </c>
      <c r="K495" s="4">
        <v>576</v>
      </c>
      <c r="L495" s="5" t="s">
        <v>1</v>
      </c>
      <c r="M495" s="80">
        <f t="shared" si="154"/>
        <v>576</v>
      </c>
      <c r="N495" s="78">
        <f t="shared" si="155"/>
        <v>43200</v>
      </c>
      <c r="O495" s="188">
        <f t="shared" si="156"/>
        <v>43200</v>
      </c>
    </row>
    <row r="496" spans="1:15" x14ac:dyDescent="0.25">
      <c r="A496" s="31"/>
      <c r="B496" s="4" t="s">
        <v>1500</v>
      </c>
      <c r="C496" s="5">
        <v>1</v>
      </c>
      <c r="D496" s="7">
        <v>0</v>
      </c>
      <c r="E496" s="3">
        <f t="shared" si="151"/>
        <v>1</v>
      </c>
      <c r="F496" s="3" t="s">
        <v>867</v>
      </c>
      <c r="G496" s="77"/>
      <c r="H496" s="5" t="s">
        <v>1</v>
      </c>
      <c r="I496" s="78">
        <f t="shared" si="152"/>
        <v>0</v>
      </c>
      <c r="J496" s="110">
        <f t="shared" si="153"/>
        <v>75</v>
      </c>
      <c r="K496" s="4">
        <v>612</v>
      </c>
      <c r="L496" s="5" t="s">
        <v>1</v>
      </c>
      <c r="M496" s="80">
        <f t="shared" si="154"/>
        <v>612</v>
      </c>
      <c r="N496" s="78">
        <f t="shared" si="155"/>
        <v>45900</v>
      </c>
      <c r="O496" s="188">
        <f t="shared" si="156"/>
        <v>45900</v>
      </c>
    </row>
    <row r="497" spans="1:15" x14ac:dyDescent="0.25">
      <c r="A497" s="31"/>
      <c r="B497" s="4" t="s">
        <v>1499</v>
      </c>
      <c r="C497" s="5">
        <v>1</v>
      </c>
      <c r="D497" s="7">
        <v>0</v>
      </c>
      <c r="E497" s="3">
        <f t="shared" si="151"/>
        <v>1</v>
      </c>
      <c r="F497" s="3" t="s">
        <v>867</v>
      </c>
      <c r="G497" s="77"/>
      <c r="H497" s="5" t="s">
        <v>1</v>
      </c>
      <c r="I497" s="78">
        <f t="shared" si="152"/>
        <v>0</v>
      </c>
      <c r="J497" s="110">
        <f t="shared" si="153"/>
        <v>75</v>
      </c>
      <c r="K497" s="4">
        <v>648</v>
      </c>
      <c r="L497" s="5" t="s">
        <v>1</v>
      </c>
      <c r="M497" s="80">
        <f t="shared" si="154"/>
        <v>648</v>
      </c>
      <c r="N497" s="78">
        <f t="shared" si="155"/>
        <v>48600</v>
      </c>
      <c r="O497" s="188">
        <f t="shared" si="156"/>
        <v>48600</v>
      </c>
    </row>
    <row r="498" spans="1:15" x14ac:dyDescent="0.25">
      <c r="A498" s="31"/>
      <c r="B498" s="4" t="s">
        <v>1498</v>
      </c>
      <c r="C498" s="5">
        <v>1</v>
      </c>
      <c r="D498" s="7">
        <v>0</v>
      </c>
      <c r="E498" s="3">
        <f t="shared" si="151"/>
        <v>1</v>
      </c>
      <c r="F498" s="3" t="s">
        <v>867</v>
      </c>
      <c r="G498" s="77"/>
      <c r="H498" s="5" t="s">
        <v>1</v>
      </c>
      <c r="I498" s="78">
        <f t="shared" si="152"/>
        <v>0</v>
      </c>
      <c r="J498" s="110">
        <f t="shared" si="153"/>
        <v>75</v>
      </c>
      <c r="K498" s="4">
        <v>684</v>
      </c>
      <c r="L498" s="5" t="s">
        <v>1</v>
      </c>
      <c r="M498" s="80">
        <f t="shared" si="154"/>
        <v>684</v>
      </c>
      <c r="N498" s="78">
        <f t="shared" si="155"/>
        <v>51300</v>
      </c>
      <c r="O498" s="188">
        <f t="shared" si="156"/>
        <v>51300</v>
      </c>
    </row>
    <row r="499" spans="1:15" x14ac:dyDescent="0.25">
      <c r="A499" s="31"/>
      <c r="B499" s="4" t="s">
        <v>1497</v>
      </c>
      <c r="C499" s="5">
        <v>1</v>
      </c>
      <c r="D499" s="7">
        <v>0</v>
      </c>
      <c r="E499" s="3">
        <f t="shared" si="151"/>
        <v>1</v>
      </c>
      <c r="F499" s="3" t="s">
        <v>867</v>
      </c>
      <c r="G499" s="77"/>
      <c r="H499" s="5" t="s">
        <v>1</v>
      </c>
      <c r="I499" s="78">
        <f t="shared" si="152"/>
        <v>0</v>
      </c>
      <c r="J499" s="110">
        <f t="shared" si="153"/>
        <v>75</v>
      </c>
      <c r="K499" s="4">
        <v>720</v>
      </c>
      <c r="L499" s="5" t="s">
        <v>1</v>
      </c>
      <c r="M499" s="80">
        <f t="shared" si="154"/>
        <v>720</v>
      </c>
      <c r="N499" s="78">
        <f t="shared" si="155"/>
        <v>54000</v>
      </c>
      <c r="O499" s="188">
        <f t="shared" si="156"/>
        <v>54000</v>
      </c>
    </row>
    <row r="500" spans="1:15" ht="15.75" thickBot="1" x14ac:dyDescent="0.3">
      <c r="A500" s="53"/>
      <c r="B500" s="54"/>
      <c r="C500" s="55"/>
      <c r="D500" s="55"/>
      <c r="E500" s="55"/>
      <c r="F500" s="55"/>
      <c r="G500" s="56"/>
      <c r="H500" s="56"/>
      <c r="I500" s="56"/>
      <c r="J500" s="56"/>
      <c r="K500" s="57"/>
      <c r="L500" s="55"/>
      <c r="M500" s="57"/>
      <c r="N500" s="56"/>
      <c r="O500" s="188"/>
    </row>
    <row r="501" spans="1:15" ht="15.75" thickBot="1" x14ac:dyDescent="0.3">
      <c r="A501" s="31"/>
      <c r="B501" s="145" t="s">
        <v>1496</v>
      </c>
      <c r="C501" s="5"/>
      <c r="D501" s="7"/>
      <c r="E501" s="3"/>
      <c r="F501" s="3"/>
      <c r="G501" s="77"/>
      <c r="H501" s="5"/>
      <c r="I501" s="78"/>
      <c r="J501" s="110"/>
      <c r="K501" s="4"/>
      <c r="L501" s="5"/>
      <c r="M501" s="80"/>
      <c r="N501" s="78"/>
      <c r="O501" s="188"/>
    </row>
    <row r="502" spans="1:15" x14ac:dyDescent="0.25">
      <c r="A502" s="31">
        <v>1</v>
      </c>
      <c r="B502" s="4" t="s">
        <v>1495</v>
      </c>
      <c r="C502" s="5">
        <v>1</v>
      </c>
      <c r="D502" s="7">
        <v>0</v>
      </c>
      <c r="E502" s="3">
        <f t="shared" ref="E502:E521" si="157">C502+(C502*D502)</f>
        <v>1</v>
      </c>
      <c r="F502" s="3" t="s">
        <v>867</v>
      </c>
      <c r="G502" s="77"/>
      <c r="H502" s="5" t="s">
        <v>1</v>
      </c>
      <c r="I502" s="78">
        <f t="shared" ref="I502:I521" si="158">IF(H502="C",(G502/100)*E502,IF(H502="M",(G502/1000)*E502,G502*E502))</f>
        <v>0</v>
      </c>
      <c r="J502" s="110">
        <f t="shared" ref="J502:J521" si="159">$O$4</f>
        <v>75</v>
      </c>
      <c r="K502" s="4">
        <v>40</v>
      </c>
      <c r="L502" s="5" t="s">
        <v>1</v>
      </c>
      <c r="M502" s="80">
        <f t="shared" ref="M502:M521" si="160">IF(L502="C",(K502/100)*E502,IF(L502="M",(K502/1000)*E502,K502*E502))</f>
        <v>40</v>
      </c>
      <c r="N502" s="78">
        <f t="shared" ref="N502:N521" si="161">M502*J502</f>
        <v>3000</v>
      </c>
      <c r="O502" s="188">
        <f t="shared" ref="O502:O521" si="162">N502+I502</f>
        <v>3000</v>
      </c>
    </row>
    <row r="503" spans="1:15" x14ac:dyDescent="0.25">
      <c r="A503" s="31"/>
      <c r="B503" s="4" t="s">
        <v>1494</v>
      </c>
      <c r="C503" s="5">
        <v>1</v>
      </c>
      <c r="D503" s="7">
        <v>0</v>
      </c>
      <c r="E503" s="3">
        <f t="shared" si="157"/>
        <v>1</v>
      </c>
      <c r="F503" s="3" t="s">
        <v>867</v>
      </c>
      <c r="G503" s="77"/>
      <c r="H503" s="5" t="s">
        <v>1</v>
      </c>
      <c r="I503" s="78">
        <f t="shared" si="158"/>
        <v>0</v>
      </c>
      <c r="J503" s="110">
        <f t="shared" si="159"/>
        <v>75</v>
      </c>
      <c r="K503" s="4">
        <v>80</v>
      </c>
      <c r="L503" s="5" t="s">
        <v>1</v>
      </c>
      <c r="M503" s="80">
        <f t="shared" si="160"/>
        <v>80</v>
      </c>
      <c r="N503" s="78">
        <f t="shared" si="161"/>
        <v>6000</v>
      </c>
      <c r="O503" s="188">
        <f t="shared" si="162"/>
        <v>6000</v>
      </c>
    </row>
    <row r="504" spans="1:15" x14ac:dyDescent="0.25">
      <c r="A504" s="31"/>
      <c r="B504" s="4" t="s">
        <v>1493</v>
      </c>
      <c r="C504" s="5">
        <v>1</v>
      </c>
      <c r="D504" s="7">
        <v>0</v>
      </c>
      <c r="E504" s="3">
        <f t="shared" si="157"/>
        <v>1</v>
      </c>
      <c r="F504" s="3" t="s">
        <v>867</v>
      </c>
      <c r="G504" s="77"/>
      <c r="H504" s="5" t="s">
        <v>1</v>
      </c>
      <c r="I504" s="78">
        <f t="shared" si="158"/>
        <v>0</v>
      </c>
      <c r="J504" s="110">
        <f t="shared" si="159"/>
        <v>75</v>
      </c>
      <c r="K504" s="4">
        <v>120</v>
      </c>
      <c r="L504" s="5" t="s">
        <v>1</v>
      </c>
      <c r="M504" s="80">
        <f t="shared" si="160"/>
        <v>120</v>
      </c>
      <c r="N504" s="78">
        <f t="shared" si="161"/>
        <v>9000</v>
      </c>
      <c r="O504" s="188">
        <f t="shared" si="162"/>
        <v>9000</v>
      </c>
    </row>
    <row r="505" spans="1:15" x14ac:dyDescent="0.25">
      <c r="A505" s="31"/>
      <c r="B505" s="4" t="s">
        <v>1492</v>
      </c>
      <c r="C505" s="5">
        <v>1</v>
      </c>
      <c r="D505" s="7">
        <v>0</v>
      </c>
      <c r="E505" s="3">
        <f t="shared" si="157"/>
        <v>1</v>
      </c>
      <c r="F505" s="3" t="s">
        <v>867</v>
      </c>
      <c r="G505" s="77"/>
      <c r="H505" s="5" t="s">
        <v>1</v>
      </c>
      <c r="I505" s="78">
        <f t="shared" si="158"/>
        <v>0</v>
      </c>
      <c r="J505" s="110">
        <f t="shared" si="159"/>
        <v>75</v>
      </c>
      <c r="K505" s="4">
        <v>160</v>
      </c>
      <c r="L505" s="5" t="s">
        <v>1</v>
      </c>
      <c r="M505" s="80">
        <f t="shared" si="160"/>
        <v>160</v>
      </c>
      <c r="N505" s="78">
        <f t="shared" si="161"/>
        <v>12000</v>
      </c>
      <c r="O505" s="188">
        <f t="shared" si="162"/>
        <v>12000</v>
      </c>
    </row>
    <row r="506" spans="1:15" x14ac:dyDescent="0.25">
      <c r="A506" s="31"/>
      <c r="B506" s="4" t="s">
        <v>1491</v>
      </c>
      <c r="C506" s="5">
        <v>1</v>
      </c>
      <c r="D506" s="7">
        <v>0</v>
      </c>
      <c r="E506" s="3">
        <f t="shared" si="157"/>
        <v>1</v>
      </c>
      <c r="F506" s="3" t="s">
        <v>867</v>
      </c>
      <c r="G506" s="77"/>
      <c r="H506" s="5" t="s">
        <v>1</v>
      </c>
      <c r="I506" s="78">
        <f t="shared" si="158"/>
        <v>0</v>
      </c>
      <c r="J506" s="110">
        <f t="shared" si="159"/>
        <v>75</v>
      </c>
      <c r="K506" s="4">
        <v>200</v>
      </c>
      <c r="L506" s="5" t="s">
        <v>1</v>
      </c>
      <c r="M506" s="80">
        <f t="shared" si="160"/>
        <v>200</v>
      </c>
      <c r="N506" s="78">
        <f t="shared" si="161"/>
        <v>15000</v>
      </c>
      <c r="O506" s="188">
        <f t="shared" si="162"/>
        <v>15000</v>
      </c>
    </row>
    <row r="507" spans="1:15" x14ac:dyDescent="0.25">
      <c r="A507" s="31"/>
      <c r="B507" s="4" t="s">
        <v>1490</v>
      </c>
      <c r="C507" s="5">
        <v>1</v>
      </c>
      <c r="D507" s="7">
        <v>0</v>
      </c>
      <c r="E507" s="3">
        <f t="shared" si="157"/>
        <v>1</v>
      </c>
      <c r="F507" s="3" t="s">
        <v>867</v>
      </c>
      <c r="G507" s="77"/>
      <c r="H507" s="5" t="s">
        <v>1</v>
      </c>
      <c r="I507" s="78">
        <f t="shared" si="158"/>
        <v>0</v>
      </c>
      <c r="J507" s="110">
        <f t="shared" si="159"/>
        <v>75</v>
      </c>
      <c r="K507" s="4">
        <v>240</v>
      </c>
      <c r="L507" s="5" t="s">
        <v>1</v>
      </c>
      <c r="M507" s="80">
        <f t="shared" si="160"/>
        <v>240</v>
      </c>
      <c r="N507" s="78">
        <f t="shared" si="161"/>
        <v>18000</v>
      </c>
      <c r="O507" s="188">
        <f t="shared" si="162"/>
        <v>18000</v>
      </c>
    </row>
    <row r="508" spans="1:15" x14ac:dyDescent="0.25">
      <c r="A508" s="31"/>
      <c r="B508" s="4" t="s">
        <v>1489</v>
      </c>
      <c r="C508" s="5">
        <v>1</v>
      </c>
      <c r="D508" s="7">
        <v>0</v>
      </c>
      <c r="E508" s="3">
        <f t="shared" si="157"/>
        <v>1</v>
      </c>
      <c r="F508" s="3" t="s">
        <v>867</v>
      </c>
      <c r="G508" s="77"/>
      <c r="H508" s="5" t="s">
        <v>1</v>
      </c>
      <c r="I508" s="78">
        <f t="shared" si="158"/>
        <v>0</v>
      </c>
      <c r="J508" s="110">
        <f t="shared" si="159"/>
        <v>75</v>
      </c>
      <c r="K508" s="4">
        <v>280</v>
      </c>
      <c r="L508" s="5" t="s">
        <v>1</v>
      </c>
      <c r="M508" s="80">
        <f t="shared" si="160"/>
        <v>280</v>
      </c>
      <c r="N508" s="78">
        <f t="shared" si="161"/>
        <v>21000</v>
      </c>
      <c r="O508" s="188">
        <f t="shared" si="162"/>
        <v>21000</v>
      </c>
    </row>
    <row r="509" spans="1:15" x14ac:dyDescent="0.25">
      <c r="A509" s="31"/>
      <c r="B509" s="4" t="s">
        <v>1488</v>
      </c>
      <c r="C509" s="5">
        <v>1</v>
      </c>
      <c r="D509" s="7">
        <v>0</v>
      </c>
      <c r="E509" s="3">
        <f t="shared" si="157"/>
        <v>1</v>
      </c>
      <c r="F509" s="3" t="s">
        <v>867</v>
      </c>
      <c r="G509" s="77"/>
      <c r="H509" s="5" t="s">
        <v>1</v>
      </c>
      <c r="I509" s="78">
        <f t="shared" si="158"/>
        <v>0</v>
      </c>
      <c r="J509" s="110">
        <f t="shared" si="159"/>
        <v>75</v>
      </c>
      <c r="K509" s="4">
        <v>320</v>
      </c>
      <c r="L509" s="5" t="s">
        <v>1</v>
      </c>
      <c r="M509" s="80">
        <f t="shared" si="160"/>
        <v>320</v>
      </c>
      <c r="N509" s="78">
        <f t="shared" si="161"/>
        <v>24000</v>
      </c>
      <c r="O509" s="188">
        <f t="shared" si="162"/>
        <v>24000</v>
      </c>
    </row>
    <row r="510" spans="1:15" x14ac:dyDescent="0.25">
      <c r="A510" s="31"/>
      <c r="B510" s="4" t="s">
        <v>1487</v>
      </c>
      <c r="C510" s="5">
        <v>1</v>
      </c>
      <c r="D510" s="7">
        <v>0</v>
      </c>
      <c r="E510" s="3">
        <f t="shared" si="157"/>
        <v>1</v>
      </c>
      <c r="F510" s="3" t="s">
        <v>867</v>
      </c>
      <c r="G510" s="77"/>
      <c r="H510" s="5" t="s">
        <v>1</v>
      </c>
      <c r="I510" s="78">
        <f t="shared" si="158"/>
        <v>0</v>
      </c>
      <c r="J510" s="110">
        <f t="shared" si="159"/>
        <v>75</v>
      </c>
      <c r="K510" s="4">
        <v>360</v>
      </c>
      <c r="L510" s="5" t="s">
        <v>1</v>
      </c>
      <c r="M510" s="80">
        <f t="shared" si="160"/>
        <v>360</v>
      </c>
      <c r="N510" s="78">
        <f t="shared" si="161"/>
        <v>27000</v>
      </c>
      <c r="O510" s="188">
        <f t="shared" si="162"/>
        <v>27000</v>
      </c>
    </row>
    <row r="511" spans="1:15" x14ac:dyDescent="0.25">
      <c r="A511" s="31"/>
      <c r="B511" s="4" t="s">
        <v>1486</v>
      </c>
      <c r="C511" s="5">
        <v>1</v>
      </c>
      <c r="D511" s="7">
        <v>0</v>
      </c>
      <c r="E511" s="3">
        <f t="shared" si="157"/>
        <v>1</v>
      </c>
      <c r="F511" s="3" t="s">
        <v>867</v>
      </c>
      <c r="G511" s="77"/>
      <c r="H511" s="5" t="s">
        <v>1</v>
      </c>
      <c r="I511" s="78">
        <f t="shared" si="158"/>
        <v>0</v>
      </c>
      <c r="J511" s="110">
        <f t="shared" si="159"/>
        <v>75</v>
      </c>
      <c r="K511" s="4">
        <v>400</v>
      </c>
      <c r="L511" s="5" t="s">
        <v>1</v>
      </c>
      <c r="M511" s="80">
        <f t="shared" si="160"/>
        <v>400</v>
      </c>
      <c r="N511" s="78">
        <f t="shared" si="161"/>
        <v>30000</v>
      </c>
      <c r="O511" s="188">
        <f t="shared" si="162"/>
        <v>30000</v>
      </c>
    </row>
    <row r="512" spans="1:15" x14ac:dyDescent="0.25">
      <c r="A512" s="31"/>
      <c r="B512" s="4" t="s">
        <v>1485</v>
      </c>
      <c r="C512" s="5">
        <v>1</v>
      </c>
      <c r="D512" s="7">
        <v>0</v>
      </c>
      <c r="E512" s="3">
        <f t="shared" si="157"/>
        <v>1</v>
      </c>
      <c r="F512" s="3" t="s">
        <v>867</v>
      </c>
      <c r="G512" s="77"/>
      <c r="H512" s="5" t="s">
        <v>1</v>
      </c>
      <c r="I512" s="78">
        <f t="shared" si="158"/>
        <v>0</v>
      </c>
      <c r="J512" s="110">
        <f t="shared" si="159"/>
        <v>75</v>
      </c>
      <c r="K512" s="4">
        <v>440</v>
      </c>
      <c r="L512" s="5" t="s">
        <v>1</v>
      </c>
      <c r="M512" s="80">
        <f t="shared" si="160"/>
        <v>440</v>
      </c>
      <c r="N512" s="78">
        <f t="shared" si="161"/>
        <v>33000</v>
      </c>
      <c r="O512" s="188">
        <f t="shared" si="162"/>
        <v>33000</v>
      </c>
    </row>
    <row r="513" spans="1:15" x14ac:dyDescent="0.25">
      <c r="A513" s="31"/>
      <c r="B513" s="4" t="s">
        <v>1484</v>
      </c>
      <c r="C513" s="5">
        <v>1</v>
      </c>
      <c r="D513" s="7">
        <v>0</v>
      </c>
      <c r="E513" s="3">
        <f t="shared" si="157"/>
        <v>1</v>
      </c>
      <c r="F513" s="3" t="s">
        <v>867</v>
      </c>
      <c r="G513" s="77"/>
      <c r="H513" s="5" t="s">
        <v>1</v>
      </c>
      <c r="I513" s="78">
        <f t="shared" si="158"/>
        <v>0</v>
      </c>
      <c r="J513" s="110">
        <f t="shared" si="159"/>
        <v>75</v>
      </c>
      <c r="K513" s="4">
        <v>480</v>
      </c>
      <c r="L513" s="5" t="s">
        <v>1</v>
      </c>
      <c r="M513" s="80">
        <f t="shared" si="160"/>
        <v>480</v>
      </c>
      <c r="N513" s="78">
        <f t="shared" si="161"/>
        <v>36000</v>
      </c>
      <c r="O513" s="188">
        <f t="shared" si="162"/>
        <v>36000</v>
      </c>
    </row>
    <row r="514" spans="1:15" x14ac:dyDescent="0.25">
      <c r="A514" s="31"/>
      <c r="B514" s="4" t="s">
        <v>1483</v>
      </c>
      <c r="C514" s="5">
        <v>1</v>
      </c>
      <c r="D514" s="7">
        <v>0</v>
      </c>
      <c r="E514" s="3">
        <f t="shared" si="157"/>
        <v>1</v>
      </c>
      <c r="F514" s="3" t="s">
        <v>867</v>
      </c>
      <c r="G514" s="77"/>
      <c r="H514" s="5" t="s">
        <v>1</v>
      </c>
      <c r="I514" s="78">
        <f t="shared" si="158"/>
        <v>0</v>
      </c>
      <c r="J514" s="110">
        <f t="shared" si="159"/>
        <v>75</v>
      </c>
      <c r="K514" s="4">
        <v>520</v>
      </c>
      <c r="L514" s="5" t="s">
        <v>1</v>
      </c>
      <c r="M514" s="80">
        <f t="shared" si="160"/>
        <v>520</v>
      </c>
      <c r="N514" s="78">
        <f t="shared" si="161"/>
        <v>39000</v>
      </c>
      <c r="O514" s="188">
        <f t="shared" si="162"/>
        <v>39000</v>
      </c>
    </row>
    <row r="515" spans="1:15" x14ac:dyDescent="0.25">
      <c r="A515" s="31"/>
      <c r="B515" s="4" t="s">
        <v>1482</v>
      </c>
      <c r="C515" s="5">
        <v>1</v>
      </c>
      <c r="D515" s="7">
        <v>0</v>
      </c>
      <c r="E515" s="3">
        <f t="shared" si="157"/>
        <v>1</v>
      </c>
      <c r="F515" s="3" t="s">
        <v>867</v>
      </c>
      <c r="G515" s="77"/>
      <c r="H515" s="5" t="s">
        <v>1</v>
      </c>
      <c r="I515" s="78">
        <f t="shared" si="158"/>
        <v>0</v>
      </c>
      <c r="J515" s="110">
        <f t="shared" si="159"/>
        <v>75</v>
      </c>
      <c r="K515" s="4">
        <v>560</v>
      </c>
      <c r="L515" s="5" t="s">
        <v>1</v>
      </c>
      <c r="M515" s="80">
        <f t="shared" si="160"/>
        <v>560</v>
      </c>
      <c r="N515" s="78">
        <f t="shared" si="161"/>
        <v>42000</v>
      </c>
      <c r="O515" s="188">
        <f t="shared" si="162"/>
        <v>42000</v>
      </c>
    </row>
    <row r="516" spans="1:15" x14ac:dyDescent="0.25">
      <c r="A516" s="31"/>
      <c r="B516" s="4" t="s">
        <v>1481</v>
      </c>
      <c r="C516" s="5">
        <v>1</v>
      </c>
      <c r="D516" s="7">
        <v>0</v>
      </c>
      <c r="E516" s="3">
        <f t="shared" si="157"/>
        <v>1</v>
      </c>
      <c r="F516" s="3" t="s">
        <v>867</v>
      </c>
      <c r="G516" s="77"/>
      <c r="H516" s="5" t="s">
        <v>1</v>
      </c>
      <c r="I516" s="78">
        <f t="shared" si="158"/>
        <v>0</v>
      </c>
      <c r="J516" s="110">
        <f t="shared" si="159"/>
        <v>75</v>
      </c>
      <c r="K516" s="4">
        <v>600</v>
      </c>
      <c r="L516" s="5" t="s">
        <v>1</v>
      </c>
      <c r="M516" s="80">
        <f t="shared" si="160"/>
        <v>600</v>
      </c>
      <c r="N516" s="78">
        <f t="shared" si="161"/>
        <v>45000</v>
      </c>
      <c r="O516" s="188">
        <f t="shared" si="162"/>
        <v>45000</v>
      </c>
    </row>
    <row r="517" spans="1:15" x14ac:dyDescent="0.25">
      <c r="A517" s="31"/>
      <c r="B517" s="4" t="s">
        <v>1480</v>
      </c>
      <c r="C517" s="5">
        <v>1</v>
      </c>
      <c r="D517" s="7">
        <v>0</v>
      </c>
      <c r="E517" s="3">
        <f t="shared" si="157"/>
        <v>1</v>
      </c>
      <c r="F517" s="3" t="s">
        <v>867</v>
      </c>
      <c r="G517" s="77"/>
      <c r="H517" s="5" t="s">
        <v>1</v>
      </c>
      <c r="I517" s="78">
        <f t="shared" si="158"/>
        <v>0</v>
      </c>
      <c r="J517" s="110">
        <f t="shared" si="159"/>
        <v>75</v>
      </c>
      <c r="K517" s="4">
        <v>640</v>
      </c>
      <c r="L517" s="5" t="s">
        <v>1</v>
      </c>
      <c r="M517" s="80">
        <f t="shared" si="160"/>
        <v>640</v>
      </c>
      <c r="N517" s="78">
        <f t="shared" si="161"/>
        <v>48000</v>
      </c>
      <c r="O517" s="188">
        <f t="shared" si="162"/>
        <v>48000</v>
      </c>
    </row>
    <row r="518" spans="1:15" x14ac:dyDescent="0.25">
      <c r="A518" s="31"/>
      <c r="B518" s="4" t="s">
        <v>1479</v>
      </c>
      <c r="C518" s="5">
        <v>1</v>
      </c>
      <c r="D518" s="7">
        <v>0</v>
      </c>
      <c r="E518" s="3">
        <f t="shared" si="157"/>
        <v>1</v>
      </c>
      <c r="F518" s="3" t="s">
        <v>867</v>
      </c>
      <c r="G518" s="77"/>
      <c r="H518" s="5" t="s">
        <v>1</v>
      </c>
      <c r="I518" s="78">
        <f t="shared" si="158"/>
        <v>0</v>
      </c>
      <c r="J518" s="110">
        <f t="shared" si="159"/>
        <v>75</v>
      </c>
      <c r="K518" s="4">
        <v>680</v>
      </c>
      <c r="L518" s="5" t="s">
        <v>1</v>
      </c>
      <c r="M518" s="80">
        <f t="shared" si="160"/>
        <v>680</v>
      </c>
      <c r="N518" s="78">
        <f t="shared" si="161"/>
        <v>51000</v>
      </c>
      <c r="O518" s="188">
        <f t="shared" si="162"/>
        <v>51000</v>
      </c>
    </row>
    <row r="519" spans="1:15" x14ac:dyDescent="0.25">
      <c r="A519" s="60"/>
      <c r="B519" s="8" t="s">
        <v>1478</v>
      </c>
      <c r="C519" s="5">
        <v>1</v>
      </c>
      <c r="D519" s="7">
        <v>0</v>
      </c>
      <c r="E519" s="3">
        <f t="shared" si="157"/>
        <v>1</v>
      </c>
      <c r="F519" s="3" t="s">
        <v>867</v>
      </c>
      <c r="G519" s="77"/>
      <c r="H519" s="5" t="s">
        <v>1</v>
      </c>
      <c r="I519" s="78">
        <f t="shared" si="158"/>
        <v>0</v>
      </c>
      <c r="J519" s="110">
        <f t="shared" si="159"/>
        <v>75</v>
      </c>
      <c r="K519" s="4">
        <v>720</v>
      </c>
      <c r="L519" s="5" t="s">
        <v>1</v>
      </c>
      <c r="M519" s="80">
        <f t="shared" si="160"/>
        <v>720</v>
      </c>
      <c r="N519" s="78">
        <f t="shared" si="161"/>
        <v>54000</v>
      </c>
      <c r="O519" s="188">
        <f t="shared" si="162"/>
        <v>54000</v>
      </c>
    </row>
    <row r="520" spans="1:15" x14ac:dyDescent="0.25">
      <c r="A520" s="31"/>
      <c r="B520" s="4" t="s">
        <v>1477</v>
      </c>
      <c r="C520" s="5">
        <v>1</v>
      </c>
      <c r="D520" s="7">
        <v>0</v>
      </c>
      <c r="E520" s="3">
        <f t="shared" si="157"/>
        <v>1</v>
      </c>
      <c r="F520" s="3" t="s">
        <v>867</v>
      </c>
      <c r="G520" s="77"/>
      <c r="H520" s="5" t="s">
        <v>1</v>
      </c>
      <c r="I520" s="78">
        <f t="shared" si="158"/>
        <v>0</v>
      </c>
      <c r="J520" s="110">
        <f t="shared" si="159"/>
        <v>75</v>
      </c>
      <c r="K520" s="4">
        <v>760</v>
      </c>
      <c r="L520" s="5" t="s">
        <v>1</v>
      </c>
      <c r="M520" s="80">
        <f t="shared" si="160"/>
        <v>760</v>
      </c>
      <c r="N520" s="78">
        <f t="shared" si="161"/>
        <v>57000</v>
      </c>
      <c r="O520" s="188">
        <f t="shared" si="162"/>
        <v>57000</v>
      </c>
    </row>
    <row r="521" spans="1:15" x14ac:dyDescent="0.25">
      <c r="A521" s="31"/>
      <c r="B521" s="4" t="s">
        <v>1476</v>
      </c>
      <c r="C521" s="5">
        <v>1</v>
      </c>
      <c r="D521" s="7">
        <v>0</v>
      </c>
      <c r="E521" s="3">
        <f t="shared" si="157"/>
        <v>1</v>
      </c>
      <c r="F521" s="3" t="s">
        <v>867</v>
      </c>
      <c r="G521" s="77"/>
      <c r="H521" s="5" t="s">
        <v>1</v>
      </c>
      <c r="I521" s="78">
        <f t="shared" si="158"/>
        <v>0</v>
      </c>
      <c r="J521" s="110">
        <f t="shared" si="159"/>
        <v>75</v>
      </c>
      <c r="K521" s="4">
        <v>800</v>
      </c>
      <c r="L521" s="5" t="s">
        <v>1</v>
      </c>
      <c r="M521" s="80">
        <f t="shared" si="160"/>
        <v>800</v>
      </c>
      <c r="N521" s="78">
        <f t="shared" si="161"/>
        <v>60000</v>
      </c>
      <c r="O521" s="188">
        <f t="shared" si="162"/>
        <v>60000</v>
      </c>
    </row>
    <row r="522" spans="1:15" ht="15.75" thickBot="1" x14ac:dyDescent="0.3">
      <c r="A522" s="33"/>
      <c r="B522" s="28"/>
      <c r="C522" s="29"/>
      <c r="D522" s="61"/>
      <c r="E522" s="62"/>
      <c r="F522" s="62"/>
      <c r="G522" s="34"/>
      <c r="H522" s="29"/>
      <c r="I522" s="34"/>
      <c r="J522" s="34"/>
      <c r="K522" s="45"/>
      <c r="L522" s="29"/>
      <c r="M522" s="45"/>
      <c r="N522" s="28"/>
      <c r="O522" s="194"/>
    </row>
  </sheetData>
  <mergeCells count="2">
    <mergeCell ref="M4:N4"/>
    <mergeCell ref="B46:O46"/>
  </mergeCells>
  <pageMargins left="0.7" right="0.7" top="0.75" bottom="0.75" header="0.3" footer="0.3"/>
  <pageSetup scale="5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44D7-4ED7-444E-8C08-AF23290E5A29}">
  <sheetPr>
    <pageSetUpPr fitToPage="1"/>
  </sheetPr>
  <dimension ref="A3:R146"/>
  <sheetViews>
    <sheetView view="pageBreakPreview" topLeftCell="A57" zoomScale="90" zoomScaleNormal="85" zoomScaleSheetLayoutView="90" workbookViewId="0">
      <selection activeCell="A69" sqref="A69:XFD69"/>
    </sheetView>
  </sheetViews>
  <sheetFormatPr defaultColWidth="9.140625" defaultRowHeight="15" x14ac:dyDescent="0.25"/>
  <cols>
    <col min="1" max="1" width="5.7109375" style="2" customWidth="1"/>
    <col min="2" max="2" width="60.28515625" style="1" customWidth="1"/>
    <col min="3" max="3" width="10" style="2" bestFit="1" customWidth="1"/>
    <col min="4" max="5" width="9.85546875" style="2" bestFit="1" customWidth="1"/>
    <col min="6" max="6" width="5.42578125" style="2" bestFit="1" customWidth="1"/>
    <col min="7" max="7" width="9.140625" style="10" bestFit="1" customWidth="1"/>
    <col min="8" max="8" width="5.28515625" style="2" bestFit="1" customWidth="1"/>
    <col min="9" max="9" width="10.42578125" style="10" bestFit="1" customWidth="1"/>
    <col min="10" max="10" width="7.42578125" style="10" bestFit="1" customWidth="1"/>
    <col min="11" max="11" width="7.42578125" style="46" bestFit="1" customWidth="1"/>
    <col min="12" max="12" width="5.85546875" style="2" bestFit="1" customWidth="1"/>
    <col min="13" max="13" width="7.28515625" style="46" bestFit="1" customWidth="1"/>
    <col min="14" max="15" width="9.28515625" style="1" bestFit="1" customWidth="1"/>
    <col min="16" max="16" width="7.5703125" style="1" bestFit="1" customWidth="1"/>
    <col min="17" max="18" width="8.140625" style="1" bestFit="1" customWidth="1"/>
    <col min="19" max="16384" width="9.140625" style="1"/>
  </cols>
  <sheetData>
    <row r="3" spans="1:18" ht="15.75" thickBot="1" x14ac:dyDescent="0.3"/>
    <row r="4" spans="1:18" ht="16.5" thickBot="1" x14ac:dyDescent="0.3">
      <c r="D4" s="1"/>
      <c r="E4" s="1"/>
      <c r="F4" s="1"/>
      <c r="I4" s="43"/>
      <c r="J4" s="1"/>
      <c r="K4" s="1"/>
      <c r="M4" s="253" t="s">
        <v>1199</v>
      </c>
      <c r="N4" s="254"/>
      <c r="O4" s="108">
        <v>75</v>
      </c>
    </row>
    <row r="5" spans="1:18" ht="41.1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285</v>
      </c>
      <c r="L5" s="82" t="s">
        <v>284</v>
      </c>
      <c r="M5" s="81" t="s">
        <v>286</v>
      </c>
      <c r="N5" s="83" t="s">
        <v>871</v>
      </c>
      <c r="O5" s="84" t="s">
        <v>872</v>
      </c>
      <c r="P5" s="84" t="s">
        <v>290</v>
      </c>
      <c r="Q5" s="84" t="s">
        <v>291</v>
      </c>
      <c r="R5" s="84" t="s">
        <v>292</v>
      </c>
    </row>
    <row r="6" spans="1:18" ht="15.75" thickBot="1" x14ac:dyDescent="0.3">
      <c r="A6" s="53"/>
      <c r="B6" s="54"/>
      <c r="C6" s="55"/>
      <c r="D6" s="55"/>
      <c r="E6" s="55"/>
      <c r="F6" s="55"/>
      <c r="G6" s="56"/>
      <c r="H6" s="56"/>
      <c r="I6" s="56"/>
      <c r="J6" s="56"/>
      <c r="K6" s="57"/>
      <c r="L6" s="55"/>
      <c r="M6" s="57"/>
      <c r="N6" s="56"/>
      <c r="O6" s="95"/>
      <c r="P6" s="57"/>
      <c r="Q6" s="193"/>
      <c r="R6" s="192"/>
    </row>
    <row r="7" spans="1:18" ht="15.75" thickBot="1" x14ac:dyDescent="0.3">
      <c r="A7" s="60"/>
      <c r="B7" s="145" t="s">
        <v>2092</v>
      </c>
      <c r="C7" s="5"/>
      <c r="D7" s="7"/>
      <c r="E7" s="3"/>
      <c r="F7" s="3"/>
      <c r="G7" s="9"/>
      <c r="H7" s="5"/>
      <c r="I7" s="9"/>
      <c r="J7" s="9"/>
      <c r="K7" s="15"/>
      <c r="L7" s="5"/>
      <c r="M7" s="15"/>
      <c r="N7" s="4"/>
      <c r="O7" s="4"/>
      <c r="P7" s="15"/>
      <c r="Q7" s="191"/>
      <c r="R7" s="190"/>
    </row>
    <row r="8" spans="1:18" x14ac:dyDescent="0.25">
      <c r="A8" s="31">
        <v>1</v>
      </c>
      <c r="B8" s="4" t="s">
        <v>2091</v>
      </c>
      <c r="C8" s="5">
        <v>1</v>
      </c>
      <c r="D8" s="7">
        <v>0</v>
      </c>
      <c r="E8" s="3">
        <f t="shared" ref="E8:E14" si="0">C8+(C8*D8)</f>
        <v>1</v>
      </c>
      <c r="F8" s="3" t="s">
        <v>867</v>
      </c>
      <c r="G8" s="77"/>
      <c r="H8" s="5" t="s">
        <v>1</v>
      </c>
      <c r="I8" s="78">
        <f t="shared" ref="I8:I14" si="1">IF(H8="C",(G8/100)*E8,IF(H8="M",(G8/1000)*E8,G8*E8))</f>
        <v>0</v>
      </c>
      <c r="J8" s="110">
        <f t="shared" ref="J8:J14" si="2">$O$4</f>
        <v>75</v>
      </c>
      <c r="K8" s="4">
        <v>5</v>
      </c>
      <c r="L8" s="5" t="s">
        <v>1</v>
      </c>
      <c r="M8" s="80">
        <f t="shared" ref="M8:M14" si="3">IF(L8="C",(K8/100)*E8,IF(L8="M",(K8/1000)*E8,K8*E8))</f>
        <v>5</v>
      </c>
      <c r="N8" s="78">
        <f t="shared" ref="N8:N14" si="4">M8*J8</f>
        <v>375</v>
      </c>
      <c r="O8" s="78">
        <f t="shared" ref="O8:O14" si="5">N8+I8</f>
        <v>375</v>
      </c>
      <c r="P8" s="4">
        <v>8</v>
      </c>
      <c r="Q8" s="4">
        <v>10</v>
      </c>
      <c r="R8" s="49">
        <v>12</v>
      </c>
    </row>
    <row r="9" spans="1:18" x14ac:dyDescent="0.25">
      <c r="A9" s="31"/>
      <c r="B9" s="4" t="s">
        <v>2090</v>
      </c>
      <c r="C9" s="5">
        <v>1</v>
      </c>
      <c r="D9" s="7">
        <v>0</v>
      </c>
      <c r="E9" s="3">
        <f t="shared" si="0"/>
        <v>1</v>
      </c>
      <c r="F9" s="3" t="s">
        <v>867</v>
      </c>
      <c r="G9" s="77"/>
      <c r="H9" s="5" t="s">
        <v>1</v>
      </c>
      <c r="I9" s="78">
        <f t="shared" si="1"/>
        <v>0</v>
      </c>
      <c r="J9" s="110">
        <f t="shared" si="2"/>
        <v>75</v>
      </c>
      <c r="K9" s="4">
        <v>10</v>
      </c>
      <c r="L9" s="5" t="s">
        <v>1</v>
      </c>
      <c r="M9" s="80">
        <f t="shared" si="3"/>
        <v>10</v>
      </c>
      <c r="N9" s="78">
        <f t="shared" si="4"/>
        <v>750</v>
      </c>
      <c r="O9" s="78">
        <f t="shared" si="5"/>
        <v>750</v>
      </c>
      <c r="P9" s="4">
        <v>14.4</v>
      </c>
      <c r="Q9" s="4">
        <v>18</v>
      </c>
      <c r="R9" s="49">
        <v>21.6</v>
      </c>
    </row>
    <row r="10" spans="1:18" x14ac:dyDescent="0.25">
      <c r="A10" s="31"/>
      <c r="B10" s="4" t="s">
        <v>2089</v>
      </c>
      <c r="C10" s="5">
        <v>1</v>
      </c>
      <c r="D10" s="7">
        <v>0</v>
      </c>
      <c r="E10" s="3">
        <f t="shared" si="0"/>
        <v>1</v>
      </c>
      <c r="F10" s="3" t="s">
        <v>867</v>
      </c>
      <c r="G10" s="77"/>
      <c r="H10" s="5" t="s">
        <v>1</v>
      </c>
      <c r="I10" s="78">
        <f t="shared" si="1"/>
        <v>0</v>
      </c>
      <c r="J10" s="110">
        <f t="shared" si="2"/>
        <v>75</v>
      </c>
      <c r="K10" s="4">
        <v>15</v>
      </c>
      <c r="L10" s="5" t="s">
        <v>1</v>
      </c>
      <c r="M10" s="80">
        <f t="shared" si="3"/>
        <v>15</v>
      </c>
      <c r="N10" s="78">
        <f t="shared" si="4"/>
        <v>1125</v>
      </c>
      <c r="O10" s="78">
        <f t="shared" si="5"/>
        <v>1125</v>
      </c>
      <c r="P10" s="4">
        <v>0</v>
      </c>
      <c r="Q10" s="4">
        <v>0</v>
      </c>
      <c r="R10" s="49">
        <v>0</v>
      </c>
    </row>
    <row r="11" spans="1:18" x14ac:dyDescent="0.25">
      <c r="A11" s="31"/>
      <c r="B11" s="4" t="s">
        <v>2088</v>
      </c>
      <c r="C11" s="5">
        <v>1</v>
      </c>
      <c r="D11" s="7">
        <v>0</v>
      </c>
      <c r="E11" s="3">
        <f t="shared" si="0"/>
        <v>1</v>
      </c>
      <c r="F11" s="3" t="s">
        <v>867</v>
      </c>
      <c r="G11" s="77"/>
      <c r="H11" s="5" t="s">
        <v>1</v>
      </c>
      <c r="I11" s="78">
        <f t="shared" si="1"/>
        <v>0</v>
      </c>
      <c r="J11" s="110">
        <f t="shared" si="2"/>
        <v>75</v>
      </c>
      <c r="K11" s="4">
        <v>20</v>
      </c>
      <c r="L11" s="5" t="s">
        <v>1</v>
      </c>
      <c r="M11" s="80">
        <f t="shared" si="3"/>
        <v>20</v>
      </c>
      <c r="N11" s="78">
        <f t="shared" si="4"/>
        <v>1500</v>
      </c>
      <c r="O11" s="78">
        <f t="shared" si="5"/>
        <v>1500</v>
      </c>
      <c r="P11" s="4">
        <v>0</v>
      </c>
      <c r="Q11" s="4">
        <v>0</v>
      </c>
      <c r="R11" s="49">
        <v>0</v>
      </c>
    </row>
    <row r="12" spans="1:18" x14ac:dyDescent="0.25">
      <c r="A12" s="31"/>
      <c r="B12" s="4" t="s">
        <v>2087</v>
      </c>
      <c r="C12" s="5">
        <v>1</v>
      </c>
      <c r="D12" s="7">
        <v>0</v>
      </c>
      <c r="E12" s="3">
        <f t="shared" si="0"/>
        <v>1</v>
      </c>
      <c r="F12" s="3" t="s">
        <v>867</v>
      </c>
      <c r="G12" s="77"/>
      <c r="H12" s="5" t="s">
        <v>1</v>
      </c>
      <c r="I12" s="78">
        <f t="shared" si="1"/>
        <v>0</v>
      </c>
      <c r="J12" s="110">
        <f t="shared" si="2"/>
        <v>75</v>
      </c>
      <c r="K12" s="4">
        <v>25</v>
      </c>
      <c r="L12" s="5" t="s">
        <v>1</v>
      </c>
      <c r="M12" s="80">
        <f t="shared" si="3"/>
        <v>25</v>
      </c>
      <c r="N12" s="78">
        <f t="shared" si="4"/>
        <v>1875</v>
      </c>
      <c r="O12" s="78">
        <f t="shared" si="5"/>
        <v>1875</v>
      </c>
      <c r="P12" s="4">
        <v>0</v>
      </c>
      <c r="Q12" s="4">
        <v>0</v>
      </c>
      <c r="R12" s="49">
        <v>0</v>
      </c>
    </row>
    <row r="13" spans="1:18" x14ac:dyDescent="0.25">
      <c r="A13" s="31"/>
      <c r="B13" s="4" t="s">
        <v>2086</v>
      </c>
      <c r="C13" s="5">
        <v>1</v>
      </c>
      <c r="D13" s="7">
        <v>0</v>
      </c>
      <c r="E13" s="3">
        <f t="shared" si="0"/>
        <v>1</v>
      </c>
      <c r="F13" s="3" t="s">
        <v>867</v>
      </c>
      <c r="G13" s="77"/>
      <c r="H13" s="5" t="s">
        <v>1</v>
      </c>
      <c r="I13" s="78">
        <f t="shared" si="1"/>
        <v>0</v>
      </c>
      <c r="J13" s="110">
        <f t="shared" si="2"/>
        <v>75</v>
      </c>
      <c r="K13" s="4">
        <v>30</v>
      </c>
      <c r="L13" s="5" t="s">
        <v>1</v>
      </c>
      <c r="M13" s="80">
        <f t="shared" si="3"/>
        <v>30</v>
      </c>
      <c r="N13" s="78">
        <f t="shared" si="4"/>
        <v>2250</v>
      </c>
      <c r="O13" s="78">
        <f t="shared" si="5"/>
        <v>2250</v>
      </c>
      <c r="P13" s="4">
        <v>0</v>
      </c>
      <c r="Q13" s="4">
        <v>0</v>
      </c>
      <c r="R13" s="49">
        <v>0</v>
      </c>
    </row>
    <row r="14" spans="1:18" ht="15.75" thickBot="1" x14ac:dyDescent="0.3">
      <c r="A14" s="31"/>
      <c r="B14" s="258"/>
      <c r="C14" s="259">
        <v>1</v>
      </c>
      <c r="D14" s="259">
        <v>0</v>
      </c>
      <c r="E14" s="259">
        <f t="shared" si="0"/>
        <v>1</v>
      </c>
      <c r="F14" s="259" t="s">
        <v>867</v>
      </c>
      <c r="G14" s="259"/>
      <c r="H14" s="259" t="s">
        <v>1</v>
      </c>
      <c r="I14" s="259">
        <f t="shared" si="1"/>
        <v>0</v>
      </c>
      <c r="J14" s="259">
        <f t="shared" si="2"/>
        <v>75</v>
      </c>
      <c r="K14" s="259"/>
      <c r="L14" s="259" t="s">
        <v>1</v>
      </c>
      <c r="M14" s="259">
        <f t="shared" si="3"/>
        <v>0</v>
      </c>
      <c r="N14" s="259">
        <f t="shared" si="4"/>
        <v>0</v>
      </c>
      <c r="O14" s="259">
        <f t="shared" si="5"/>
        <v>0</v>
      </c>
      <c r="P14" s="259"/>
      <c r="Q14" s="259"/>
      <c r="R14" s="260"/>
    </row>
    <row r="15" spans="1:18" ht="15.75" thickBot="1" x14ac:dyDescent="0.3">
      <c r="A15" s="60"/>
      <c r="B15" s="145" t="s">
        <v>2085</v>
      </c>
      <c r="C15" s="5"/>
      <c r="D15" s="7"/>
      <c r="E15" s="3"/>
      <c r="F15" s="3"/>
      <c r="G15" s="9"/>
      <c r="H15" s="5"/>
      <c r="I15" s="9"/>
      <c r="J15" s="9"/>
      <c r="K15" s="15"/>
      <c r="L15" s="5"/>
      <c r="M15" s="15"/>
      <c r="N15" s="4"/>
      <c r="O15" s="4"/>
      <c r="P15" s="15"/>
      <c r="Q15" s="191"/>
      <c r="R15" s="190"/>
    </row>
    <row r="16" spans="1:18" x14ac:dyDescent="0.25">
      <c r="A16" s="31">
        <v>1</v>
      </c>
      <c r="B16" s="4" t="s">
        <v>2084</v>
      </c>
      <c r="C16" s="5">
        <v>1</v>
      </c>
      <c r="D16" s="7">
        <v>0</v>
      </c>
      <c r="E16" s="3">
        <f t="shared" ref="E16:E22" si="6">C16+(C16*D16)</f>
        <v>1</v>
      </c>
      <c r="F16" s="3" t="s">
        <v>867</v>
      </c>
      <c r="G16" s="77"/>
      <c r="H16" s="5" t="s">
        <v>1</v>
      </c>
      <c r="I16" s="78">
        <f t="shared" ref="I16:I22" si="7">IF(H16="C",(G16/100)*E16,IF(H16="M",(G16/1000)*E16,G16*E16))</f>
        <v>0</v>
      </c>
      <c r="J16" s="110">
        <f t="shared" ref="J16:J22" si="8">$O$4</f>
        <v>75</v>
      </c>
      <c r="K16" s="4">
        <v>6</v>
      </c>
      <c r="L16" s="5" t="s">
        <v>1</v>
      </c>
      <c r="M16" s="80">
        <f t="shared" ref="M16:M22" si="9">IF(L16="C",(K16/100)*E16,IF(L16="M",(K16/1000)*E16,K16*E16))</f>
        <v>6</v>
      </c>
      <c r="N16" s="78">
        <f t="shared" ref="N16:N22" si="10">M16*J16</f>
        <v>450</v>
      </c>
      <c r="O16" s="78">
        <f t="shared" ref="O16:O22" si="11">N16+I16</f>
        <v>450</v>
      </c>
      <c r="P16" s="4">
        <v>10</v>
      </c>
      <c r="Q16" s="4">
        <v>12.5</v>
      </c>
      <c r="R16" s="49">
        <v>15</v>
      </c>
    </row>
    <row r="17" spans="1:18" x14ac:dyDescent="0.25">
      <c r="A17" s="31"/>
      <c r="B17" s="4" t="s">
        <v>2083</v>
      </c>
      <c r="C17" s="5">
        <v>1</v>
      </c>
      <c r="D17" s="7">
        <v>0</v>
      </c>
      <c r="E17" s="3">
        <f t="shared" si="6"/>
        <v>1</v>
      </c>
      <c r="F17" s="3" t="s">
        <v>867</v>
      </c>
      <c r="G17" s="77"/>
      <c r="H17" s="5" t="s">
        <v>1</v>
      </c>
      <c r="I17" s="78">
        <f t="shared" si="7"/>
        <v>0</v>
      </c>
      <c r="J17" s="110">
        <f t="shared" si="8"/>
        <v>75</v>
      </c>
      <c r="K17" s="4">
        <v>12</v>
      </c>
      <c r="L17" s="5" t="s">
        <v>1</v>
      </c>
      <c r="M17" s="80">
        <f t="shared" si="9"/>
        <v>12</v>
      </c>
      <c r="N17" s="78">
        <f t="shared" si="10"/>
        <v>900</v>
      </c>
      <c r="O17" s="78">
        <f t="shared" si="11"/>
        <v>900</v>
      </c>
      <c r="P17" s="4">
        <v>18</v>
      </c>
      <c r="Q17" s="4">
        <v>22.5</v>
      </c>
      <c r="R17" s="49">
        <v>27</v>
      </c>
    </row>
    <row r="18" spans="1:18" x14ac:dyDescent="0.25">
      <c r="A18" s="31"/>
      <c r="B18" s="4" t="s">
        <v>2082</v>
      </c>
      <c r="C18" s="5">
        <v>1</v>
      </c>
      <c r="D18" s="7">
        <v>0</v>
      </c>
      <c r="E18" s="3">
        <f t="shared" si="6"/>
        <v>1</v>
      </c>
      <c r="F18" s="3" t="s">
        <v>867</v>
      </c>
      <c r="G18" s="77"/>
      <c r="H18" s="5" t="s">
        <v>1</v>
      </c>
      <c r="I18" s="78">
        <f t="shared" si="7"/>
        <v>0</v>
      </c>
      <c r="J18" s="110">
        <f t="shared" si="8"/>
        <v>75</v>
      </c>
      <c r="K18" s="4">
        <v>18</v>
      </c>
      <c r="L18" s="5" t="s">
        <v>1</v>
      </c>
      <c r="M18" s="80">
        <f t="shared" si="9"/>
        <v>18</v>
      </c>
      <c r="N18" s="78">
        <f t="shared" si="10"/>
        <v>1350</v>
      </c>
      <c r="O18" s="78">
        <f t="shared" si="11"/>
        <v>1350</v>
      </c>
      <c r="P18" s="4">
        <v>27</v>
      </c>
      <c r="Q18" s="4">
        <v>33.75</v>
      </c>
      <c r="R18" s="49">
        <v>40.5</v>
      </c>
    </row>
    <row r="19" spans="1:18" x14ac:dyDescent="0.25">
      <c r="A19" s="31"/>
      <c r="B19" s="4" t="s">
        <v>2081</v>
      </c>
      <c r="C19" s="5">
        <v>1</v>
      </c>
      <c r="D19" s="7">
        <v>0</v>
      </c>
      <c r="E19" s="3">
        <f t="shared" si="6"/>
        <v>1</v>
      </c>
      <c r="F19" s="3" t="s">
        <v>867</v>
      </c>
      <c r="G19" s="77"/>
      <c r="H19" s="5" t="s">
        <v>1</v>
      </c>
      <c r="I19" s="78">
        <f t="shared" si="7"/>
        <v>0</v>
      </c>
      <c r="J19" s="110">
        <f t="shared" si="8"/>
        <v>75</v>
      </c>
      <c r="K19" s="4">
        <v>24</v>
      </c>
      <c r="L19" s="5" t="s">
        <v>1</v>
      </c>
      <c r="M19" s="80">
        <f t="shared" si="9"/>
        <v>24</v>
      </c>
      <c r="N19" s="78">
        <f t="shared" si="10"/>
        <v>1800</v>
      </c>
      <c r="O19" s="78">
        <f t="shared" si="11"/>
        <v>1800</v>
      </c>
      <c r="P19" s="4">
        <v>0</v>
      </c>
      <c r="Q19" s="4">
        <v>0</v>
      </c>
      <c r="R19" s="49">
        <v>0</v>
      </c>
    </row>
    <row r="20" spans="1:18" x14ac:dyDescent="0.25">
      <c r="A20" s="31"/>
      <c r="B20" s="4" t="s">
        <v>2080</v>
      </c>
      <c r="C20" s="5">
        <v>1</v>
      </c>
      <c r="D20" s="7">
        <v>0</v>
      </c>
      <c r="E20" s="3">
        <f t="shared" si="6"/>
        <v>1</v>
      </c>
      <c r="F20" s="3" t="s">
        <v>867</v>
      </c>
      <c r="G20" s="77"/>
      <c r="H20" s="5" t="s">
        <v>1</v>
      </c>
      <c r="I20" s="78">
        <f t="shared" si="7"/>
        <v>0</v>
      </c>
      <c r="J20" s="110">
        <f t="shared" si="8"/>
        <v>75</v>
      </c>
      <c r="K20" s="4">
        <v>30</v>
      </c>
      <c r="L20" s="5" t="s">
        <v>1</v>
      </c>
      <c r="M20" s="80">
        <f t="shared" si="9"/>
        <v>30</v>
      </c>
      <c r="N20" s="78">
        <f t="shared" si="10"/>
        <v>2250</v>
      </c>
      <c r="O20" s="78">
        <f t="shared" si="11"/>
        <v>2250</v>
      </c>
      <c r="P20" s="4">
        <v>0</v>
      </c>
      <c r="Q20" s="4">
        <v>0</v>
      </c>
      <c r="R20" s="49">
        <v>0</v>
      </c>
    </row>
    <row r="21" spans="1:18" x14ac:dyDescent="0.25">
      <c r="A21" s="31"/>
      <c r="B21" s="4" t="s">
        <v>2079</v>
      </c>
      <c r="C21" s="5">
        <v>1</v>
      </c>
      <c r="D21" s="7">
        <v>0</v>
      </c>
      <c r="E21" s="3">
        <f t="shared" si="6"/>
        <v>1</v>
      </c>
      <c r="F21" s="3" t="s">
        <v>867</v>
      </c>
      <c r="G21" s="77"/>
      <c r="H21" s="5" t="s">
        <v>1</v>
      </c>
      <c r="I21" s="78">
        <f t="shared" si="7"/>
        <v>0</v>
      </c>
      <c r="J21" s="110">
        <f t="shared" si="8"/>
        <v>75</v>
      </c>
      <c r="K21" s="4">
        <v>36</v>
      </c>
      <c r="L21" s="5" t="s">
        <v>1</v>
      </c>
      <c r="M21" s="80">
        <f t="shared" si="9"/>
        <v>36</v>
      </c>
      <c r="N21" s="78">
        <f t="shared" si="10"/>
        <v>2700</v>
      </c>
      <c r="O21" s="78">
        <f t="shared" si="11"/>
        <v>2700</v>
      </c>
      <c r="P21" s="4">
        <v>0</v>
      </c>
      <c r="Q21" s="4">
        <v>0</v>
      </c>
      <c r="R21" s="49">
        <v>0</v>
      </c>
    </row>
    <row r="22" spans="1:18" ht="15.75" thickBot="1" x14ac:dyDescent="0.3">
      <c r="A22" s="31"/>
      <c r="B22" s="258"/>
      <c r="C22" s="259">
        <v>1</v>
      </c>
      <c r="D22" s="259">
        <v>0</v>
      </c>
      <c r="E22" s="259">
        <f t="shared" si="6"/>
        <v>1</v>
      </c>
      <c r="F22" s="259" t="s">
        <v>867</v>
      </c>
      <c r="G22" s="259"/>
      <c r="H22" s="259" t="s">
        <v>1</v>
      </c>
      <c r="I22" s="259">
        <f t="shared" si="7"/>
        <v>0</v>
      </c>
      <c r="J22" s="259">
        <f t="shared" si="8"/>
        <v>75</v>
      </c>
      <c r="K22" s="259"/>
      <c r="L22" s="259" t="s">
        <v>1</v>
      </c>
      <c r="M22" s="259">
        <f t="shared" si="9"/>
        <v>0</v>
      </c>
      <c r="N22" s="259">
        <f t="shared" si="10"/>
        <v>0</v>
      </c>
      <c r="O22" s="259">
        <f t="shared" si="11"/>
        <v>0</v>
      </c>
      <c r="P22" s="259"/>
      <c r="Q22" s="259"/>
      <c r="R22" s="260"/>
    </row>
    <row r="23" spans="1:18" ht="15.75" thickBot="1" x14ac:dyDescent="0.3">
      <c r="A23" s="60"/>
      <c r="B23" s="145" t="s">
        <v>2078</v>
      </c>
      <c r="C23" s="5"/>
      <c r="D23" s="7"/>
      <c r="E23" s="3"/>
      <c r="F23" s="3"/>
      <c r="G23" s="9"/>
      <c r="H23" s="5"/>
      <c r="I23" s="9"/>
      <c r="J23" s="9"/>
      <c r="K23" s="15"/>
      <c r="L23" s="5"/>
      <c r="M23" s="15"/>
      <c r="N23" s="4"/>
      <c r="O23" s="4"/>
      <c r="P23" s="15"/>
      <c r="Q23" s="191"/>
      <c r="R23" s="190"/>
    </row>
    <row r="24" spans="1:18" x14ac:dyDescent="0.25">
      <c r="A24" s="31">
        <v>1</v>
      </c>
      <c r="B24" s="4" t="s">
        <v>2077</v>
      </c>
      <c r="C24" s="5">
        <v>1</v>
      </c>
      <c r="D24" s="7">
        <v>0</v>
      </c>
      <c r="E24" s="3">
        <f t="shared" ref="E24:E30" si="12">C24+(C24*D24)</f>
        <v>1</v>
      </c>
      <c r="F24" s="3" t="s">
        <v>867</v>
      </c>
      <c r="G24" s="77"/>
      <c r="H24" s="5" t="s">
        <v>1</v>
      </c>
      <c r="I24" s="78">
        <f t="shared" ref="I24:I30" si="13">IF(H24="C",(G24/100)*E24,IF(H24="M",(G24/1000)*E24,G24*E24))</f>
        <v>0</v>
      </c>
      <c r="J24" s="110">
        <f t="shared" ref="J24:J30" si="14">$O$4</f>
        <v>75</v>
      </c>
      <c r="K24" s="4">
        <v>7</v>
      </c>
      <c r="L24" s="5" t="s">
        <v>1</v>
      </c>
      <c r="M24" s="80">
        <f t="shared" ref="M24:M30" si="15">IF(L24="C",(K24/100)*E24,IF(L24="M",(K24/1000)*E24,K24*E24))</f>
        <v>7</v>
      </c>
      <c r="N24" s="78">
        <f t="shared" ref="N24:N30" si="16">M24*J24</f>
        <v>525</v>
      </c>
      <c r="O24" s="78">
        <f t="shared" ref="O24:O30" si="17">N24+I24</f>
        <v>525</v>
      </c>
      <c r="P24" s="4">
        <v>12</v>
      </c>
      <c r="Q24" s="4">
        <v>15</v>
      </c>
      <c r="R24" s="49">
        <v>18</v>
      </c>
    </row>
    <row r="25" spans="1:18" x14ac:dyDescent="0.25">
      <c r="A25" s="31"/>
      <c r="B25" s="4" t="s">
        <v>2076</v>
      </c>
      <c r="C25" s="5">
        <v>1</v>
      </c>
      <c r="D25" s="7">
        <v>0</v>
      </c>
      <c r="E25" s="3">
        <f t="shared" si="12"/>
        <v>1</v>
      </c>
      <c r="F25" s="3" t="s">
        <v>867</v>
      </c>
      <c r="G25" s="77"/>
      <c r="H25" s="5" t="s">
        <v>1</v>
      </c>
      <c r="I25" s="78">
        <f t="shared" si="13"/>
        <v>0</v>
      </c>
      <c r="J25" s="110">
        <f t="shared" si="14"/>
        <v>75</v>
      </c>
      <c r="K25" s="4">
        <v>14</v>
      </c>
      <c r="L25" s="5" t="s">
        <v>1</v>
      </c>
      <c r="M25" s="80">
        <f t="shared" si="15"/>
        <v>14</v>
      </c>
      <c r="N25" s="78">
        <f t="shared" si="16"/>
        <v>1050</v>
      </c>
      <c r="O25" s="78">
        <f t="shared" si="17"/>
        <v>1050</v>
      </c>
      <c r="P25" s="4">
        <v>21.6</v>
      </c>
      <c r="Q25" s="4">
        <v>27</v>
      </c>
      <c r="R25" s="49">
        <v>32.4</v>
      </c>
    </row>
    <row r="26" spans="1:18" x14ac:dyDescent="0.25">
      <c r="A26" s="31"/>
      <c r="B26" s="4" t="s">
        <v>2075</v>
      </c>
      <c r="C26" s="5">
        <v>1</v>
      </c>
      <c r="D26" s="7">
        <v>0</v>
      </c>
      <c r="E26" s="3">
        <f t="shared" si="12"/>
        <v>1</v>
      </c>
      <c r="F26" s="3" t="s">
        <v>867</v>
      </c>
      <c r="G26" s="77"/>
      <c r="H26" s="5" t="s">
        <v>1</v>
      </c>
      <c r="I26" s="78">
        <f t="shared" si="13"/>
        <v>0</v>
      </c>
      <c r="J26" s="110">
        <f t="shared" si="14"/>
        <v>75</v>
      </c>
      <c r="K26" s="4">
        <v>21</v>
      </c>
      <c r="L26" s="5" t="s">
        <v>1</v>
      </c>
      <c r="M26" s="80">
        <f t="shared" si="15"/>
        <v>21</v>
      </c>
      <c r="N26" s="78">
        <f t="shared" si="16"/>
        <v>1575</v>
      </c>
      <c r="O26" s="78">
        <f t="shared" si="17"/>
        <v>1575</v>
      </c>
      <c r="P26" s="4">
        <v>32.4</v>
      </c>
      <c r="Q26" s="4">
        <v>40.5</v>
      </c>
      <c r="R26" s="49">
        <v>48.6</v>
      </c>
    </row>
    <row r="27" spans="1:18" x14ac:dyDescent="0.25">
      <c r="A27" s="31"/>
      <c r="B27" s="4" t="s">
        <v>2074</v>
      </c>
      <c r="C27" s="5">
        <v>1</v>
      </c>
      <c r="D27" s="7">
        <v>0</v>
      </c>
      <c r="E27" s="3">
        <f t="shared" si="12"/>
        <v>1</v>
      </c>
      <c r="F27" s="3" t="s">
        <v>867</v>
      </c>
      <c r="G27" s="77"/>
      <c r="H27" s="5" t="s">
        <v>1</v>
      </c>
      <c r="I27" s="78">
        <f t="shared" si="13"/>
        <v>0</v>
      </c>
      <c r="J27" s="110">
        <f t="shared" si="14"/>
        <v>75</v>
      </c>
      <c r="K27" s="4">
        <v>28</v>
      </c>
      <c r="L27" s="5" t="s">
        <v>1</v>
      </c>
      <c r="M27" s="80">
        <f t="shared" si="15"/>
        <v>28</v>
      </c>
      <c r="N27" s="78">
        <f t="shared" si="16"/>
        <v>2100</v>
      </c>
      <c r="O27" s="78">
        <f t="shared" si="17"/>
        <v>2100</v>
      </c>
      <c r="P27" s="4">
        <v>0</v>
      </c>
      <c r="Q27" s="4">
        <v>0</v>
      </c>
      <c r="R27" s="49">
        <v>0</v>
      </c>
    </row>
    <row r="28" spans="1:18" x14ac:dyDescent="0.25">
      <c r="A28" s="31"/>
      <c r="B28" s="4" t="s">
        <v>2073</v>
      </c>
      <c r="C28" s="5">
        <v>1</v>
      </c>
      <c r="D28" s="7">
        <v>0</v>
      </c>
      <c r="E28" s="3">
        <f t="shared" si="12"/>
        <v>1</v>
      </c>
      <c r="F28" s="3" t="s">
        <v>867</v>
      </c>
      <c r="G28" s="77"/>
      <c r="H28" s="5" t="s">
        <v>1</v>
      </c>
      <c r="I28" s="78">
        <f t="shared" si="13"/>
        <v>0</v>
      </c>
      <c r="J28" s="110">
        <f t="shared" si="14"/>
        <v>75</v>
      </c>
      <c r="K28" s="4">
        <v>35</v>
      </c>
      <c r="L28" s="5" t="s">
        <v>1</v>
      </c>
      <c r="M28" s="80">
        <f t="shared" si="15"/>
        <v>35</v>
      </c>
      <c r="N28" s="78">
        <f t="shared" si="16"/>
        <v>2625</v>
      </c>
      <c r="O28" s="78">
        <f t="shared" si="17"/>
        <v>2625</v>
      </c>
      <c r="P28" s="4">
        <v>0</v>
      </c>
      <c r="Q28" s="4">
        <v>0</v>
      </c>
      <c r="R28" s="49">
        <v>0</v>
      </c>
    </row>
    <row r="29" spans="1:18" x14ac:dyDescent="0.25">
      <c r="A29" s="31"/>
      <c r="B29" s="4" t="s">
        <v>2072</v>
      </c>
      <c r="C29" s="5">
        <v>1</v>
      </c>
      <c r="D29" s="7">
        <v>0</v>
      </c>
      <c r="E29" s="3">
        <f t="shared" si="12"/>
        <v>1</v>
      </c>
      <c r="F29" s="3" t="s">
        <v>867</v>
      </c>
      <c r="G29" s="77"/>
      <c r="H29" s="5" t="s">
        <v>1</v>
      </c>
      <c r="I29" s="78">
        <f t="shared" si="13"/>
        <v>0</v>
      </c>
      <c r="J29" s="110">
        <f t="shared" si="14"/>
        <v>75</v>
      </c>
      <c r="K29" s="4">
        <v>42</v>
      </c>
      <c r="L29" s="5" t="s">
        <v>1</v>
      </c>
      <c r="M29" s="80">
        <f t="shared" si="15"/>
        <v>42</v>
      </c>
      <c r="N29" s="78">
        <f t="shared" si="16"/>
        <v>3150</v>
      </c>
      <c r="O29" s="78">
        <f t="shared" si="17"/>
        <v>3150</v>
      </c>
      <c r="P29" s="4">
        <v>0</v>
      </c>
      <c r="Q29" s="4">
        <v>0</v>
      </c>
      <c r="R29" s="49">
        <v>0</v>
      </c>
    </row>
    <row r="30" spans="1:18" ht="15.75" thickBot="1" x14ac:dyDescent="0.3">
      <c r="A30" s="31"/>
      <c r="B30" s="258"/>
      <c r="C30" s="259">
        <v>1</v>
      </c>
      <c r="D30" s="259">
        <v>0</v>
      </c>
      <c r="E30" s="259">
        <f t="shared" si="12"/>
        <v>1</v>
      </c>
      <c r="F30" s="259" t="s">
        <v>867</v>
      </c>
      <c r="G30" s="259"/>
      <c r="H30" s="259" t="s">
        <v>1</v>
      </c>
      <c r="I30" s="259">
        <f t="shared" si="13"/>
        <v>0</v>
      </c>
      <c r="J30" s="259">
        <f t="shared" si="14"/>
        <v>75</v>
      </c>
      <c r="K30" s="259"/>
      <c r="L30" s="259" t="s">
        <v>1</v>
      </c>
      <c r="M30" s="259">
        <f t="shared" si="15"/>
        <v>0</v>
      </c>
      <c r="N30" s="259">
        <f t="shared" si="16"/>
        <v>0</v>
      </c>
      <c r="O30" s="259">
        <f t="shared" si="17"/>
        <v>0</v>
      </c>
      <c r="P30" s="259"/>
      <c r="Q30" s="259"/>
      <c r="R30" s="260"/>
    </row>
    <row r="31" spans="1:18" ht="15.75" thickBot="1" x14ac:dyDescent="0.3">
      <c r="A31" s="60"/>
      <c r="B31" s="145" t="s">
        <v>2071</v>
      </c>
      <c r="C31" s="5"/>
      <c r="D31" s="7"/>
      <c r="E31" s="3"/>
      <c r="F31" s="3"/>
      <c r="G31" s="9"/>
      <c r="H31" s="5"/>
      <c r="I31" s="9"/>
      <c r="J31" s="9"/>
      <c r="K31" s="15"/>
      <c r="L31" s="5"/>
      <c r="M31" s="15"/>
      <c r="N31" s="4"/>
      <c r="O31" s="4"/>
      <c r="P31" s="15"/>
      <c r="Q31" s="191"/>
      <c r="R31" s="190"/>
    </row>
    <row r="32" spans="1:18" x14ac:dyDescent="0.25">
      <c r="A32" s="31">
        <v>1</v>
      </c>
      <c r="B32" s="4" t="s">
        <v>2070</v>
      </c>
      <c r="C32" s="5">
        <v>1</v>
      </c>
      <c r="D32" s="7">
        <v>0</v>
      </c>
      <c r="E32" s="3">
        <f t="shared" ref="E32:E38" si="18">C32+(C32*D32)</f>
        <v>1</v>
      </c>
      <c r="F32" s="3" t="s">
        <v>867</v>
      </c>
      <c r="G32" s="77"/>
      <c r="H32" s="5" t="s">
        <v>1</v>
      </c>
      <c r="I32" s="78">
        <f t="shared" ref="I32:I38" si="19">IF(H32="C",(G32/100)*E32,IF(H32="M",(G32/1000)*E32,G32*E32))</f>
        <v>0</v>
      </c>
      <c r="J32" s="110">
        <f t="shared" ref="J32:J38" si="20">$O$4</f>
        <v>75</v>
      </c>
      <c r="K32" s="4">
        <v>8</v>
      </c>
      <c r="L32" s="5" t="s">
        <v>1</v>
      </c>
      <c r="M32" s="80">
        <f t="shared" ref="M32:M38" si="21">IF(L32="C",(K32/100)*E32,IF(L32="M",(K32/1000)*E32,K32*E32))</f>
        <v>8</v>
      </c>
      <c r="N32" s="78">
        <f t="shared" ref="N32:N38" si="22">M32*J32</f>
        <v>600</v>
      </c>
      <c r="O32" s="78">
        <f t="shared" ref="O32:O38" si="23">N32+I32</f>
        <v>600</v>
      </c>
      <c r="P32" s="4">
        <v>14</v>
      </c>
      <c r="Q32" s="4">
        <v>17.5</v>
      </c>
      <c r="R32" s="49">
        <v>21</v>
      </c>
    </row>
    <row r="33" spans="1:18" ht="15" customHeight="1" x14ac:dyDescent="0.25">
      <c r="A33" s="60"/>
      <c r="B33" s="8" t="s">
        <v>2069</v>
      </c>
      <c r="C33" s="5">
        <v>1</v>
      </c>
      <c r="D33" s="7">
        <v>0</v>
      </c>
      <c r="E33" s="3">
        <f t="shared" si="18"/>
        <v>1</v>
      </c>
      <c r="F33" s="3" t="s">
        <v>867</v>
      </c>
      <c r="G33" s="77"/>
      <c r="H33" s="5" t="s">
        <v>1</v>
      </c>
      <c r="I33" s="78">
        <f t="shared" si="19"/>
        <v>0</v>
      </c>
      <c r="J33" s="110">
        <f t="shared" si="20"/>
        <v>75</v>
      </c>
      <c r="K33" s="4">
        <v>16</v>
      </c>
      <c r="L33" s="5" t="s">
        <v>1</v>
      </c>
      <c r="M33" s="80">
        <f t="shared" si="21"/>
        <v>16</v>
      </c>
      <c r="N33" s="78">
        <f t="shared" si="22"/>
        <v>1200</v>
      </c>
      <c r="O33" s="78">
        <f t="shared" si="23"/>
        <v>1200</v>
      </c>
      <c r="P33" s="4">
        <v>25.2</v>
      </c>
      <c r="Q33" s="4">
        <v>31.5</v>
      </c>
      <c r="R33" s="49">
        <v>37.799999999999997</v>
      </c>
    </row>
    <row r="34" spans="1:18" x14ac:dyDescent="0.25">
      <c r="A34" s="31"/>
      <c r="B34" s="4" t="s">
        <v>2068</v>
      </c>
      <c r="C34" s="5">
        <v>1</v>
      </c>
      <c r="D34" s="7">
        <v>0</v>
      </c>
      <c r="E34" s="3">
        <f t="shared" si="18"/>
        <v>1</v>
      </c>
      <c r="F34" s="3" t="s">
        <v>867</v>
      </c>
      <c r="G34" s="77"/>
      <c r="H34" s="5" t="s">
        <v>1</v>
      </c>
      <c r="I34" s="78">
        <f t="shared" si="19"/>
        <v>0</v>
      </c>
      <c r="J34" s="110">
        <f t="shared" si="20"/>
        <v>75</v>
      </c>
      <c r="K34" s="4">
        <v>24</v>
      </c>
      <c r="L34" s="5" t="s">
        <v>1</v>
      </c>
      <c r="M34" s="80">
        <f t="shared" si="21"/>
        <v>24</v>
      </c>
      <c r="N34" s="78">
        <f t="shared" si="22"/>
        <v>1800</v>
      </c>
      <c r="O34" s="78">
        <f t="shared" si="23"/>
        <v>1800</v>
      </c>
      <c r="P34" s="4">
        <v>37.799999999999997</v>
      </c>
      <c r="Q34" s="4">
        <v>47.25</v>
      </c>
      <c r="R34" s="49">
        <v>56.7</v>
      </c>
    </row>
    <row r="35" spans="1:18" x14ac:dyDescent="0.25">
      <c r="A35" s="31"/>
      <c r="B35" s="4" t="s">
        <v>2067</v>
      </c>
      <c r="C35" s="5">
        <v>1</v>
      </c>
      <c r="D35" s="7">
        <v>0</v>
      </c>
      <c r="E35" s="3">
        <f t="shared" si="18"/>
        <v>1</v>
      </c>
      <c r="F35" s="3" t="s">
        <v>867</v>
      </c>
      <c r="G35" s="77"/>
      <c r="H35" s="5" t="s">
        <v>1</v>
      </c>
      <c r="I35" s="78">
        <f t="shared" si="19"/>
        <v>0</v>
      </c>
      <c r="J35" s="110">
        <f t="shared" si="20"/>
        <v>75</v>
      </c>
      <c r="K35" s="4">
        <v>32</v>
      </c>
      <c r="L35" s="5" t="s">
        <v>1</v>
      </c>
      <c r="M35" s="80">
        <f t="shared" si="21"/>
        <v>32</v>
      </c>
      <c r="N35" s="78">
        <f t="shared" si="22"/>
        <v>2400</v>
      </c>
      <c r="O35" s="78">
        <f t="shared" si="23"/>
        <v>2400</v>
      </c>
      <c r="P35" s="4">
        <v>0</v>
      </c>
      <c r="Q35" s="4">
        <v>0</v>
      </c>
      <c r="R35" s="49">
        <v>0</v>
      </c>
    </row>
    <row r="36" spans="1:18" x14ac:dyDescent="0.25">
      <c r="A36" s="31"/>
      <c r="B36" s="4" t="s">
        <v>2066</v>
      </c>
      <c r="C36" s="5">
        <v>1</v>
      </c>
      <c r="D36" s="7">
        <v>0</v>
      </c>
      <c r="E36" s="3">
        <f t="shared" si="18"/>
        <v>1</v>
      </c>
      <c r="F36" s="3" t="s">
        <v>867</v>
      </c>
      <c r="G36" s="77"/>
      <c r="H36" s="5" t="s">
        <v>1</v>
      </c>
      <c r="I36" s="78">
        <f t="shared" si="19"/>
        <v>0</v>
      </c>
      <c r="J36" s="110">
        <f t="shared" si="20"/>
        <v>75</v>
      </c>
      <c r="K36" s="4">
        <v>40</v>
      </c>
      <c r="L36" s="5" t="s">
        <v>1</v>
      </c>
      <c r="M36" s="80">
        <f t="shared" si="21"/>
        <v>40</v>
      </c>
      <c r="N36" s="78">
        <f t="shared" si="22"/>
        <v>3000</v>
      </c>
      <c r="O36" s="78">
        <f t="shared" si="23"/>
        <v>3000</v>
      </c>
      <c r="P36" s="4">
        <v>0</v>
      </c>
      <c r="Q36" s="4">
        <v>0</v>
      </c>
      <c r="R36" s="49">
        <v>0</v>
      </c>
    </row>
    <row r="37" spans="1:18" x14ac:dyDescent="0.25">
      <c r="A37" s="31"/>
      <c r="B37" s="4" t="s">
        <v>2065</v>
      </c>
      <c r="C37" s="5">
        <v>1</v>
      </c>
      <c r="D37" s="7">
        <v>0</v>
      </c>
      <c r="E37" s="3">
        <f t="shared" si="18"/>
        <v>1</v>
      </c>
      <c r="F37" s="3" t="s">
        <v>867</v>
      </c>
      <c r="G37" s="77"/>
      <c r="H37" s="5" t="s">
        <v>1</v>
      </c>
      <c r="I37" s="78">
        <f t="shared" si="19"/>
        <v>0</v>
      </c>
      <c r="J37" s="110">
        <f t="shared" si="20"/>
        <v>75</v>
      </c>
      <c r="K37" s="4">
        <v>48</v>
      </c>
      <c r="L37" s="5" t="s">
        <v>1</v>
      </c>
      <c r="M37" s="80">
        <f t="shared" si="21"/>
        <v>48</v>
      </c>
      <c r="N37" s="78">
        <f t="shared" si="22"/>
        <v>3600</v>
      </c>
      <c r="O37" s="78">
        <f t="shared" si="23"/>
        <v>3600</v>
      </c>
      <c r="P37" s="4">
        <v>0</v>
      </c>
      <c r="Q37" s="4">
        <v>0</v>
      </c>
      <c r="R37" s="49">
        <v>0</v>
      </c>
    </row>
    <row r="38" spans="1:18" ht="15.75" thickBot="1" x14ac:dyDescent="0.3">
      <c r="A38" s="31"/>
      <c r="B38" s="258"/>
      <c r="C38" s="259">
        <v>1</v>
      </c>
      <c r="D38" s="259">
        <v>0</v>
      </c>
      <c r="E38" s="259">
        <f t="shared" si="18"/>
        <v>1</v>
      </c>
      <c r="F38" s="259" t="s">
        <v>867</v>
      </c>
      <c r="G38" s="259"/>
      <c r="H38" s="259" t="s">
        <v>1</v>
      </c>
      <c r="I38" s="259">
        <f t="shared" si="19"/>
        <v>0</v>
      </c>
      <c r="J38" s="259">
        <f t="shared" si="20"/>
        <v>75</v>
      </c>
      <c r="K38" s="259"/>
      <c r="L38" s="259" t="s">
        <v>1</v>
      </c>
      <c r="M38" s="259">
        <f t="shared" si="21"/>
        <v>0</v>
      </c>
      <c r="N38" s="259">
        <f t="shared" si="22"/>
        <v>0</v>
      </c>
      <c r="O38" s="259">
        <f t="shared" si="23"/>
        <v>0</v>
      </c>
      <c r="P38" s="259"/>
      <c r="Q38" s="259"/>
      <c r="R38" s="260"/>
    </row>
    <row r="39" spans="1:18" ht="15.75" thickBot="1" x14ac:dyDescent="0.3">
      <c r="A39" s="60"/>
      <c r="B39" s="145" t="s">
        <v>2064</v>
      </c>
      <c r="C39" s="5"/>
      <c r="D39" s="7"/>
      <c r="E39" s="3"/>
      <c r="F39" s="3"/>
      <c r="G39" s="9"/>
      <c r="H39" s="5"/>
      <c r="I39" s="9"/>
      <c r="J39" s="9"/>
      <c r="K39" s="15"/>
      <c r="L39" s="5"/>
      <c r="M39" s="15"/>
      <c r="N39" s="4"/>
      <c r="O39" s="4"/>
      <c r="P39" s="15"/>
      <c r="Q39" s="191"/>
      <c r="R39" s="190"/>
    </row>
    <row r="40" spans="1:18" x14ac:dyDescent="0.25">
      <c r="A40" s="31">
        <v>1</v>
      </c>
      <c r="B40" s="4" t="s">
        <v>2063</v>
      </c>
      <c r="C40" s="5">
        <v>1</v>
      </c>
      <c r="D40" s="7">
        <v>0</v>
      </c>
      <c r="E40" s="3">
        <f t="shared" ref="E40:E52" si="24">C40+(C40*D40)</f>
        <v>1</v>
      </c>
      <c r="F40" s="3" t="s">
        <v>867</v>
      </c>
      <c r="G40" s="77"/>
      <c r="H40" s="5" t="s">
        <v>1</v>
      </c>
      <c r="I40" s="78">
        <f t="shared" ref="I40:I52" si="25">IF(H40="C",(G40/100)*E40,IF(H40="M",(G40/1000)*E40,G40*E40))</f>
        <v>0</v>
      </c>
      <c r="J40" s="110">
        <f t="shared" ref="J40:J52" si="26">$O$4</f>
        <v>75</v>
      </c>
      <c r="K40" s="4">
        <v>10</v>
      </c>
      <c r="L40" s="5" t="s">
        <v>1</v>
      </c>
      <c r="M40" s="80">
        <f t="shared" ref="M40:M52" si="27">IF(L40="C",(K40/100)*E40,IF(L40="M",(K40/1000)*E40,K40*E40))</f>
        <v>10</v>
      </c>
      <c r="N40" s="78">
        <f t="shared" ref="N40:N52" si="28">M40*J40</f>
        <v>750</v>
      </c>
      <c r="O40" s="78">
        <f t="shared" ref="O40:O52" si="29">N40+I40</f>
        <v>750</v>
      </c>
      <c r="P40" s="4">
        <v>18</v>
      </c>
      <c r="Q40" s="4">
        <v>22.5</v>
      </c>
      <c r="R40" s="49">
        <v>27</v>
      </c>
    </row>
    <row r="41" spans="1:18" x14ac:dyDescent="0.25">
      <c r="A41" s="31"/>
      <c r="B41" s="4" t="s">
        <v>2062</v>
      </c>
      <c r="C41" s="5">
        <v>1</v>
      </c>
      <c r="D41" s="7">
        <v>0</v>
      </c>
      <c r="E41" s="3">
        <f t="shared" si="24"/>
        <v>1</v>
      </c>
      <c r="F41" s="3" t="s">
        <v>867</v>
      </c>
      <c r="G41" s="77"/>
      <c r="H41" s="5" t="s">
        <v>1</v>
      </c>
      <c r="I41" s="78">
        <f t="shared" si="25"/>
        <v>0</v>
      </c>
      <c r="J41" s="110">
        <f t="shared" si="26"/>
        <v>75</v>
      </c>
      <c r="K41" s="4">
        <v>20</v>
      </c>
      <c r="L41" s="5" t="s">
        <v>1</v>
      </c>
      <c r="M41" s="80">
        <f t="shared" si="27"/>
        <v>20</v>
      </c>
      <c r="N41" s="78">
        <f t="shared" si="28"/>
        <v>1500</v>
      </c>
      <c r="O41" s="78">
        <f t="shared" si="29"/>
        <v>1500</v>
      </c>
      <c r="P41" s="4">
        <v>32.4</v>
      </c>
      <c r="Q41" s="4">
        <v>40.5</v>
      </c>
      <c r="R41" s="49">
        <v>48.6</v>
      </c>
    </row>
    <row r="42" spans="1:18" x14ac:dyDescent="0.25">
      <c r="A42" s="31"/>
      <c r="B42" s="4" t="s">
        <v>2061</v>
      </c>
      <c r="C42" s="5">
        <v>1</v>
      </c>
      <c r="D42" s="7">
        <v>0</v>
      </c>
      <c r="E42" s="3">
        <f t="shared" si="24"/>
        <v>1</v>
      </c>
      <c r="F42" s="3" t="s">
        <v>867</v>
      </c>
      <c r="G42" s="77"/>
      <c r="H42" s="5" t="s">
        <v>1</v>
      </c>
      <c r="I42" s="78">
        <f t="shared" si="25"/>
        <v>0</v>
      </c>
      <c r="J42" s="110">
        <f t="shared" si="26"/>
        <v>75</v>
      </c>
      <c r="K42" s="4">
        <v>30</v>
      </c>
      <c r="L42" s="5" t="s">
        <v>1</v>
      </c>
      <c r="M42" s="80">
        <f t="shared" si="27"/>
        <v>30</v>
      </c>
      <c r="N42" s="78">
        <f t="shared" si="28"/>
        <v>2250</v>
      </c>
      <c r="O42" s="78">
        <f t="shared" si="29"/>
        <v>2250</v>
      </c>
      <c r="P42" s="4">
        <v>48.6</v>
      </c>
      <c r="Q42" s="4">
        <v>60.75</v>
      </c>
      <c r="R42" s="49">
        <v>72.900000000000006</v>
      </c>
    </row>
    <row r="43" spans="1:18" x14ac:dyDescent="0.25">
      <c r="A43" s="31"/>
      <c r="B43" s="4" t="s">
        <v>2060</v>
      </c>
      <c r="C43" s="5">
        <v>1</v>
      </c>
      <c r="D43" s="7">
        <v>0</v>
      </c>
      <c r="E43" s="3">
        <f t="shared" si="24"/>
        <v>1</v>
      </c>
      <c r="F43" s="3" t="s">
        <v>867</v>
      </c>
      <c r="G43" s="77"/>
      <c r="H43" s="5" t="s">
        <v>1</v>
      </c>
      <c r="I43" s="78">
        <f t="shared" si="25"/>
        <v>0</v>
      </c>
      <c r="J43" s="110">
        <f t="shared" si="26"/>
        <v>75</v>
      </c>
      <c r="K43" s="4">
        <v>40</v>
      </c>
      <c r="L43" s="5" t="s">
        <v>1</v>
      </c>
      <c r="M43" s="80">
        <f t="shared" si="27"/>
        <v>40</v>
      </c>
      <c r="N43" s="78">
        <f t="shared" si="28"/>
        <v>3000</v>
      </c>
      <c r="O43" s="78">
        <f t="shared" si="29"/>
        <v>3000</v>
      </c>
      <c r="P43" s="4">
        <v>64.8</v>
      </c>
      <c r="Q43" s="4">
        <v>81</v>
      </c>
      <c r="R43" s="49">
        <v>97.2</v>
      </c>
    </row>
    <row r="44" spans="1:18" x14ac:dyDescent="0.25">
      <c r="A44" s="31"/>
      <c r="B44" s="4" t="s">
        <v>2059</v>
      </c>
      <c r="C44" s="5">
        <v>1</v>
      </c>
      <c r="D44" s="7">
        <v>0</v>
      </c>
      <c r="E44" s="3">
        <f t="shared" si="24"/>
        <v>1</v>
      </c>
      <c r="F44" s="3" t="s">
        <v>867</v>
      </c>
      <c r="G44" s="77"/>
      <c r="H44" s="5" t="s">
        <v>1</v>
      </c>
      <c r="I44" s="78">
        <f t="shared" si="25"/>
        <v>0</v>
      </c>
      <c r="J44" s="110">
        <f t="shared" si="26"/>
        <v>75</v>
      </c>
      <c r="K44" s="4">
        <v>50</v>
      </c>
      <c r="L44" s="5" t="s">
        <v>1</v>
      </c>
      <c r="M44" s="80">
        <f t="shared" si="27"/>
        <v>50</v>
      </c>
      <c r="N44" s="78">
        <f t="shared" si="28"/>
        <v>3750</v>
      </c>
      <c r="O44" s="78">
        <f t="shared" si="29"/>
        <v>3750</v>
      </c>
      <c r="P44" s="4">
        <v>0</v>
      </c>
      <c r="Q44" s="4">
        <v>0</v>
      </c>
      <c r="R44" s="49">
        <v>0</v>
      </c>
    </row>
    <row r="45" spans="1:18" x14ac:dyDescent="0.25">
      <c r="A45" s="31"/>
      <c r="B45" s="4" t="s">
        <v>2058</v>
      </c>
      <c r="C45" s="5">
        <v>1</v>
      </c>
      <c r="D45" s="7">
        <v>0</v>
      </c>
      <c r="E45" s="3">
        <f t="shared" si="24"/>
        <v>1</v>
      </c>
      <c r="F45" s="3" t="s">
        <v>867</v>
      </c>
      <c r="G45" s="77"/>
      <c r="H45" s="5" t="s">
        <v>1</v>
      </c>
      <c r="I45" s="78">
        <f t="shared" si="25"/>
        <v>0</v>
      </c>
      <c r="J45" s="110">
        <f t="shared" si="26"/>
        <v>75</v>
      </c>
      <c r="K45" s="4">
        <v>60</v>
      </c>
      <c r="L45" s="5" t="s">
        <v>1</v>
      </c>
      <c r="M45" s="80">
        <f t="shared" si="27"/>
        <v>60</v>
      </c>
      <c r="N45" s="78">
        <f t="shared" si="28"/>
        <v>4500</v>
      </c>
      <c r="O45" s="78">
        <f t="shared" si="29"/>
        <v>4500</v>
      </c>
      <c r="P45" s="4">
        <v>0</v>
      </c>
      <c r="Q45" s="4">
        <v>0</v>
      </c>
      <c r="R45" s="49">
        <v>0</v>
      </c>
    </row>
    <row r="46" spans="1:18" x14ac:dyDescent="0.25">
      <c r="A46" s="31"/>
      <c r="B46" s="4" t="s">
        <v>2057</v>
      </c>
      <c r="C46" s="5">
        <v>1</v>
      </c>
      <c r="D46" s="7">
        <v>0</v>
      </c>
      <c r="E46" s="3">
        <f t="shared" si="24"/>
        <v>1</v>
      </c>
      <c r="F46" s="3" t="s">
        <v>867</v>
      </c>
      <c r="G46" s="77"/>
      <c r="H46" s="5" t="s">
        <v>1</v>
      </c>
      <c r="I46" s="78">
        <f t="shared" si="25"/>
        <v>0</v>
      </c>
      <c r="J46" s="110">
        <f t="shared" si="26"/>
        <v>75</v>
      </c>
      <c r="K46" s="4">
        <v>70</v>
      </c>
      <c r="L46" s="5" t="s">
        <v>1</v>
      </c>
      <c r="M46" s="80">
        <f t="shared" si="27"/>
        <v>70</v>
      </c>
      <c r="N46" s="78">
        <f t="shared" si="28"/>
        <v>5250</v>
      </c>
      <c r="O46" s="78">
        <f t="shared" si="29"/>
        <v>5250</v>
      </c>
      <c r="P46" s="4">
        <v>0</v>
      </c>
      <c r="Q46" s="4">
        <v>0</v>
      </c>
      <c r="R46" s="49">
        <v>0</v>
      </c>
    </row>
    <row r="47" spans="1:18" x14ac:dyDescent="0.25">
      <c r="A47" s="31"/>
      <c r="B47" s="4" t="s">
        <v>2056</v>
      </c>
      <c r="C47" s="5">
        <v>1</v>
      </c>
      <c r="D47" s="7">
        <v>0</v>
      </c>
      <c r="E47" s="3">
        <f t="shared" si="24"/>
        <v>1</v>
      </c>
      <c r="F47" s="3" t="s">
        <v>867</v>
      </c>
      <c r="G47" s="77"/>
      <c r="H47" s="5" t="s">
        <v>1</v>
      </c>
      <c r="I47" s="78">
        <f t="shared" si="25"/>
        <v>0</v>
      </c>
      <c r="J47" s="110">
        <f t="shared" si="26"/>
        <v>75</v>
      </c>
      <c r="K47" s="4">
        <v>80</v>
      </c>
      <c r="L47" s="5" t="s">
        <v>1</v>
      </c>
      <c r="M47" s="80">
        <f t="shared" si="27"/>
        <v>80</v>
      </c>
      <c r="N47" s="78">
        <f t="shared" si="28"/>
        <v>6000</v>
      </c>
      <c r="O47" s="78">
        <f t="shared" si="29"/>
        <v>6000</v>
      </c>
      <c r="P47" s="4">
        <v>0</v>
      </c>
      <c r="Q47" s="4">
        <v>0</v>
      </c>
      <c r="R47" s="49">
        <v>0</v>
      </c>
    </row>
    <row r="48" spans="1:18" x14ac:dyDescent="0.25">
      <c r="A48" s="31"/>
      <c r="B48" s="4" t="s">
        <v>2055</v>
      </c>
      <c r="C48" s="5">
        <v>1</v>
      </c>
      <c r="D48" s="7">
        <v>0</v>
      </c>
      <c r="E48" s="3">
        <f t="shared" si="24"/>
        <v>1</v>
      </c>
      <c r="F48" s="3" t="s">
        <v>867</v>
      </c>
      <c r="G48" s="77"/>
      <c r="H48" s="5" t="s">
        <v>1</v>
      </c>
      <c r="I48" s="78">
        <f t="shared" si="25"/>
        <v>0</v>
      </c>
      <c r="J48" s="110">
        <f t="shared" si="26"/>
        <v>75</v>
      </c>
      <c r="K48" s="4">
        <v>90</v>
      </c>
      <c r="L48" s="5" t="s">
        <v>1</v>
      </c>
      <c r="M48" s="80">
        <f t="shared" si="27"/>
        <v>90</v>
      </c>
      <c r="N48" s="78">
        <f t="shared" si="28"/>
        <v>6750</v>
      </c>
      <c r="O48" s="78">
        <f t="shared" si="29"/>
        <v>6750</v>
      </c>
      <c r="P48" s="4">
        <v>0</v>
      </c>
      <c r="Q48" s="4">
        <v>0</v>
      </c>
      <c r="R48" s="49">
        <v>0</v>
      </c>
    </row>
    <row r="49" spans="1:18" x14ac:dyDescent="0.25">
      <c r="A49" s="31"/>
      <c r="B49" s="4" t="s">
        <v>2054</v>
      </c>
      <c r="C49" s="5">
        <v>1</v>
      </c>
      <c r="D49" s="7">
        <v>0</v>
      </c>
      <c r="E49" s="3">
        <f t="shared" si="24"/>
        <v>1</v>
      </c>
      <c r="F49" s="3" t="s">
        <v>867</v>
      </c>
      <c r="G49" s="77"/>
      <c r="H49" s="5" t="s">
        <v>1</v>
      </c>
      <c r="I49" s="78">
        <f t="shared" si="25"/>
        <v>0</v>
      </c>
      <c r="J49" s="110">
        <f t="shared" si="26"/>
        <v>75</v>
      </c>
      <c r="K49" s="4">
        <v>100</v>
      </c>
      <c r="L49" s="5" t="s">
        <v>1</v>
      </c>
      <c r="M49" s="80">
        <f t="shared" si="27"/>
        <v>100</v>
      </c>
      <c r="N49" s="78">
        <f t="shared" si="28"/>
        <v>7500</v>
      </c>
      <c r="O49" s="78">
        <f t="shared" si="29"/>
        <v>7500</v>
      </c>
      <c r="P49" s="4">
        <v>0</v>
      </c>
      <c r="Q49" s="4">
        <v>0</v>
      </c>
      <c r="R49" s="49">
        <v>0</v>
      </c>
    </row>
    <row r="50" spans="1:18" x14ac:dyDescent="0.25">
      <c r="A50" s="31"/>
      <c r="B50" s="4" t="s">
        <v>2053</v>
      </c>
      <c r="C50" s="5">
        <v>1</v>
      </c>
      <c r="D50" s="7">
        <v>0</v>
      </c>
      <c r="E50" s="3">
        <f t="shared" si="24"/>
        <v>1</v>
      </c>
      <c r="F50" s="3" t="s">
        <v>867</v>
      </c>
      <c r="G50" s="77"/>
      <c r="H50" s="5" t="s">
        <v>1</v>
      </c>
      <c r="I50" s="78">
        <f t="shared" si="25"/>
        <v>0</v>
      </c>
      <c r="J50" s="110">
        <f t="shared" si="26"/>
        <v>75</v>
      </c>
      <c r="K50" s="4">
        <v>110</v>
      </c>
      <c r="L50" s="5" t="s">
        <v>1</v>
      </c>
      <c r="M50" s="80">
        <f t="shared" si="27"/>
        <v>110</v>
      </c>
      <c r="N50" s="78">
        <f t="shared" si="28"/>
        <v>8250</v>
      </c>
      <c r="O50" s="78">
        <f t="shared" si="29"/>
        <v>8250</v>
      </c>
      <c r="P50" s="4">
        <v>0</v>
      </c>
      <c r="Q50" s="4">
        <v>0</v>
      </c>
      <c r="R50" s="49">
        <v>0</v>
      </c>
    </row>
    <row r="51" spans="1:18" x14ac:dyDescent="0.25">
      <c r="A51" s="31"/>
      <c r="B51" s="4" t="s">
        <v>2052</v>
      </c>
      <c r="C51" s="5">
        <v>1</v>
      </c>
      <c r="D51" s="7">
        <v>0</v>
      </c>
      <c r="E51" s="3">
        <f t="shared" si="24"/>
        <v>1</v>
      </c>
      <c r="F51" s="3" t="s">
        <v>867</v>
      </c>
      <c r="G51" s="77"/>
      <c r="H51" s="5" t="s">
        <v>1</v>
      </c>
      <c r="I51" s="78">
        <f t="shared" si="25"/>
        <v>0</v>
      </c>
      <c r="J51" s="110">
        <f t="shared" si="26"/>
        <v>75</v>
      </c>
      <c r="K51" s="4">
        <v>120</v>
      </c>
      <c r="L51" s="5" t="s">
        <v>1</v>
      </c>
      <c r="M51" s="80">
        <f t="shared" si="27"/>
        <v>120</v>
      </c>
      <c r="N51" s="78">
        <f t="shared" si="28"/>
        <v>9000</v>
      </c>
      <c r="O51" s="78">
        <f t="shared" si="29"/>
        <v>9000</v>
      </c>
      <c r="P51" s="4">
        <v>0</v>
      </c>
      <c r="Q51" s="4">
        <v>0</v>
      </c>
      <c r="R51" s="49">
        <v>0</v>
      </c>
    </row>
    <row r="52" spans="1:18" ht="15.75" thickBot="1" x14ac:dyDescent="0.3">
      <c r="A52" s="31"/>
      <c r="B52" s="258"/>
      <c r="C52" s="259">
        <v>1</v>
      </c>
      <c r="D52" s="259">
        <v>0</v>
      </c>
      <c r="E52" s="259">
        <f t="shared" si="24"/>
        <v>1</v>
      </c>
      <c r="F52" s="259" t="s">
        <v>867</v>
      </c>
      <c r="G52" s="259"/>
      <c r="H52" s="259" t="s">
        <v>1</v>
      </c>
      <c r="I52" s="259">
        <f t="shared" si="25"/>
        <v>0</v>
      </c>
      <c r="J52" s="259">
        <f t="shared" si="26"/>
        <v>75</v>
      </c>
      <c r="K52" s="259"/>
      <c r="L52" s="259" t="s">
        <v>1</v>
      </c>
      <c r="M52" s="259">
        <f t="shared" si="27"/>
        <v>0</v>
      </c>
      <c r="N52" s="259">
        <f t="shared" si="28"/>
        <v>0</v>
      </c>
      <c r="O52" s="259">
        <f t="shared" si="29"/>
        <v>0</v>
      </c>
      <c r="P52" s="259"/>
      <c r="Q52" s="259"/>
      <c r="R52" s="260"/>
    </row>
    <row r="53" spans="1:18" ht="15.75" thickBot="1" x14ac:dyDescent="0.3">
      <c r="A53" s="60"/>
      <c r="B53" s="145" t="s">
        <v>2051</v>
      </c>
      <c r="C53" s="5"/>
      <c r="D53" s="7"/>
      <c r="E53" s="3"/>
      <c r="F53" s="3"/>
      <c r="G53" s="9"/>
      <c r="H53" s="5"/>
      <c r="I53" s="9"/>
      <c r="J53" s="9"/>
      <c r="K53" s="15"/>
      <c r="L53" s="5"/>
      <c r="M53" s="15"/>
      <c r="N53" s="4"/>
      <c r="O53" s="4"/>
      <c r="P53" s="15"/>
      <c r="Q53" s="191"/>
      <c r="R53" s="190"/>
    </row>
    <row r="54" spans="1:18" x14ac:dyDescent="0.25">
      <c r="A54" s="31">
        <v>1</v>
      </c>
      <c r="B54" s="4" t="s">
        <v>2050</v>
      </c>
      <c r="C54" s="5">
        <v>1</v>
      </c>
      <c r="D54" s="7">
        <v>0</v>
      </c>
      <c r="E54" s="3">
        <f t="shared" ref="E54:E66" si="30">C54+(C54*D54)</f>
        <v>1</v>
      </c>
      <c r="F54" s="3" t="s">
        <v>867</v>
      </c>
      <c r="G54" s="77"/>
      <c r="H54" s="5" t="s">
        <v>1</v>
      </c>
      <c r="I54" s="78">
        <f t="shared" ref="I54:I66" si="31">IF(H54="C",(G54/100)*E54,IF(H54="M",(G54/1000)*E54,G54*E54))</f>
        <v>0</v>
      </c>
      <c r="J54" s="110">
        <f t="shared" ref="J54:J66" si="32">$O$4</f>
        <v>75</v>
      </c>
      <c r="K54" s="4">
        <v>12</v>
      </c>
      <c r="L54" s="5" t="s">
        <v>1</v>
      </c>
      <c r="M54" s="80">
        <f t="shared" ref="M54:M66" si="33">IF(L54="C",(K54/100)*E54,IF(L54="M",(K54/1000)*E54,K54*E54))</f>
        <v>12</v>
      </c>
      <c r="N54" s="78">
        <f t="shared" ref="N54:N66" si="34">M54*J54</f>
        <v>900</v>
      </c>
      <c r="O54" s="78">
        <f t="shared" ref="O54:O66" si="35">N54+I54</f>
        <v>900</v>
      </c>
      <c r="P54" s="4">
        <v>22</v>
      </c>
      <c r="Q54" s="4">
        <v>27.5</v>
      </c>
      <c r="R54" s="49">
        <v>33</v>
      </c>
    </row>
    <row r="55" spans="1:18" x14ac:dyDescent="0.25">
      <c r="A55" s="31"/>
      <c r="B55" s="4" t="s">
        <v>2049</v>
      </c>
      <c r="C55" s="5">
        <v>1</v>
      </c>
      <c r="D55" s="7">
        <v>0</v>
      </c>
      <c r="E55" s="3">
        <f t="shared" si="30"/>
        <v>1</v>
      </c>
      <c r="F55" s="3" t="s">
        <v>867</v>
      </c>
      <c r="G55" s="77"/>
      <c r="H55" s="5" t="s">
        <v>1</v>
      </c>
      <c r="I55" s="78">
        <f t="shared" si="31"/>
        <v>0</v>
      </c>
      <c r="J55" s="110">
        <f t="shared" si="32"/>
        <v>75</v>
      </c>
      <c r="K55" s="4">
        <v>24</v>
      </c>
      <c r="L55" s="5" t="s">
        <v>1</v>
      </c>
      <c r="M55" s="80">
        <f t="shared" si="33"/>
        <v>24</v>
      </c>
      <c r="N55" s="78">
        <f t="shared" si="34"/>
        <v>1800</v>
      </c>
      <c r="O55" s="78">
        <f t="shared" si="35"/>
        <v>1800</v>
      </c>
      <c r="P55" s="4">
        <v>39.6</v>
      </c>
      <c r="Q55" s="4">
        <v>49.5</v>
      </c>
      <c r="R55" s="49">
        <v>59.4</v>
      </c>
    </row>
    <row r="56" spans="1:18" x14ac:dyDescent="0.25">
      <c r="A56" s="31"/>
      <c r="B56" s="4" t="s">
        <v>2048</v>
      </c>
      <c r="C56" s="5">
        <v>1</v>
      </c>
      <c r="D56" s="7">
        <v>0</v>
      </c>
      <c r="E56" s="3">
        <f t="shared" si="30"/>
        <v>1</v>
      </c>
      <c r="F56" s="3" t="s">
        <v>867</v>
      </c>
      <c r="G56" s="77"/>
      <c r="H56" s="5" t="s">
        <v>1</v>
      </c>
      <c r="I56" s="78">
        <f t="shared" si="31"/>
        <v>0</v>
      </c>
      <c r="J56" s="110">
        <f t="shared" si="32"/>
        <v>75</v>
      </c>
      <c r="K56" s="4">
        <v>36</v>
      </c>
      <c r="L56" s="5" t="s">
        <v>1</v>
      </c>
      <c r="M56" s="80">
        <f t="shared" si="33"/>
        <v>36</v>
      </c>
      <c r="N56" s="78">
        <f t="shared" si="34"/>
        <v>2700</v>
      </c>
      <c r="O56" s="78">
        <f t="shared" si="35"/>
        <v>2700</v>
      </c>
      <c r="P56" s="4">
        <v>59.4</v>
      </c>
      <c r="Q56" s="4">
        <v>74.25</v>
      </c>
      <c r="R56" s="49">
        <v>89.1</v>
      </c>
    </row>
    <row r="57" spans="1:18" x14ac:dyDescent="0.25">
      <c r="A57" s="31"/>
      <c r="B57" s="4" t="s">
        <v>2047</v>
      </c>
      <c r="C57" s="5">
        <v>1</v>
      </c>
      <c r="D57" s="7">
        <v>0</v>
      </c>
      <c r="E57" s="3">
        <f t="shared" si="30"/>
        <v>1</v>
      </c>
      <c r="F57" s="3" t="s">
        <v>867</v>
      </c>
      <c r="G57" s="77"/>
      <c r="H57" s="5" t="s">
        <v>1</v>
      </c>
      <c r="I57" s="78">
        <f t="shared" si="31"/>
        <v>0</v>
      </c>
      <c r="J57" s="110">
        <f t="shared" si="32"/>
        <v>75</v>
      </c>
      <c r="K57" s="4">
        <v>48</v>
      </c>
      <c r="L57" s="5" t="s">
        <v>1</v>
      </c>
      <c r="M57" s="80">
        <f t="shared" si="33"/>
        <v>48</v>
      </c>
      <c r="N57" s="78">
        <f t="shared" si="34"/>
        <v>3600</v>
      </c>
      <c r="O57" s="78">
        <f t="shared" si="35"/>
        <v>3600</v>
      </c>
      <c r="P57" s="4">
        <v>79.2</v>
      </c>
      <c r="Q57" s="4">
        <v>99</v>
      </c>
      <c r="R57" s="49">
        <v>118.8</v>
      </c>
    </row>
    <row r="58" spans="1:18" x14ac:dyDescent="0.25">
      <c r="A58" s="31"/>
      <c r="B58" s="4" t="s">
        <v>2046</v>
      </c>
      <c r="C58" s="5">
        <v>1</v>
      </c>
      <c r="D58" s="7">
        <v>0</v>
      </c>
      <c r="E58" s="3">
        <f t="shared" si="30"/>
        <v>1</v>
      </c>
      <c r="F58" s="3" t="s">
        <v>867</v>
      </c>
      <c r="G58" s="77"/>
      <c r="H58" s="5" t="s">
        <v>1</v>
      </c>
      <c r="I58" s="78">
        <f t="shared" si="31"/>
        <v>0</v>
      </c>
      <c r="J58" s="110">
        <f t="shared" si="32"/>
        <v>75</v>
      </c>
      <c r="K58" s="4">
        <v>60</v>
      </c>
      <c r="L58" s="5" t="s">
        <v>1</v>
      </c>
      <c r="M58" s="80">
        <f t="shared" si="33"/>
        <v>60</v>
      </c>
      <c r="N58" s="78">
        <f t="shared" si="34"/>
        <v>4500</v>
      </c>
      <c r="O58" s="78">
        <f t="shared" si="35"/>
        <v>4500</v>
      </c>
      <c r="P58" s="4">
        <v>99</v>
      </c>
      <c r="Q58" s="4">
        <v>123.75</v>
      </c>
      <c r="R58" s="49">
        <v>148.5</v>
      </c>
    </row>
    <row r="59" spans="1:18" x14ac:dyDescent="0.25">
      <c r="A59" s="31"/>
      <c r="B59" s="4" t="s">
        <v>2045</v>
      </c>
      <c r="C59" s="5">
        <v>1</v>
      </c>
      <c r="D59" s="7">
        <v>0</v>
      </c>
      <c r="E59" s="3">
        <f t="shared" si="30"/>
        <v>1</v>
      </c>
      <c r="F59" s="3" t="s">
        <v>867</v>
      </c>
      <c r="G59" s="77"/>
      <c r="H59" s="5" t="s">
        <v>1</v>
      </c>
      <c r="I59" s="78">
        <f t="shared" si="31"/>
        <v>0</v>
      </c>
      <c r="J59" s="110">
        <f t="shared" si="32"/>
        <v>75</v>
      </c>
      <c r="K59" s="4">
        <v>72</v>
      </c>
      <c r="L59" s="5" t="s">
        <v>1</v>
      </c>
      <c r="M59" s="80">
        <f t="shared" si="33"/>
        <v>72</v>
      </c>
      <c r="N59" s="78">
        <f t="shared" si="34"/>
        <v>5400</v>
      </c>
      <c r="O59" s="78">
        <f t="shared" si="35"/>
        <v>5400</v>
      </c>
      <c r="P59" s="4">
        <v>0</v>
      </c>
      <c r="Q59" s="4">
        <v>0</v>
      </c>
      <c r="R59" s="49">
        <v>0</v>
      </c>
    </row>
    <row r="60" spans="1:18" x14ac:dyDescent="0.25">
      <c r="A60" s="31"/>
      <c r="B60" s="4" t="s">
        <v>2044</v>
      </c>
      <c r="C60" s="5">
        <v>1</v>
      </c>
      <c r="D60" s="7">
        <v>0</v>
      </c>
      <c r="E60" s="3">
        <f t="shared" si="30"/>
        <v>1</v>
      </c>
      <c r="F60" s="3" t="s">
        <v>867</v>
      </c>
      <c r="G60" s="77"/>
      <c r="H60" s="5" t="s">
        <v>1</v>
      </c>
      <c r="I60" s="78">
        <f t="shared" si="31"/>
        <v>0</v>
      </c>
      <c r="J60" s="110">
        <f t="shared" si="32"/>
        <v>75</v>
      </c>
      <c r="K60" s="4">
        <v>84</v>
      </c>
      <c r="L60" s="5" t="s">
        <v>1</v>
      </c>
      <c r="M60" s="80">
        <f t="shared" si="33"/>
        <v>84</v>
      </c>
      <c r="N60" s="78">
        <f t="shared" si="34"/>
        <v>6300</v>
      </c>
      <c r="O60" s="78">
        <f t="shared" si="35"/>
        <v>6300</v>
      </c>
      <c r="P60" s="4">
        <v>0</v>
      </c>
      <c r="Q60" s="4">
        <v>0</v>
      </c>
      <c r="R60" s="49">
        <v>0</v>
      </c>
    </row>
    <row r="61" spans="1:18" x14ac:dyDescent="0.25">
      <c r="A61" s="31"/>
      <c r="B61" s="4" t="s">
        <v>2043</v>
      </c>
      <c r="C61" s="5">
        <v>1</v>
      </c>
      <c r="D61" s="7">
        <v>0</v>
      </c>
      <c r="E61" s="3">
        <f t="shared" si="30"/>
        <v>1</v>
      </c>
      <c r="F61" s="3" t="s">
        <v>867</v>
      </c>
      <c r="G61" s="77"/>
      <c r="H61" s="5" t="s">
        <v>1</v>
      </c>
      <c r="I61" s="78">
        <f t="shared" si="31"/>
        <v>0</v>
      </c>
      <c r="J61" s="110">
        <f t="shared" si="32"/>
        <v>75</v>
      </c>
      <c r="K61" s="4">
        <v>96</v>
      </c>
      <c r="L61" s="5" t="s">
        <v>1</v>
      </c>
      <c r="M61" s="80">
        <f t="shared" si="33"/>
        <v>96</v>
      </c>
      <c r="N61" s="78">
        <f t="shared" si="34"/>
        <v>7200</v>
      </c>
      <c r="O61" s="78">
        <f t="shared" si="35"/>
        <v>7200</v>
      </c>
      <c r="P61" s="4">
        <v>0</v>
      </c>
      <c r="Q61" s="4">
        <v>0</v>
      </c>
      <c r="R61" s="49">
        <v>0</v>
      </c>
    </row>
    <row r="62" spans="1:18" x14ac:dyDescent="0.25">
      <c r="A62" s="31"/>
      <c r="B62" s="4" t="s">
        <v>2042</v>
      </c>
      <c r="C62" s="5">
        <v>1</v>
      </c>
      <c r="D62" s="7">
        <v>0</v>
      </c>
      <c r="E62" s="3">
        <f t="shared" si="30"/>
        <v>1</v>
      </c>
      <c r="F62" s="3" t="s">
        <v>867</v>
      </c>
      <c r="G62" s="77"/>
      <c r="H62" s="5" t="s">
        <v>1</v>
      </c>
      <c r="I62" s="78">
        <f t="shared" si="31"/>
        <v>0</v>
      </c>
      <c r="J62" s="110">
        <f t="shared" si="32"/>
        <v>75</v>
      </c>
      <c r="K62" s="4">
        <v>108</v>
      </c>
      <c r="L62" s="5" t="s">
        <v>1</v>
      </c>
      <c r="M62" s="80">
        <f t="shared" si="33"/>
        <v>108</v>
      </c>
      <c r="N62" s="78">
        <f t="shared" si="34"/>
        <v>8100</v>
      </c>
      <c r="O62" s="78">
        <f t="shared" si="35"/>
        <v>8100</v>
      </c>
      <c r="P62" s="4">
        <v>0</v>
      </c>
      <c r="Q62" s="4">
        <v>0</v>
      </c>
      <c r="R62" s="49">
        <v>0</v>
      </c>
    </row>
    <row r="63" spans="1:18" x14ac:dyDescent="0.25">
      <c r="A63" s="31"/>
      <c r="B63" s="4" t="s">
        <v>2041</v>
      </c>
      <c r="C63" s="5">
        <v>1</v>
      </c>
      <c r="D63" s="7">
        <v>0</v>
      </c>
      <c r="E63" s="3">
        <f t="shared" si="30"/>
        <v>1</v>
      </c>
      <c r="F63" s="3" t="s">
        <v>867</v>
      </c>
      <c r="G63" s="77"/>
      <c r="H63" s="5" t="s">
        <v>1</v>
      </c>
      <c r="I63" s="78">
        <f t="shared" si="31"/>
        <v>0</v>
      </c>
      <c r="J63" s="110">
        <f t="shared" si="32"/>
        <v>75</v>
      </c>
      <c r="K63" s="4">
        <v>120</v>
      </c>
      <c r="L63" s="5" t="s">
        <v>1</v>
      </c>
      <c r="M63" s="80">
        <f t="shared" si="33"/>
        <v>120</v>
      </c>
      <c r="N63" s="78">
        <f t="shared" si="34"/>
        <v>9000</v>
      </c>
      <c r="O63" s="78">
        <f t="shared" si="35"/>
        <v>9000</v>
      </c>
      <c r="P63" s="4">
        <v>0</v>
      </c>
      <c r="Q63" s="4">
        <v>0</v>
      </c>
      <c r="R63" s="49">
        <v>0</v>
      </c>
    </row>
    <row r="64" spans="1:18" x14ac:dyDescent="0.25">
      <c r="A64" s="31"/>
      <c r="B64" s="4" t="s">
        <v>2040</v>
      </c>
      <c r="C64" s="5">
        <v>1</v>
      </c>
      <c r="D64" s="7">
        <v>0</v>
      </c>
      <c r="E64" s="3">
        <f t="shared" si="30"/>
        <v>1</v>
      </c>
      <c r="F64" s="3" t="s">
        <v>867</v>
      </c>
      <c r="G64" s="77"/>
      <c r="H64" s="5" t="s">
        <v>1</v>
      </c>
      <c r="I64" s="78">
        <f t="shared" si="31"/>
        <v>0</v>
      </c>
      <c r="J64" s="110">
        <f t="shared" si="32"/>
        <v>75</v>
      </c>
      <c r="K64" s="4">
        <v>132</v>
      </c>
      <c r="L64" s="5" t="s">
        <v>1</v>
      </c>
      <c r="M64" s="80">
        <f t="shared" si="33"/>
        <v>132</v>
      </c>
      <c r="N64" s="78">
        <f t="shared" si="34"/>
        <v>9900</v>
      </c>
      <c r="O64" s="78">
        <f t="shared" si="35"/>
        <v>9900</v>
      </c>
      <c r="P64" s="4">
        <v>0</v>
      </c>
      <c r="Q64" s="4">
        <v>0</v>
      </c>
      <c r="R64" s="49">
        <v>0</v>
      </c>
    </row>
    <row r="65" spans="1:18" x14ac:dyDescent="0.25">
      <c r="A65" s="31"/>
      <c r="B65" s="4" t="s">
        <v>2039</v>
      </c>
      <c r="C65" s="5">
        <v>1</v>
      </c>
      <c r="D65" s="7">
        <v>0</v>
      </c>
      <c r="E65" s="3">
        <f t="shared" si="30"/>
        <v>1</v>
      </c>
      <c r="F65" s="3" t="s">
        <v>867</v>
      </c>
      <c r="G65" s="77"/>
      <c r="H65" s="5" t="s">
        <v>1</v>
      </c>
      <c r="I65" s="78">
        <f t="shared" si="31"/>
        <v>0</v>
      </c>
      <c r="J65" s="110">
        <f t="shared" si="32"/>
        <v>75</v>
      </c>
      <c r="K65" s="4">
        <v>144</v>
      </c>
      <c r="L65" s="5" t="s">
        <v>1</v>
      </c>
      <c r="M65" s="80">
        <f t="shared" si="33"/>
        <v>144</v>
      </c>
      <c r="N65" s="78">
        <f t="shared" si="34"/>
        <v>10800</v>
      </c>
      <c r="O65" s="78">
        <f t="shared" si="35"/>
        <v>10800</v>
      </c>
      <c r="P65" s="4">
        <v>0</v>
      </c>
      <c r="Q65" s="4">
        <v>0</v>
      </c>
      <c r="R65" s="49">
        <v>0</v>
      </c>
    </row>
    <row r="66" spans="1:18" ht="15.75" thickBot="1" x14ac:dyDescent="0.3">
      <c r="A66" s="31"/>
      <c r="B66" s="258"/>
      <c r="C66" s="259">
        <v>1</v>
      </c>
      <c r="D66" s="259">
        <v>0</v>
      </c>
      <c r="E66" s="259">
        <f t="shared" si="30"/>
        <v>1</v>
      </c>
      <c r="F66" s="259" t="s">
        <v>867</v>
      </c>
      <c r="G66" s="259"/>
      <c r="H66" s="259" t="s">
        <v>1</v>
      </c>
      <c r="I66" s="259">
        <f t="shared" si="31"/>
        <v>0</v>
      </c>
      <c r="J66" s="259">
        <f t="shared" si="32"/>
        <v>75</v>
      </c>
      <c r="K66" s="259"/>
      <c r="L66" s="259" t="s">
        <v>1</v>
      </c>
      <c r="M66" s="259">
        <f t="shared" si="33"/>
        <v>0</v>
      </c>
      <c r="N66" s="259">
        <f t="shared" si="34"/>
        <v>0</v>
      </c>
      <c r="O66" s="259">
        <f t="shared" si="35"/>
        <v>0</v>
      </c>
      <c r="P66" s="259"/>
      <c r="Q66" s="259"/>
      <c r="R66" s="260"/>
    </row>
    <row r="67" spans="1:18" ht="15.75" thickBot="1" x14ac:dyDescent="0.3">
      <c r="A67" s="60"/>
      <c r="B67" s="145" t="s">
        <v>2038</v>
      </c>
      <c r="C67" s="5"/>
      <c r="D67" s="7"/>
      <c r="E67" s="3"/>
      <c r="F67" s="3"/>
      <c r="G67" s="9"/>
      <c r="H67" s="5"/>
      <c r="I67" s="9"/>
      <c r="J67" s="9"/>
      <c r="K67" s="15"/>
      <c r="L67" s="5"/>
      <c r="M67" s="15"/>
      <c r="N67" s="4"/>
      <c r="O67" s="4"/>
      <c r="P67" s="15"/>
      <c r="Q67" s="191"/>
      <c r="R67" s="190"/>
    </row>
    <row r="68" spans="1:18" x14ac:dyDescent="0.25">
      <c r="A68" s="31">
        <v>1</v>
      </c>
      <c r="B68" s="4" t="s">
        <v>2037</v>
      </c>
      <c r="C68" s="5"/>
      <c r="D68" s="7">
        <v>0</v>
      </c>
      <c r="E68" s="3"/>
      <c r="F68" s="3" t="s">
        <v>867</v>
      </c>
      <c r="G68" s="77"/>
      <c r="H68" s="5" t="s">
        <v>1</v>
      </c>
      <c r="I68" s="78">
        <f t="shared" ref="I68:I80" si="36">IF(H68="C",(G68/100)*E68,IF(H68="M",(G68/1000)*E68,G68*E68))</f>
        <v>0</v>
      </c>
      <c r="J68" s="110">
        <f t="shared" ref="J68:J80" si="37">$O$4</f>
        <v>75</v>
      </c>
      <c r="K68" s="4">
        <v>14</v>
      </c>
      <c r="L68" s="5" t="s">
        <v>1</v>
      </c>
      <c r="M68" s="80">
        <f t="shared" ref="M68:M80" si="38">IF(L68="C",(K68/100)*E68,IF(L68="M",(K68/1000)*E68,K68*E68))</f>
        <v>0</v>
      </c>
      <c r="N68" s="78">
        <f t="shared" ref="N68:N80" si="39">M68*J68</f>
        <v>0</v>
      </c>
      <c r="O68" s="78">
        <f t="shared" ref="O68:O80" si="40">N68+I68</f>
        <v>0</v>
      </c>
      <c r="P68" s="4">
        <v>26</v>
      </c>
      <c r="Q68" s="4">
        <v>32.5</v>
      </c>
      <c r="R68" s="49">
        <v>39</v>
      </c>
    </row>
    <row r="69" spans="1:18" x14ac:dyDescent="0.25">
      <c r="A69" s="60"/>
      <c r="B69" s="8" t="s">
        <v>2036</v>
      </c>
      <c r="C69" s="5">
        <v>1</v>
      </c>
      <c r="D69" s="7">
        <v>0</v>
      </c>
      <c r="E69" s="3">
        <f t="shared" ref="E69:E80" si="41">C69+(C69*D69)</f>
        <v>1</v>
      </c>
      <c r="F69" s="3" t="s">
        <v>867</v>
      </c>
      <c r="G69" s="77"/>
      <c r="H69" s="5" t="s">
        <v>1</v>
      </c>
      <c r="I69" s="78">
        <f t="shared" si="36"/>
        <v>0</v>
      </c>
      <c r="J69" s="110">
        <f t="shared" si="37"/>
        <v>75</v>
      </c>
      <c r="K69" s="4">
        <v>28</v>
      </c>
      <c r="L69" s="5" t="s">
        <v>1</v>
      </c>
      <c r="M69" s="80">
        <f t="shared" si="38"/>
        <v>28</v>
      </c>
      <c r="N69" s="78">
        <f t="shared" si="39"/>
        <v>2100</v>
      </c>
      <c r="O69" s="78">
        <f t="shared" si="40"/>
        <v>2100</v>
      </c>
      <c r="P69" s="4">
        <v>46.8</v>
      </c>
      <c r="Q69" s="191">
        <v>58.5</v>
      </c>
      <c r="R69" s="190">
        <v>70.2</v>
      </c>
    </row>
    <row r="70" spans="1:18" x14ac:dyDescent="0.25">
      <c r="A70" s="31"/>
      <c r="B70" s="4" t="s">
        <v>2035</v>
      </c>
      <c r="C70" s="5">
        <v>1</v>
      </c>
      <c r="D70" s="7">
        <v>0</v>
      </c>
      <c r="E70" s="3">
        <f t="shared" si="41"/>
        <v>1</v>
      </c>
      <c r="F70" s="3" t="s">
        <v>867</v>
      </c>
      <c r="G70" s="77"/>
      <c r="H70" s="5" t="s">
        <v>1</v>
      </c>
      <c r="I70" s="78">
        <f t="shared" si="36"/>
        <v>0</v>
      </c>
      <c r="J70" s="110">
        <f t="shared" si="37"/>
        <v>75</v>
      </c>
      <c r="K70" s="4">
        <v>42</v>
      </c>
      <c r="L70" s="5" t="s">
        <v>1</v>
      </c>
      <c r="M70" s="80">
        <f t="shared" si="38"/>
        <v>42</v>
      </c>
      <c r="N70" s="78">
        <f t="shared" si="39"/>
        <v>3150</v>
      </c>
      <c r="O70" s="78">
        <f t="shared" si="40"/>
        <v>3150</v>
      </c>
      <c r="P70" s="4">
        <v>70.2</v>
      </c>
      <c r="Q70" s="4">
        <v>87.75</v>
      </c>
      <c r="R70" s="49">
        <v>105.3</v>
      </c>
    </row>
    <row r="71" spans="1:18" x14ac:dyDescent="0.25">
      <c r="A71" s="31"/>
      <c r="B71" s="4" t="s">
        <v>2034</v>
      </c>
      <c r="C71" s="5">
        <v>1</v>
      </c>
      <c r="D71" s="7">
        <v>0</v>
      </c>
      <c r="E71" s="3">
        <f t="shared" si="41"/>
        <v>1</v>
      </c>
      <c r="F71" s="3" t="s">
        <v>867</v>
      </c>
      <c r="G71" s="77"/>
      <c r="H71" s="5" t="s">
        <v>1</v>
      </c>
      <c r="I71" s="78">
        <f t="shared" si="36"/>
        <v>0</v>
      </c>
      <c r="J71" s="110">
        <f t="shared" si="37"/>
        <v>75</v>
      </c>
      <c r="K71" s="4">
        <v>56</v>
      </c>
      <c r="L71" s="5" t="s">
        <v>1</v>
      </c>
      <c r="M71" s="80">
        <f t="shared" si="38"/>
        <v>56</v>
      </c>
      <c r="N71" s="78">
        <f t="shared" si="39"/>
        <v>4200</v>
      </c>
      <c r="O71" s="78">
        <f t="shared" si="40"/>
        <v>4200</v>
      </c>
      <c r="P71" s="4">
        <v>93.6</v>
      </c>
      <c r="Q71" s="4">
        <v>117</v>
      </c>
      <c r="R71" s="49">
        <v>140.4</v>
      </c>
    </row>
    <row r="72" spans="1:18" x14ac:dyDescent="0.25">
      <c r="A72" s="31"/>
      <c r="B72" s="4" t="s">
        <v>2033</v>
      </c>
      <c r="C72" s="5">
        <v>1</v>
      </c>
      <c r="D72" s="7">
        <v>0</v>
      </c>
      <c r="E72" s="3">
        <f t="shared" si="41"/>
        <v>1</v>
      </c>
      <c r="F72" s="3" t="s">
        <v>867</v>
      </c>
      <c r="G72" s="77"/>
      <c r="H72" s="5" t="s">
        <v>1</v>
      </c>
      <c r="I72" s="78">
        <f t="shared" si="36"/>
        <v>0</v>
      </c>
      <c r="J72" s="110">
        <f t="shared" si="37"/>
        <v>75</v>
      </c>
      <c r="K72" s="4">
        <v>70</v>
      </c>
      <c r="L72" s="5" t="s">
        <v>1</v>
      </c>
      <c r="M72" s="80">
        <f t="shared" si="38"/>
        <v>70</v>
      </c>
      <c r="N72" s="78">
        <f t="shared" si="39"/>
        <v>5250</v>
      </c>
      <c r="O72" s="78">
        <f t="shared" si="40"/>
        <v>5250</v>
      </c>
      <c r="P72" s="4">
        <v>117</v>
      </c>
      <c r="Q72" s="4">
        <v>146.25</v>
      </c>
      <c r="R72" s="49">
        <v>175.5</v>
      </c>
    </row>
    <row r="73" spans="1:18" x14ac:dyDescent="0.25">
      <c r="A73" s="31"/>
      <c r="B73" s="4" t="s">
        <v>2032</v>
      </c>
      <c r="C73" s="5">
        <v>1</v>
      </c>
      <c r="D73" s="7">
        <v>0</v>
      </c>
      <c r="E73" s="3">
        <f t="shared" si="41"/>
        <v>1</v>
      </c>
      <c r="F73" s="3" t="s">
        <v>867</v>
      </c>
      <c r="G73" s="77"/>
      <c r="H73" s="5" t="s">
        <v>1</v>
      </c>
      <c r="I73" s="78">
        <f t="shared" si="36"/>
        <v>0</v>
      </c>
      <c r="J73" s="110">
        <f t="shared" si="37"/>
        <v>75</v>
      </c>
      <c r="K73" s="4">
        <v>84</v>
      </c>
      <c r="L73" s="5" t="s">
        <v>1</v>
      </c>
      <c r="M73" s="80">
        <f t="shared" si="38"/>
        <v>84</v>
      </c>
      <c r="N73" s="78">
        <f t="shared" si="39"/>
        <v>6300</v>
      </c>
      <c r="O73" s="78">
        <f t="shared" si="40"/>
        <v>6300</v>
      </c>
      <c r="P73" s="4">
        <v>140.4</v>
      </c>
      <c r="Q73" s="4">
        <v>175.5</v>
      </c>
      <c r="R73" s="49">
        <v>210.6</v>
      </c>
    </row>
    <row r="74" spans="1:18" x14ac:dyDescent="0.25">
      <c r="A74" s="31"/>
      <c r="B74" s="4" t="s">
        <v>2031</v>
      </c>
      <c r="C74" s="5">
        <v>1</v>
      </c>
      <c r="D74" s="7">
        <v>0</v>
      </c>
      <c r="E74" s="3">
        <f t="shared" si="41"/>
        <v>1</v>
      </c>
      <c r="F74" s="3" t="s">
        <v>867</v>
      </c>
      <c r="G74" s="77"/>
      <c r="H74" s="5" t="s">
        <v>1</v>
      </c>
      <c r="I74" s="78">
        <f t="shared" si="36"/>
        <v>0</v>
      </c>
      <c r="J74" s="110">
        <f t="shared" si="37"/>
        <v>75</v>
      </c>
      <c r="K74" s="4">
        <v>98</v>
      </c>
      <c r="L74" s="5" t="s">
        <v>1</v>
      </c>
      <c r="M74" s="80">
        <f t="shared" si="38"/>
        <v>98</v>
      </c>
      <c r="N74" s="78">
        <f t="shared" si="39"/>
        <v>7350</v>
      </c>
      <c r="O74" s="78">
        <f t="shared" si="40"/>
        <v>7350</v>
      </c>
      <c r="P74" s="4">
        <v>0</v>
      </c>
      <c r="Q74" s="4">
        <v>0</v>
      </c>
      <c r="R74" s="49">
        <v>0</v>
      </c>
    </row>
    <row r="75" spans="1:18" x14ac:dyDescent="0.25">
      <c r="A75" s="31"/>
      <c r="B75" s="4" t="s">
        <v>2030</v>
      </c>
      <c r="C75" s="5">
        <v>1</v>
      </c>
      <c r="D75" s="7">
        <v>0</v>
      </c>
      <c r="E75" s="3">
        <f t="shared" si="41"/>
        <v>1</v>
      </c>
      <c r="F75" s="3" t="s">
        <v>867</v>
      </c>
      <c r="G75" s="77"/>
      <c r="H75" s="5" t="s">
        <v>1</v>
      </c>
      <c r="I75" s="78">
        <f t="shared" si="36"/>
        <v>0</v>
      </c>
      <c r="J75" s="110">
        <f t="shared" si="37"/>
        <v>75</v>
      </c>
      <c r="K75" s="4">
        <v>112</v>
      </c>
      <c r="L75" s="5" t="s">
        <v>1</v>
      </c>
      <c r="M75" s="80">
        <f t="shared" si="38"/>
        <v>112</v>
      </c>
      <c r="N75" s="78">
        <f t="shared" si="39"/>
        <v>8400</v>
      </c>
      <c r="O75" s="78">
        <f t="shared" si="40"/>
        <v>8400</v>
      </c>
      <c r="P75" s="4">
        <v>0</v>
      </c>
      <c r="Q75" s="4">
        <v>0</v>
      </c>
      <c r="R75" s="49">
        <v>0</v>
      </c>
    </row>
    <row r="76" spans="1:18" x14ac:dyDescent="0.25">
      <c r="A76" s="31"/>
      <c r="B76" s="4" t="s">
        <v>2029</v>
      </c>
      <c r="C76" s="5">
        <v>1</v>
      </c>
      <c r="D76" s="7">
        <v>0</v>
      </c>
      <c r="E76" s="3">
        <f t="shared" si="41"/>
        <v>1</v>
      </c>
      <c r="F76" s="3" t="s">
        <v>867</v>
      </c>
      <c r="G76" s="77"/>
      <c r="H76" s="5" t="s">
        <v>1</v>
      </c>
      <c r="I76" s="78">
        <f t="shared" si="36"/>
        <v>0</v>
      </c>
      <c r="J76" s="110">
        <f t="shared" si="37"/>
        <v>75</v>
      </c>
      <c r="K76" s="4">
        <v>126</v>
      </c>
      <c r="L76" s="5" t="s">
        <v>1</v>
      </c>
      <c r="M76" s="80">
        <f t="shared" si="38"/>
        <v>126</v>
      </c>
      <c r="N76" s="78">
        <f t="shared" si="39"/>
        <v>9450</v>
      </c>
      <c r="O76" s="78">
        <f t="shared" si="40"/>
        <v>9450</v>
      </c>
      <c r="P76" s="4">
        <v>0</v>
      </c>
      <c r="Q76" s="4">
        <v>0</v>
      </c>
      <c r="R76" s="49">
        <v>0</v>
      </c>
    </row>
    <row r="77" spans="1:18" x14ac:dyDescent="0.25">
      <c r="A77" s="31"/>
      <c r="B77" s="4" t="s">
        <v>2028</v>
      </c>
      <c r="C77" s="5">
        <v>1</v>
      </c>
      <c r="D77" s="7">
        <v>0</v>
      </c>
      <c r="E77" s="3">
        <f t="shared" si="41"/>
        <v>1</v>
      </c>
      <c r="F77" s="3" t="s">
        <v>867</v>
      </c>
      <c r="G77" s="77"/>
      <c r="H77" s="5" t="s">
        <v>1</v>
      </c>
      <c r="I77" s="78">
        <f t="shared" si="36"/>
        <v>0</v>
      </c>
      <c r="J77" s="110">
        <f t="shared" si="37"/>
        <v>75</v>
      </c>
      <c r="K77" s="4">
        <v>140</v>
      </c>
      <c r="L77" s="5" t="s">
        <v>1</v>
      </c>
      <c r="M77" s="80">
        <f t="shared" si="38"/>
        <v>140</v>
      </c>
      <c r="N77" s="78">
        <f t="shared" si="39"/>
        <v>10500</v>
      </c>
      <c r="O77" s="78">
        <f t="shared" si="40"/>
        <v>10500</v>
      </c>
      <c r="P77" s="4">
        <v>0</v>
      </c>
      <c r="Q77" s="4">
        <v>0</v>
      </c>
      <c r="R77" s="49">
        <v>0</v>
      </c>
    </row>
    <row r="78" spans="1:18" x14ac:dyDescent="0.25">
      <c r="A78" s="31"/>
      <c r="B78" s="4" t="s">
        <v>2027</v>
      </c>
      <c r="C78" s="5">
        <v>1</v>
      </c>
      <c r="D78" s="7">
        <v>0</v>
      </c>
      <c r="E78" s="3">
        <f t="shared" si="41"/>
        <v>1</v>
      </c>
      <c r="F78" s="3" t="s">
        <v>867</v>
      </c>
      <c r="G78" s="77"/>
      <c r="H78" s="5" t="s">
        <v>1</v>
      </c>
      <c r="I78" s="78">
        <f t="shared" si="36"/>
        <v>0</v>
      </c>
      <c r="J78" s="110">
        <f t="shared" si="37"/>
        <v>75</v>
      </c>
      <c r="K78" s="4">
        <v>154</v>
      </c>
      <c r="L78" s="5" t="s">
        <v>1</v>
      </c>
      <c r="M78" s="80">
        <f t="shared" si="38"/>
        <v>154</v>
      </c>
      <c r="N78" s="78">
        <f t="shared" si="39"/>
        <v>11550</v>
      </c>
      <c r="O78" s="78">
        <f t="shared" si="40"/>
        <v>11550</v>
      </c>
      <c r="P78" s="4">
        <v>0</v>
      </c>
      <c r="Q78" s="4">
        <v>0</v>
      </c>
      <c r="R78" s="49">
        <v>0</v>
      </c>
    </row>
    <row r="79" spans="1:18" x14ac:dyDescent="0.25">
      <c r="A79" s="31"/>
      <c r="B79" s="4" t="s">
        <v>2026</v>
      </c>
      <c r="C79" s="5">
        <v>1</v>
      </c>
      <c r="D79" s="7">
        <v>0</v>
      </c>
      <c r="E79" s="3">
        <f t="shared" si="41"/>
        <v>1</v>
      </c>
      <c r="F79" s="3" t="s">
        <v>867</v>
      </c>
      <c r="G79" s="77"/>
      <c r="H79" s="5" t="s">
        <v>1</v>
      </c>
      <c r="I79" s="78">
        <f t="shared" si="36"/>
        <v>0</v>
      </c>
      <c r="J79" s="110">
        <f t="shared" si="37"/>
        <v>75</v>
      </c>
      <c r="K79" s="4">
        <v>168</v>
      </c>
      <c r="L79" s="5" t="s">
        <v>1</v>
      </c>
      <c r="M79" s="80">
        <f t="shared" si="38"/>
        <v>168</v>
      </c>
      <c r="N79" s="78">
        <f t="shared" si="39"/>
        <v>12600</v>
      </c>
      <c r="O79" s="78">
        <f t="shared" si="40"/>
        <v>12600</v>
      </c>
      <c r="P79" s="4">
        <v>0</v>
      </c>
      <c r="Q79" s="4">
        <v>0</v>
      </c>
      <c r="R79" s="49">
        <v>0</v>
      </c>
    </row>
    <row r="80" spans="1:18" ht="15.75" thickBot="1" x14ac:dyDescent="0.3">
      <c r="A80" s="31"/>
      <c r="B80" s="258"/>
      <c r="C80" s="259">
        <v>1</v>
      </c>
      <c r="D80" s="259">
        <v>0</v>
      </c>
      <c r="E80" s="259">
        <f t="shared" si="41"/>
        <v>1</v>
      </c>
      <c r="F80" s="259" t="s">
        <v>867</v>
      </c>
      <c r="G80" s="259"/>
      <c r="H80" s="259" t="s">
        <v>1</v>
      </c>
      <c r="I80" s="259">
        <f t="shared" si="36"/>
        <v>0</v>
      </c>
      <c r="J80" s="259">
        <f t="shared" si="37"/>
        <v>75</v>
      </c>
      <c r="K80" s="259"/>
      <c r="L80" s="259" t="s">
        <v>1</v>
      </c>
      <c r="M80" s="259">
        <f t="shared" si="38"/>
        <v>0</v>
      </c>
      <c r="N80" s="259">
        <f t="shared" si="39"/>
        <v>0</v>
      </c>
      <c r="O80" s="259">
        <f t="shared" si="40"/>
        <v>0</v>
      </c>
      <c r="P80" s="259"/>
      <c r="Q80" s="259"/>
      <c r="R80" s="260"/>
    </row>
    <row r="81" spans="1:18" ht="15.75" thickBot="1" x14ac:dyDescent="0.3">
      <c r="A81" s="60"/>
      <c r="B81" s="145" t="s">
        <v>2025</v>
      </c>
      <c r="C81" s="5"/>
      <c r="D81" s="7"/>
      <c r="E81" s="3"/>
      <c r="F81" s="3"/>
      <c r="G81" s="9"/>
      <c r="H81" s="5"/>
      <c r="I81" s="9"/>
      <c r="J81" s="9"/>
      <c r="K81" s="15"/>
      <c r="L81" s="5"/>
      <c r="M81" s="15"/>
      <c r="N81" s="4"/>
      <c r="O81" s="4"/>
      <c r="P81" s="15"/>
      <c r="Q81" s="191"/>
      <c r="R81" s="190"/>
    </row>
    <row r="82" spans="1:18" x14ac:dyDescent="0.25">
      <c r="A82" s="31">
        <v>1</v>
      </c>
      <c r="B82" s="4" t="s">
        <v>2024</v>
      </c>
      <c r="C82" s="5">
        <v>1</v>
      </c>
      <c r="D82" s="7">
        <v>0</v>
      </c>
      <c r="E82" s="3">
        <f t="shared" ref="E82:E102" si="42">C82+(C82*D82)</f>
        <v>1</v>
      </c>
      <c r="F82" s="3" t="s">
        <v>867</v>
      </c>
      <c r="G82" s="77"/>
      <c r="H82" s="5" t="s">
        <v>1</v>
      </c>
      <c r="I82" s="78">
        <f t="shared" ref="I82:I102" si="43">IF(H82="C",(G82/100)*E82,IF(H82="M",(G82/1000)*E82,G82*E82))</f>
        <v>0</v>
      </c>
      <c r="J82" s="110">
        <f t="shared" ref="J82:J102" si="44">$O$4</f>
        <v>75</v>
      </c>
      <c r="K82" s="4">
        <v>16</v>
      </c>
      <c r="L82" s="5" t="s">
        <v>1</v>
      </c>
      <c r="M82" s="80">
        <f t="shared" ref="M82:M102" si="45">IF(L82="C",(K82/100)*E82,IF(L82="M",(K82/1000)*E82,K82*E82))</f>
        <v>16</v>
      </c>
      <c r="N82" s="78">
        <f t="shared" ref="N82:N102" si="46">M82*J82</f>
        <v>1200</v>
      </c>
      <c r="O82" s="78">
        <f t="shared" ref="O82:O102" si="47">N82+I82</f>
        <v>1200</v>
      </c>
      <c r="P82" s="4">
        <v>30</v>
      </c>
      <c r="Q82" s="4">
        <v>37.5</v>
      </c>
      <c r="R82" s="49">
        <v>45</v>
      </c>
    </row>
    <row r="83" spans="1:18" x14ac:dyDescent="0.25">
      <c r="A83" s="31"/>
      <c r="B83" s="4" t="s">
        <v>2023</v>
      </c>
      <c r="C83" s="5">
        <v>1</v>
      </c>
      <c r="D83" s="7">
        <v>0</v>
      </c>
      <c r="E83" s="3">
        <f t="shared" si="42"/>
        <v>1</v>
      </c>
      <c r="F83" s="3" t="s">
        <v>867</v>
      </c>
      <c r="G83" s="77"/>
      <c r="H83" s="5" t="s">
        <v>1</v>
      </c>
      <c r="I83" s="78">
        <f t="shared" si="43"/>
        <v>0</v>
      </c>
      <c r="J83" s="110">
        <f t="shared" si="44"/>
        <v>75</v>
      </c>
      <c r="K83" s="4">
        <v>32</v>
      </c>
      <c r="L83" s="5" t="s">
        <v>1</v>
      </c>
      <c r="M83" s="80">
        <f t="shared" si="45"/>
        <v>32</v>
      </c>
      <c r="N83" s="78">
        <f t="shared" si="46"/>
        <v>2400</v>
      </c>
      <c r="O83" s="78">
        <f t="shared" si="47"/>
        <v>2400</v>
      </c>
      <c r="P83" s="4">
        <v>54</v>
      </c>
      <c r="Q83" s="4">
        <v>67.5</v>
      </c>
      <c r="R83" s="49">
        <v>81</v>
      </c>
    </row>
    <row r="84" spans="1:18" x14ac:dyDescent="0.25">
      <c r="A84" s="60"/>
      <c r="B84" s="8" t="s">
        <v>2022</v>
      </c>
      <c r="C84" s="5">
        <v>1</v>
      </c>
      <c r="D84" s="7">
        <v>0</v>
      </c>
      <c r="E84" s="3">
        <f t="shared" si="42"/>
        <v>1</v>
      </c>
      <c r="F84" s="3" t="s">
        <v>867</v>
      </c>
      <c r="G84" s="77"/>
      <c r="H84" s="5" t="s">
        <v>1</v>
      </c>
      <c r="I84" s="78">
        <f t="shared" si="43"/>
        <v>0</v>
      </c>
      <c r="J84" s="110">
        <f t="shared" si="44"/>
        <v>75</v>
      </c>
      <c r="K84" s="4">
        <v>48</v>
      </c>
      <c r="L84" s="5" t="s">
        <v>1</v>
      </c>
      <c r="M84" s="80">
        <f t="shared" si="45"/>
        <v>48</v>
      </c>
      <c r="N84" s="78">
        <f t="shared" si="46"/>
        <v>3600</v>
      </c>
      <c r="O84" s="78">
        <f t="shared" si="47"/>
        <v>3600</v>
      </c>
      <c r="P84" s="4">
        <v>81</v>
      </c>
      <c r="Q84" s="4">
        <v>101.25</v>
      </c>
      <c r="R84" s="49">
        <v>121.5</v>
      </c>
    </row>
    <row r="85" spans="1:18" x14ac:dyDescent="0.25">
      <c r="A85" s="31"/>
      <c r="B85" s="4" t="s">
        <v>2021</v>
      </c>
      <c r="C85" s="5">
        <v>1</v>
      </c>
      <c r="D85" s="7">
        <v>0</v>
      </c>
      <c r="E85" s="3">
        <f t="shared" si="42"/>
        <v>1</v>
      </c>
      <c r="F85" s="3" t="s">
        <v>867</v>
      </c>
      <c r="G85" s="77"/>
      <c r="H85" s="5" t="s">
        <v>1</v>
      </c>
      <c r="I85" s="78">
        <f t="shared" si="43"/>
        <v>0</v>
      </c>
      <c r="J85" s="110">
        <f t="shared" si="44"/>
        <v>75</v>
      </c>
      <c r="K85" s="4">
        <v>64</v>
      </c>
      <c r="L85" s="5" t="s">
        <v>1</v>
      </c>
      <c r="M85" s="80">
        <f t="shared" si="45"/>
        <v>64</v>
      </c>
      <c r="N85" s="78">
        <f t="shared" si="46"/>
        <v>4800</v>
      </c>
      <c r="O85" s="78">
        <f t="shared" si="47"/>
        <v>4800</v>
      </c>
      <c r="P85" s="4">
        <v>108</v>
      </c>
      <c r="Q85" s="4">
        <v>135</v>
      </c>
      <c r="R85" s="49">
        <v>162</v>
      </c>
    </row>
    <row r="86" spans="1:18" x14ac:dyDescent="0.25">
      <c r="A86" s="31"/>
      <c r="B86" s="4" t="s">
        <v>2020</v>
      </c>
      <c r="C86" s="5">
        <v>1</v>
      </c>
      <c r="D86" s="7">
        <v>0</v>
      </c>
      <c r="E86" s="3">
        <f t="shared" si="42"/>
        <v>1</v>
      </c>
      <c r="F86" s="3" t="s">
        <v>867</v>
      </c>
      <c r="G86" s="77"/>
      <c r="H86" s="5" t="s">
        <v>1</v>
      </c>
      <c r="I86" s="78">
        <f t="shared" si="43"/>
        <v>0</v>
      </c>
      <c r="J86" s="110">
        <f t="shared" si="44"/>
        <v>75</v>
      </c>
      <c r="K86" s="4">
        <v>80</v>
      </c>
      <c r="L86" s="5" t="s">
        <v>1</v>
      </c>
      <c r="M86" s="80">
        <f t="shared" si="45"/>
        <v>80</v>
      </c>
      <c r="N86" s="78">
        <f t="shared" si="46"/>
        <v>6000</v>
      </c>
      <c r="O86" s="78">
        <f t="shared" si="47"/>
        <v>6000</v>
      </c>
      <c r="P86" s="4">
        <v>135</v>
      </c>
      <c r="Q86" s="4">
        <v>168.75</v>
      </c>
      <c r="R86" s="49">
        <v>202.5</v>
      </c>
    </row>
    <row r="87" spans="1:18" x14ac:dyDescent="0.25">
      <c r="A87" s="31"/>
      <c r="B87" s="4" t="s">
        <v>2019</v>
      </c>
      <c r="C87" s="5">
        <v>1</v>
      </c>
      <c r="D87" s="7">
        <v>0</v>
      </c>
      <c r="E87" s="3">
        <f t="shared" si="42"/>
        <v>1</v>
      </c>
      <c r="F87" s="3" t="s">
        <v>867</v>
      </c>
      <c r="G87" s="77"/>
      <c r="H87" s="5" t="s">
        <v>1</v>
      </c>
      <c r="I87" s="78">
        <f t="shared" si="43"/>
        <v>0</v>
      </c>
      <c r="J87" s="110">
        <f t="shared" si="44"/>
        <v>75</v>
      </c>
      <c r="K87" s="4">
        <v>96</v>
      </c>
      <c r="L87" s="5" t="s">
        <v>1</v>
      </c>
      <c r="M87" s="80">
        <f t="shared" si="45"/>
        <v>96</v>
      </c>
      <c r="N87" s="78">
        <f t="shared" si="46"/>
        <v>7200</v>
      </c>
      <c r="O87" s="78">
        <f t="shared" si="47"/>
        <v>7200</v>
      </c>
      <c r="P87" s="4">
        <v>162</v>
      </c>
      <c r="Q87" s="4">
        <v>202.5</v>
      </c>
      <c r="R87" s="49">
        <v>243</v>
      </c>
    </row>
    <row r="88" spans="1:18" x14ac:dyDescent="0.25">
      <c r="A88" s="31"/>
      <c r="B88" s="4" t="s">
        <v>2018</v>
      </c>
      <c r="C88" s="5">
        <v>1</v>
      </c>
      <c r="D88" s="7">
        <v>0</v>
      </c>
      <c r="E88" s="3">
        <f t="shared" si="42"/>
        <v>1</v>
      </c>
      <c r="F88" s="3" t="s">
        <v>867</v>
      </c>
      <c r="G88" s="77"/>
      <c r="H88" s="5" t="s">
        <v>1</v>
      </c>
      <c r="I88" s="78">
        <f t="shared" si="43"/>
        <v>0</v>
      </c>
      <c r="J88" s="110">
        <f t="shared" si="44"/>
        <v>75</v>
      </c>
      <c r="K88" s="4">
        <v>112</v>
      </c>
      <c r="L88" s="5" t="s">
        <v>1</v>
      </c>
      <c r="M88" s="80">
        <f t="shared" si="45"/>
        <v>112</v>
      </c>
      <c r="N88" s="78">
        <f t="shared" si="46"/>
        <v>8400</v>
      </c>
      <c r="O88" s="78">
        <f t="shared" si="47"/>
        <v>8400</v>
      </c>
      <c r="P88" s="4">
        <v>189</v>
      </c>
      <c r="Q88" s="4">
        <v>236.25</v>
      </c>
      <c r="R88" s="49">
        <v>283.5</v>
      </c>
    </row>
    <row r="89" spans="1:18" x14ac:dyDescent="0.25">
      <c r="A89" s="31"/>
      <c r="B89" s="4" t="s">
        <v>2017</v>
      </c>
      <c r="C89" s="5">
        <v>1</v>
      </c>
      <c r="D89" s="7">
        <v>0</v>
      </c>
      <c r="E89" s="3">
        <f t="shared" si="42"/>
        <v>1</v>
      </c>
      <c r="F89" s="3" t="s">
        <v>867</v>
      </c>
      <c r="G89" s="77"/>
      <c r="H89" s="5" t="s">
        <v>1</v>
      </c>
      <c r="I89" s="78">
        <f t="shared" si="43"/>
        <v>0</v>
      </c>
      <c r="J89" s="110">
        <f t="shared" si="44"/>
        <v>75</v>
      </c>
      <c r="K89" s="4">
        <v>128</v>
      </c>
      <c r="L89" s="5" t="s">
        <v>1</v>
      </c>
      <c r="M89" s="80">
        <f t="shared" si="45"/>
        <v>128</v>
      </c>
      <c r="N89" s="78">
        <f t="shared" si="46"/>
        <v>9600</v>
      </c>
      <c r="O89" s="78">
        <f t="shared" si="47"/>
        <v>9600</v>
      </c>
      <c r="P89" s="4">
        <v>216</v>
      </c>
      <c r="Q89" s="4">
        <v>270</v>
      </c>
      <c r="R89" s="49">
        <v>324</v>
      </c>
    </row>
    <row r="90" spans="1:18" x14ac:dyDescent="0.25">
      <c r="A90" s="31"/>
      <c r="B90" s="4" t="s">
        <v>2016</v>
      </c>
      <c r="C90" s="5">
        <v>1</v>
      </c>
      <c r="D90" s="7">
        <v>0</v>
      </c>
      <c r="E90" s="3">
        <f t="shared" si="42"/>
        <v>1</v>
      </c>
      <c r="F90" s="3" t="s">
        <v>867</v>
      </c>
      <c r="G90" s="77"/>
      <c r="H90" s="5" t="s">
        <v>1</v>
      </c>
      <c r="I90" s="78">
        <f t="shared" si="43"/>
        <v>0</v>
      </c>
      <c r="J90" s="110">
        <f t="shared" si="44"/>
        <v>75</v>
      </c>
      <c r="K90" s="4">
        <v>144</v>
      </c>
      <c r="L90" s="5" t="s">
        <v>1</v>
      </c>
      <c r="M90" s="80">
        <f t="shared" si="45"/>
        <v>144</v>
      </c>
      <c r="N90" s="78">
        <f t="shared" si="46"/>
        <v>10800</v>
      </c>
      <c r="O90" s="78">
        <f t="shared" si="47"/>
        <v>10800</v>
      </c>
      <c r="P90" s="4">
        <v>0</v>
      </c>
      <c r="Q90" s="4">
        <v>0</v>
      </c>
      <c r="R90" s="49">
        <v>0</v>
      </c>
    </row>
    <row r="91" spans="1:18" x14ac:dyDescent="0.25">
      <c r="A91" s="31"/>
      <c r="B91" s="4" t="s">
        <v>2015</v>
      </c>
      <c r="C91" s="5">
        <v>1</v>
      </c>
      <c r="D91" s="7">
        <v>0</v>
      </c>
      <c r="E91" s="3">
        <f t="shared" si="42"/>
        <v>1</v>
      </c>
      <c r="F91" s="3" t="s">
        <v>867</v>
      </c>
      <c r="G91" s="77"/>
      <c r="H91" s="5" t="s">
        <v>1</v>
      </c>
      <c r="I91" s="78">
        <f t="shared" si="43"/>
        <v>0</v>
      </c>
      <c r="J91" s="110">
        <f t="shared" si="44"/>
        <v>75</v>
      </c>
      <c r="K91" s="4">
        <v>160</v>
      </c>
      <c r="L91" s="5" t="s">
        <v>1</v>
      </c>
      <c r="M91" s="80">
        <f t="shared" si="45"/>
        <v>160</v>
      </c>
      <c r="N91" s="78">
        <f t="shared" si="46"/>
        <v>12000</v>
      </c>
      <c r="O91" s="78">
        <f t="shared" si="47"/>
        <v>12000</v>
      </c>
      <c r="P91" s="4">
        <v>0</v>
      </c>
      <c r="Q91" s="4">
        <v>0</v>
      </c>
      <c r="R91" s="49">
        <v>0</v>
      </c>
    </row>
    <row r="92" spans="1:18" x14ac:dyDescent="0.25">
      <c r="A92" s="31"/>
      <c r="B92" s="4" t="s">
        <v>2014</v>
      </c>
      <c r="C92" s="5">
        <v>1</v>
      </c>
      <c r="D92" s="7">
        <v>0</v>
      </c>
      <c r="E92" s="3">
        <f t="shared" si="42"/>
        <v>1</v>
      </c>
      <c r="F92" s="3" t="s">
        <v>867</v>
      </c>
      <c r="G92" s="77"/>
      <c r="H92" s="5" t="s">
        <v>1</v>
      </c>
      <c r="I92" s="78">
        <f t="shared" si="43"/>
        <v>0</v>
      </c>
      <c r="J92" s="110">
        <f t="shared" si="44"/>
        <v>75</v>
      </c>
      <c r="K92" s="4">
        <v>176</v>
      </c>
      <c r="L92" s="5" t="s">
        <v>1</v>
      </c>
      <c r="M92" s="80">
        <f t="shared" si="45"/>
        <v>176</v>
      </c>
      <c r="N92" s="78">
        <f t="shared" si="46"/>
        <v>13200</v>
      </c>
      <c r="O92" s="78">
        <f t="shared" si="47"/>
        <v>13200</v>
      </c>
      <c r="P92" s="4">
        <v>0</v>
      </c>
      <c r="Q92" s="4">
        <v>0</v>
      </c>
      <c r="R92" s="49">
        <v>0</v>
      </c>
    </row>
    <row r="93" spans="1:18" ht="15" customHeight="1" x14ac:dyDescent="0.25">
      <c r="A93" s="60"/>
      <c r="B93" s="8" t="s">
        <v>2013</v>
      </c>
      <c r="C93" s="5">
        <v>1</v>
      </c>
      <c r="D93" s="7">
        <v>0</v>
      </c>
      <c r="E93" s="3">
        <f t="shared" si="42"/>
        <v>1</v>
      </c>
      <c r="F93" s="3" t="s">
        <v>867</v>
      </c>
      <c r="G93" s="77"/>
      <c r="H93" s="5" t="s">
        <v>1</v>
      </c>
      <c r="I93" s="78">
        <f t="shared" si="43"/>
        <v>0</v>
      </c>
      <c r="J93" s="110">
        <f t="shared" si="44"/>
        <v>75</v>
      </c>
      <c r="K93" s="4">
        <v>192</v>
      </c>
      <c r="L93" s="5" t="s">
        <v>1</v>
      </c>
      <c r="M93" s="80">
        <f t="shared" si="45"/>
        <v>192</v>
      </c>
      <c r="N93" s="78">
        <f t="shared" si="46"/>
        <v>14400</v>
      </c>
      <c r="O93" s="78">
        <f t="shared" si="47"/>
        <v>14400</v>
      </c>
      <c r="P93" s="4">
        <v>0</v>
      </c>
      <c r="Q93" s="4">
        <v>0</v>
      </c>
      <c r="R93" s="49">
        <v>0</v>
      </c>
    </row>
    <row r="94" spans="1:18" x14ac:dyDescent="0.25">
      <c r="A94" s="31"/>
      <c r="B94" s="4" t="s">
        <v>2012</v>
      </c>
      <c r="C94" s="5">
        <v>1</v>
      </c>
      <c r="D94" s="7">
        <v>0</v>
      </c>
      <c r="E94" s="3">
        <f t="shared" si="42"/>
        <v>1</v>
      </c>
      <c r="F94" s="3" t="s">
        <v>867</v>
      </c>
      <c r="G94" s="77"/>
      <c r="H94" s="5" t="s">
        <v>1</v>
      </c>
      <c r="I94" s="78">
        <f t="shared" si="43"/>
        <v>0</v>
      </c>
      <c r="J94" s="110">
        <f t="shared" si="44"/>
        <v>75</v>
      </c>
      <c r="K94" s="4">
        <v>208</v>
      </c>
      <c r="L94" s="5" t="s">
        <v>1</v>
      </c>
      <c r="M94" s="80">
        <f t="shared" si="45"/>
        <v>208</v>
      </c>
      <c r="N94" s="78">
        <f t="shared" si="46"/>
        <v>15600</v>
      </c>
      <c r="O94" s="78">
        <f t="shared" si="47"/>
        <v>15600</v>
      </c>
      <c r="P94" s="4">
        <v>0</v>
      </c>
      <c r="Q94" s="4">
        <v>0</v>
      </c>
      <c r="R94" s="49">
        <v>0</v>
      </c>
    </row>
    <row r="95" spans="1:18" x14ac:dyDescent="0.25">
      <c r="A95" s="31"/>
      <c r="B95" s="4" t="s">
        <v>2011</v>
      </c>
      <c r="C95" s="5">
        <v>1</v>
      </c>
      <c r="D95" s="7">
        <v>0</v>
      </c>
      <c r="E95" s="3">
        <f t="shared" si="42"/>
        <v>1</v>
      </c>
      <c r="F95" s="3" t="s">
        <v>867</v>
      </c>
      <c r="G95" s="77"/>
      <c r="H95" s="5" t="s">
        <v>1</v>
      </c>
      <c r="I95" s="78">
        <f t="shared" si="43"/>
        <v>0</v>
      </c>
      <c r="J95" s="110">
        <f t="shared" si="44"/>
        <v>75</v>
      </c>
      <c r="K95" s="4">
        <v>224</v>
      </c>
      <c r="L95" s="5" t="s">
        <v>1</v>
      </c>
      <c r="M95" s="80">
        <f t="shared" si="45"/>
        <v>224</v>
      </c>
      <c r="N95" s="78">
        <f t="shared" si="46"/>
        <v>16800</v>
      </c>
      <c r="O95" s="78">
        <f t="shared" si="47"/>
        <v>16800</v>
      </c>
      <c r="P95" s="4">
        <v>0</v>
      </c>
      <c r="Q95" s="4">
        <v>0</v>
      </c>
      <c r="R95" s="49">
        <v>0</v>
      </c>
    </row>
    <row r="96" spans="1:18" x14ac:dyDescent="0.25">
      <c r="A96" s="31"/>
      <c r="B96" s="4" t="s">
        <v>2010</v>
      </c>
      <c r="C96" s="5">
        <v>1</v>
      </c>
      <c r="D96" s="7">
        <v>0</v>
      </c>
      <c r="E96" s="3">
        <f t="shared" si="42"/>
        <v>1</v>
      </c>
      <c r="F96" s="3" t="s">
        <v>867</v>
      </c>
      <c r="G96" s="77"/>
      <c r="H96" s="5" t="s">
        <v>1</v>
      </c>
      <c r="I96" s="78">
        <f t="shared" si="43"/>
        <v>0</v>
      </c>
      <c r="J96" s="110">
        <f t="shared" si="44"/>
        <v>75</v>
      </c>
      <c r="K96" s="4">
        <v>240</v>
      </c>
      <c r="L96" s="5" t="s">
        <v>1</v>
      </c>
      <c r="M96" s="80">
        <f t="shared" si="45"/>
        <v>240</v>
      </c>
      <c r="N96" s="78">
        <f t="shared" si="46"/>
        <v>18000</v>
      </c>
      <c r="O96" s="78">
        <f t="shared" si="47"/>
        <v>18000</v>
      </c>
      <c r="P96" s="4">
        <v>0</v>
      </c>
      <c r="Q96" s="4">
        <v>0</v>
      </c>
      <c r="R96" s="49">
        <v>0</v>
      </c>
    </row>
    <row r="97" spans="1:18" x14ac:dyDescent="0.25">
      <c r="A97" s="31"/>
      <c r="B97" s="4" t="s">
        <v>2009</v>
      </c>
      <c r="C97" s="5">
        <v>1</v>
      </c>
      <c r="D97" s="7">
        <v>0</v>
      </c>
      <c r="E97" s="3">
        <f t="shared" si="42"/>
        <v>1</v>
      </c>
      <c r="F97" s="3" t="s">
        <v>867</v>
      </c>
      <c r="G97" s="77"/>
      <c r="H97" s="5" t="s">
        <v>1</v>
      </c>
      <c r="I97" s="78">
        <f t="shared" si="43"/>
        <v>0</v>
      </c>
      <c r="J97" s="110">
        <f t="shared" si="44"/>
        <v>75</v>
      </c>
      <c r="K97" s="4">
        <v>256</v>
      </c>
      <c r="L97" s="5" t="s">
        <v>1</v>
      </c>
      <c r="M97" s="80">
        <f t="shared" si="45"/>
        <v>256</v>
      </c>
      <c r="N97" s="78">
        <f t="shared" si="46"/>
        <v>19200</v>
      </c>
      <c r="O97" s="78">
        <f t="shared" si="47"/>
        <v>19200</v>
      </c>
      <c r="P97" s="4">
        <v>0</v>
      </c>
      <c r="Q97" s="4">
        <v>0</v>
      </c>
      <c r="R97" s="49">
        <v>0</v>
      </c>
    </row>
    <row r="98" spans="1:18" x14ac:dyDescent="0.25">
      <c r="A98" s="31"/>
      <c r="B98" s="4" t="s">
        <v>2008</v>
      </c>
      <c r="C98" s="5">
        <v>1</v>
      </c>
      <c r="D98" s="7">
        <v>0</v>
      </c>
      <c r="E98" s="3">
        <f t="shared" si="42"/>
        <v>1</v>
      </c>
      <c r="F98" s="3" t="s">
        <v>867</v>
      </c>
      <c r="G98" s="77"/>
      <c r="H98" s="5" t="s">
        <v>1</v>
      </c>
      <c r="I98" s="78">
        <f t="shared" si="43"/>
        <v>0</v>
      </c>
      <c r="J98" s="110">
        <f t="shared" si="44"/>
        <v>75</v>
      </c>
      <c r="K98" s="4">
        <v>272</v>
      </c>
      <c r="L98" s="5" t="s">
        <v>1</v>
      </c>
      <c r="M98" s="80">
        <f t="shared" si="45"/>
        <v>272</v>
      </c>
      <c r="N98" s="78">
        <f t="shared" si="46"/>
        <v>20400</v>
      </c>
      <c r="O98" s="78">
        <f t="shared" si="47"/>
        <v>20400</v>
      </c>
      <c r="P98" s="4">
        <v>0</v>
      </c>
      <c r="Q98" s="4">
        <v>0</v>
      </c>
      <c r="R98" s="49">
        <v>0</v>
      </c>
    </row>
    <row r="99" spans="1:18" x14ac:dyDescent="0.25">
      <c r="A99" s="31"/>
      <c r="B99" s="4" t="s">
        <v>2007</v>
      </c>
      <c r="C99" s="5">
        <v>1</v>
      </c>
      <c r="D99" s="7">
        <v>0</v>
      </c>
      <c r="E99" s="3">
        <f t="shared" si="42"/>
        <v>1</v>
      </c>
      <c r="F99" s="3" t="s">
        <v>867</v>
      </c>
      <c r="G99" s="77"/>
      <c r="H99" s="5" t="s">
        <v>1</v>
      </c>
      <c r="I99" s="78">
        <f t="shared" si="43"/>
        <v>0</v>
      </c>
      <c r="J99" s="110">
        <f t="shared" si="44"/>
        <v>75</v>
      </c>
      <c r="K99" s="4">
        <v>288</v>
      </c>
      <c r="L99" s="5" t="s">
        <v>1</v>
      </c>
      <c r="M99" s="80">
        <f t="shared" si="45"/>
        <v>288</v>
      </c>
      <c r="N99" s="78">
        <f t="shared" si="46"/>
        <v>21600</v>
      </c>
      <c r="O99" s="78">
        <f t="shared" si="47"/>
        <v>21600</v>
      </c>
      <c r="P99" s="4">
        <v>0</v>
      </c>
      <c r="Q99" s="4">
        <v>0</v>
      </c>
      <c r="R99" s="49">
        <v>0</v>
      </c>
    </row>
    <row r="100" spans="1:18" x14ac:dyDescent="0.25">
      <c r="A100" s="31"/>
      <c r="B100" s="4" t="s">
        <v>2006</v>
      </c>
      <c r="C100" s="5">
        <v>1</v>
      </c>
      <c r="D100" s="7">
        <v>0</v>
      </c>
      <c r="E100" s="3">
        <f t="shared" si="42"/>
        <v>1</v>
      </c>
      <c r="F100" s="3" t="s">
        <v>867</v>
      </c>
      <c r="G100" s="77"/>
      <c r="H100" s="5" t="s">
        <v>1</v>
      </c>
      <c r="I100" s="78">
        <f t="shared" si="43"/>
        <v>0</v>
      </c>
      <c r="J100" s="110">
        <f t="shared" si="44"/>
        <v>75</v>
      </c>
      <c r="K100" s="4">
        <v>304</v>
      </c>
      <c r="L100" s="5" t="s">
        <v>1</v>
      </c>
      <c r="M100" s="80">
        <f t="shared" si="45"/>
        <v>304</v>
      </c>
      <c r="N100" s="78">
        <f t="shared" si="46"/>
        <v>22800</v>
      </c>
      <c r="O100" s="78">
        <f t="shared" si="47"/>
        <v>22800</v>
      </c>
      <c r="P100" s="4">
        <v>0</v>
      </c>
      <c r="Q100" s="4">
        <v>0</v>
      </c>
      <c r="R100" s="49">
        <v>0</v>
      </c>
    </row>
    <row r="101" spans="1:18" x14ac:dyDescent="0.25">
      <c r="A101" s="31"/>
      <c r="B101" s="4" t="s">
        <v>2005</v>
      </c>
      <c r="C101" s="5">
        <v>1</v>
      </c>
      <c r="D101" s="7">
        <v>0</v>
      </c>
      <c r="E101" s="3">
        <f t="shared" si="42"/>
        <v>1</v>
      </c>
      <c r="F101" s="3" t="s">
        <v>867</v>
      </c>
      <c r="G101" s="77"/>
      <c r="H101" s="5" t="s">
        <v>1</v>
      </c>
      <c r="I101" s="78">
        <f t="shared" si="43"/>
        <v>0</v>
      </c>
      <c r="J101" s="110">
        <f t="shared" si="44"/>
        <v>75</v>
      </c>
      <c r="K101" s="4">
        <v>320</v>
      </c>
      <c r="L101" s="5" t="s">
        <v>1</v>
      </c>
      <c r="M101" s="80">
        <f t="shared" si="45"/>
        <v>320</v>
      </c>
      <c r="N101" s="78">
        <f t="shared" si="46"/>
        <v>24000</v>
      </c>
      <c r="O101" s="78">
        <f t="shared" si="47"/>
        <v>24000</v>
      </c>
      <c r="P101" s="4">
        <v>0</v>
      </c>
      <c r="Q101" s="4">
        <v>0</v>
      </c>
      <c r="R101" s="49">
        <v>0</v>
      </c>
    </row>
    <row r="102" spans="1:18" ht="15.75" thickBot="1" x14ac:dyDescent="0.3">
      <c r="A102" s="31"/>
      <c r="B102" s="258"/>
      <c r="C102" s="259">
        <v>1</v>
      </c>
      <c r="D102" s="259">
        <v>0</v>
      </c>
      <c r="E102" s="259">
        <f t="shared" si="42"/>
        <v>1</v>
      </c>
      <c r="F102" s="259" t="s">
        <v>867</v>
      </c>
      <c r="G102" s="259"/>
      <c r="H102" s="259" t="s">
        <v>1</v>
      </c>
      <c r="I102" s="259">
        <f t="shared" si="43"/>
        <v>0</v>
      </c>
      <c r="J102" s="259">
        <f t="shared" si="44"/>
        <v>75</v>
      </c>
      <c r="K102" s="259"/>
      <c r="L102" s="259" t="s">
        <v>1</v>
      </c>
      <c r="M102" s="259">
        <f t="shared" si="45"/>
        <v>0</v>
      </c>
      <c r="N102" s="259">
        <f t="shared" si="46"/>
        <v>0</v>
      </c>
      <c r="O102" s="259">
        <f t="shared" si="47"/>
        <v>0</v>
      </c>
      <c r="P102" s="259"/>
      <c r="Q102" s="259"/>
      <c r="R102" s="260"/>
    </row>
    <row r="103" spans="1:18" ht="15.75" thickBot="1" x14ac:dyDescent="0.3">
      <c r="A103" s="60"/>
      <c r="B103" s="145" t="s">
        <v>2004</v>
      </c>
      <c r="C103" s="5"/>
      <c r="D103" s="7"/>
      <c r="E103" s="3"/>
      <c r="F103" s="3"/>
      <c r="G103" s="9"/>
      <c r="H103" s="5"/>
      <c r="I103" s="9"/>
      <c r="J103" s="9"/>
      <c r="K103" s="15"/>
      <c r="L103" s="5"/>
      <c r="M103" s="15"/>
      <c r="N103" s="4"/>
      <c r="O103" s="4"/>
      <c r="P103" s="15"/>
      <c r="Q103" s="191"/>
      <c r="R103" s="190"/>
    </row>
    <row r="104" spans="1:18" x14ac:dyDescent="0.25">
      <c r="A104" s="31">
        <v>1</v>
      </c>
      <c r="B104" s="4" t="s">
        <v>2003</v>
      </c>
      <c r="C104" s="5">
        <v>1</v>
      </c>
      <c r="D104" s="7">
        <v>0</v>
      </c>
      <c r="E104" s="3">
        <f t="shared" ref="E104:E124" si="48">C104+(C104*D104)</f>
        <v>1</v>
      </c>
      <c r="F104" s="3" t="s">
        <v>867</v>
      </c>
      <c r="G104" s="77"/>
      <c r="H104" s="5" t="s">
        <v>1</v>
      </c>
      <c r="I104" s="78">
        <f t="shared" ref="I104:I124" si="49">IF(H104="C",(G104/100)*E104,IF(H104="M",(G104/1000)*E104,G104*E104))</f>
        <v>0</v>
      </c>
      <c r="J104" s="110">
        <f t="shared" ref="J104:J124" si="50">$O$4</f>
        <v>75</v>
      </c>
      <c r="K104" s="4">
        <v>18</v>
      </c>
      <c r="L104" s="5" t="s">
        <v>1</v>
      </c>
      <c r="M104" s="80">
        <f t="shared" ref="M104:M124" si="51">IF(L104="C",(K104/100)*E104,IF(L104="M",(K104/1000)*E104,K104*E104))</f>
        <v>18</v>
      </c>
      <c r="N104" s="78">
        <f t="shared" ref="N104:N124" si="52">M104*J104</f>
        <v>1350</v>
      </c>
      <c r="O104" s="78">
        <f t="shared" ref="O104:O124" si="53">N104+I104</f>
        <v>1350</v>
      </c>
      <c r="P104" s="4">
        <v>34</v>
      </c>
      <c r="Q104" s="4">
        <v>42.5</v>
      </c>
      <c r="R104" s="49">
        <v>51</v>
      </c>
    </row>
    <row r="105" spans="1:18" x14ac:dyDescent="0.25">
      <c r="A105" s="31"/>
      <c r="B105" s="4" t="s">
        <v>2002</v>
      </c>
      <c r="C105" s="5">
        <v>1</v>
      </c>
      <c r="D105" s="7">
        <v>0</v>
      </c>
      <c r="E105" s="3">
        <f t="shared" si="48"/>
        <v>1</v>
      </c>
      <c r="F105" s="3" t="s">
        <v>867</v>
      </c>
      <c r="G105" s="77"/>
      <c r="H105" s="5" t="s">
        <v>1</v>
      </c>
      <c r="I105" s="78">
        <f t="shared" si="49"/>
        <v>0</v>
      </c>
      <c r="J105" s="110">
        <f t="shared" si="50"/>
        <v>75</v>
      </c>
      <c r="K105" s="4">
        <v>36</v>
      </c>
      <c r="L105" s="5" t="s">
        <v>1</v>
      </c>
      <c r="M105" s="80">
        <f t="shared" si="51"/>
        <v>36</v>
      </c>
      <c r="N105" s="78">
        <f t="shared" si="52"/>
        <v>2700</v>
      </c>
      <c r="O105" s="78">
        <f t="shared" si="53"/>
        <v>2700</v>
      </c>
      <c r="P105" s="4">
        <v>61.2</v>
      </c>
      <c r="Q105" s="4">
        <v>76.5</v>
      </c>
      <c r="R105" s="49">
        <v>91.8</v>
      </c>
    </row>
    <row r="106" spans="1:18" x14ac:dyDescent="0.25">
      <c r="A106" s="31"/>
      <c r="B106" s="4" t="s">
        <v>2001</v>
      </c>
      <c r="C106" s="5">
        <v>1</v>
      </c>
      <c r="D106" s="7">
        <v>0</v>
      </c>
      <c r="E106" s="3">
        <f t="shared" si="48"/>
        <v>1</v>
      </c>
      <c r="F106" s="3" t="s">
        <v>867</v>
      </c>
      <c r="G106" s="77"/>
      <c r="H106" s="5" t="s">
        <v>1</v>
      </c>
      <c r="I106" s="78">
        <f t="shared" si="49"/>
        <v>0</v>
      </c>
      <c r="J106" s="110">
        <f t="shared" si="50"/>
        <v>75</v>
      </c>
      <c r="K106" s="4">
        <v>54</v>
      </c>
      <c r="L106" s="5" t="s">
        <v>1</v>
      </c>
      <c r="M106" s="80">
        <f t="shared" si="51"/>
        <v>54</v>
      </c>
      <c r="N106" s="78">
        <f t="shared" si="52"/>
        <v>4050</v>
      </c>
      <c r="O106" s="78">
        <f t="shared" si="53"/>
        <v>4050</v>
      </c>
      <c r="P106" s="4">
        <v>91.8</v>
      </c>
      <c r="Q106" s="4">
        <v>114.75</v>
      </c>
      <c r="R106" s="49">
        <v>137.69999999999999</v>
      </c>
    </row>
    <row r="107" spans="1:18" x14ac:dyDescent="0.25">
      <c r="A107" s="31"/>
      <c r="B107" s="4" t="s">
        <v>2000</v>
      </c>
      <c r="C107" s="5">
        <v>1</v>
      </c>
      <c r="D107" s="7">
        <v>0</v>
      </c>
      <c r="E107" s="3">
        <f t="shared" si="48"/>
        <v>1</v>
      </c>
      <c r="F107" s="3" t="s">
        <v>867</v>
      </c>
      <c r="G107" s="77"/>
      <c r="H107" s="5" t="s">
        <v>1</v>
      </c>
      <c r="I107" s="78">
        <f t="shared" si="49"/>
        <v>0</v>
      </c>
      <c r="J107" s="110">
        <f t="shared" si="50"/>
        <v>75</v>
      </c>
      <c r="K107" s="4">
        <v>72</v>
      </c>
      <c r="L107" s="5" t="s">
        <v>1</v>
      </c>
      <c r="M107" s="80">
        <f t="shared" si="51"/>
        <v>72</v>
      </c>
      <c r="N107" s="78">
        <f t="shared" si="52"/>
        <v>5400</v>
      </c>
      <c r="O107" s="78">
        <f t="shared" si="53"/>
        <v>5400</v>
      </c>
      <c r="P107" s="4">
        <v>122.4</v>
      </c>
      <c r="Q107" s="4">
        <v>153</v>
      </c>
      <c r="R107" s="49">
        <v>183.6</v>
      </c>
    </row>
    <row r="108" spans="1:18" x14ac:dyDescent="0.25">
      <c r="A108" s="31"/>
      <c r="B108" s="4" t="s">
        <v>1999</v>
      </c>
      <c r="C108" s="5">
        <v>1</v>
      </c>
      <c r="D108" s="7">
        <v>0</v>
      </c>
      <c r="E108" s="3">
        <f t="shared" si="48"/>
        <v>1</v>
      </c>
      <c r="F108" s="3" t="s">
        <v>867</v>
      </c>
      <c r="G108" s="77"/>
      <c r="H108" s="5" t="s">
        <v>1</v>
      </c>
      <c r="I108" s="78">
        <f t="shared" si="49"/>
        <v>0</v>
      </c>
      <c r="J108" s="110">
        <f t="shared" si="50"/>
        <v>75</v>
      </c>
      <c r="K108" s="4">
        <v>90</v>
      </c>
      <c r="L108" s="5" t="s">
        <v>1</v>
      </c>
      <c r="M108" s="80">
        <f t="shared" si="51"/>
        <v>90</v>
      </c>
      <c r="N108" s="78">
        <f t="shared" si="52"/>
        <v>6750</v>
      </c>
      <c r="O108" s="78">
        <f t="shared" si="53"/>
        <v>6750</v>
      </c>
      <c r="P108" s="4">
        <v>153</v>
      </c>
      <c r="Q108" s="4">
        <v>191.25</v>
      </c>
      <c r="R108" s="49">
        <v>229.5</v>
      </c>
    </row>
    <row r="109" spans="1:18" x14ac:dyDescent="0.25">
      <c r="A109" s="31"/>
      <c r="B109" s="4" t="s">
        <v>1998</v>
      </c>
      <c r="C109" s="5">
        <v>1</v>
      </c>
      <c r="D109" s="7">
        <v>0</v>
      </c>
      <c r="E109" s="3">
        <f t="shared" si="48"/>
        <v>1</v>
      </c>
      <c r="F109" s="3" t="s">
        <v>867</v>
      </c>
      <c r="G109" s="77"/>
      <c r="H109" s="5" t="s">
        <v>1</v>
      </c>
      <c r="I109" s="78">
        <f t="shared" si="49"/>
        <v>0</v>
      </c>
      <c r="J109" s="110">
        <f t="shared" si="50"/>
        <v>75</v>
      </c>
      <c r="K109" s="4">
        <v>108</v>
      </c>
      <c r="L109" s="5" t="s">
        <v>1</v>
      </c>
      <c r="M109" s="80">
        <f t="shared" si="51"/>
        <v>108</v>
      </c>
      <c r="N109" s="78">
        <f t="shared" si="52"/>
        <v>8100</v>
      </c>
      <c r="O109" s="78">
        <f t="shared" si="53"/>
        <v>8100</v>
      </c>
      <c r="P109" s="4">
        <v>183.6</v>
      </c>
      <c r="Q109" s="4">
        <v>229.5</v>
      </c>
      <c r="R109" s="49">
        <v>275.39999999999998</v>
      </c>
    </row>
    <row r="110" spans="1:18" x14ac:dyDescent="0.25">
      <c r="A110" s="31"/>
      <c r="B110" s="4" t="s">
        <v>1997</v>
      </c>
      <c r="C110" s="5">
        <v>1</v>
      </c>
      <c r="D110" s="7">
        <v>0</v>
      </c>
      <c r="E110" s="3">
        <f t="shared" si="48"/>
        <v>1</v>
      </c>
      <c r="F110" s="3" t="s">
        <v>867</v>
      </c>
      <c r="G110" s="77"/>
      <c r="H110" s="5" t="s">
        <v>1</v>
      </c>
      <c r="I110" s="78">
        <f t="shared" si="49"/>
        <v>0</v>
      </c>
      <c r="J110" s="110">
        <f t="shared" si="50"/>
        <v>75</v>
      </c>
      <c r="K110" s="4">
        <v>126</v>
      </c>
      <c r="L110" s="5" t="s">
        <v>1</v>
      </c>
      <c r="M110" s="80">
        <f t="shared" si="51"/>
        <v>126</v>
      </c>
      <c r="N110" s="78">
        <f t="shared" si="52"/>
        <v>9450</v>
      </c>
      <c r="O110" s="78">
        <f t="shared" si="53"/>
        <v>9450</v>
      </c>
      <c r="P110" s="4">
        <v>214.2</v>
      </c>
      <c r="Q110" s="4">
        <v>267.75</v>
      </c>
      <c r="R110" s="49">
        <v>321.3</v>
      </c>
    </row>
    <row r="111" spans="1:18" x14ac:dyDescent="0.25">
      <c r="A111" s="31"/>
      <c r="B111" s="4" t="s">
        <v>1996</v>
      </c>
      <c r="C111" s="5">
        <v>1</v>
      </c>
      <c r="D111" s="7">
        <v>0</v>
      </c>
      <c r="E111" s="3">
        <f t="shared" si="48"/>
        <v>1</v>
      </c>
      <c r="F111" s="3" t="s">
        <v>867</v>
      </c>
      <c r="G111" s="77"/>
      <c r="H111" s="5" t="s">
        <v>1</v>
      </c>
      <c r="I111" s="78">
        <f t="shared" si="49"/>
        <v>0</v>
      </c>
      <c r="J111" s="110">
        <f t="shared" si="50"/>
        <v>75</v>
      </c>
      <c r="K111" s="4">
        <v>144</v>
      </c>
      <c r="L111" s="5" t="s">
        <v>1</v>
      </c>
      <c r="M111" s="80">
        <f t="shared" si="51"/>
        <v>144</v>
      </c>
      <c r="N111" s="78">
        <f t="shared" si="52"/>
        <v>10800</v>
      </c>
      <c r="O111" s="78">
        <f t="shared" si="53"/>
        <v>10800</v>
      </c>
      <c r="P111" s="4">
        <v>244.8</v>
      </c>
      <c r="Q111" s="4">
        <v>306</v>
      </c>
      <c r="R111" s="49">
        <v>367.2</v>
      </c>
    </row>
    <row r="112" spans="1:18" x14ac:dyDescent="0.25">
      <c r="A112" s="31"/>
      <c r="B112" s="4" t="s">
        <v>1995</v>
      </c>
      <c r="C112" s="5">
        <v>1</v>
      </c>
      <c r="D112" s="7">
        <v>0</v>
      </c>
      <c r="E112" s="3">
        <f t="shared" si="48"/>
        <v>1</v>
      </c>
      <c r="F112" s="3" t="s">
        <v>867</v>
      </c>
      <c r="G112" s="77"/>
      <c r="H112" s="5" t="s">
        <v>1</v>
      </c>
      <c r="I112" s="78">
        <f t="shared" si="49"/>
        <v>0</v>
      </c>
      <c r="J112" s="110">
        <f t="shared" si="50"/>
        <v>75</v>
      </c>
      <c r="K112" s="4">
        <v>162</v>
      </c>
      <c r="L112" s="5" t="s">
        <v>1</v>
      </c>
      <c r="M112" s="80">
        <f t="shared" si="51"/>
        <v>162</v>
      </c>
      <c r="N112" s="78">
        <f t="shared" si="52"/>
        <v>12150</v>
      </c>
      <c r="O112" s="78">
        <f t="shared" si="53"/>
        <v>12150</v>
      </c>
      <c r="P112" s="4">
        <v>275.39999999999998</v>
      </c>
      <c r="Q112" s="4">
        <v>344.25</v>
      </c>
      <c r="R112" s="49">
        <v>413.1</v>
      </c>
    </row>
    <row r="113" spans="1:18" x14ac:dyDescent="0.25">
      <c r="A113" s="31"/>
      <c r="B113" s="4" t="s">
        <v>1994</v>
      </c>
      <c r="C113" s="5">
        <v>1</v>
      </c>
      <c r="D113" s="7">
        <v>0</v>
      </c>
      <c r="E113" s="3">
        <f t="shared" si="48"/>
        <v>1</v>
      </c>
      <c r="F113" s="3" t="s">
        <v>867</v>
      </c>
      <c r="G113" s="77"/>
      <c r="H113" s="5" t="s">
        <v>1</v>
      </c>
      <c r="I113" s="78">
        <f t="shared" si="49"/>
        <v>0</v>
      </c>
      <c r="J113" s="110">
        <f t="shared" si="50"/>
        <v>75</v>
      </c>
      <c r="K113" s="4">
        <v>180</v>
      </c>
      <c r="L113" s="5" t="s">
        <v>1</v>
      </c>
      <c r="M113" s="80">
        <f t="shared" si="51"/>
        <v>180</v>
      </c>
      <c r="N113" s="78">
        <f t="shared" si="52"/>
        <v>13500</v>
      </c>
      <c r="O113" s="78">
        <f t="shared" si="53"/>
        <v>13500</v>
      </c>
      <c r="P113" s="4">
        <v>306</v>
      </c>
      <c r="Q113" s="4">
        <v>382.5</v>
      </c>
      <c r="R113" s="49">
        <v>459</v>
      </c>
    </row>
    <row r="114" spans="1:18" x14ac:dyDescent="0.25">
      <c r="A114" s="31"/>
      <c r="B114" s="4" t="s">
        <v>1993</v>
      </c>
      <c r="C114" s="5">
        <v>1</v>
      </c>
      <c r="D114" s="7">
        <v>0</v>
      </c>
      <c r="E114" s="3">
        <f t="shared" si="48"/>
        <v>1</v>
      </c>
      <c r="F114" s="3" t="s">
        <v>867</v>
      </c>
      <c r="G114" s="77"/>
      <c r="H114" s="5" t="s">
        <v>1</v>
      </c>
      <c r="I114" s="78">
        <f t="shared" si="49"/>
        <v>0</v>
      </c>
      <c r="J114" s="110">
        <f t="shared" si="50"/>
        <v>75</v>
      </c>
      <c r="K114" s="4">
        <v>198</v>
      </c>
      <c r="L114" s="5" t="s">
        <v>1</v>
      </c>
      <c r="M114" s="80">
        <f t="shared" si="51"/>
        <v>198</v>
      </c>
      <c r="N114" s="78">
        <f t="shared" si="52"/>
        <v>14850</v>
      </c>
      <c r="O114" s="78">
        <f t="shared" si="53"/>
        <v>14850</v>
      </c>
      <c r="P114" s="4">
        <v>0</v>
      </c>
      <c r="Q114" s="4">
        <v>0</v>
      </c>
      <c r="R114" s="49">
        <v>0</v>
      </c>
    </row>
    <row r="115" spans="1:18" x14ac:dyDescent="0.25">
      <c r="A115" s="31"/>
      <c r="B115" s="4" t="s">
        <v>1992</v>
      </c>
      <c r="C115" s="5">
        <v>1</v>
      </c>
      <c r="D115" s="7">
        <v>0</v>
      </c>
      <c r="E115" s="3">
        <f t="shared" si="48"/>
        <v>1</v>
      </c>
      <c r="F115" s="3" t="s">
        <v>867</v>
      </c>
      <c r="G115" s="77"/>
      <c r="H115" s="5" t="s">
        <v>1</v>
      </c>
      <c r="I115" s="78">
        <f t="shared" si="49"/>
        <v>0</v>
      </c>
      <c r="J115" s="110">
        <f t="shared" si="50"/>
        <v>75</v>
      </c>
      <c r="K115" s="4">
        <v>216</v>
      </c>
      <c r="L115" s="5" t="s">
        <v>1</v>
      </c>
      <c r="M115" s="80">
        <f t="shared" si="51"/>
        <v>216</v>
      </c>
      <c r="N115" s="78">
        <f t="shared" si="52"/>
        <v>16200</v>
      </c>
      <c r="O115" s="78">
        <f t="shared" si="53"/>
        <v>16200</v>
      </c>
      <c r="P115" s="4">
        <v>0</v>
      </c>
      <c r="Q115" s="4">
        <v>0</v>
      </c>
      <c r="R115" s="49">
        <v>0</v>
      </c>
    </row>
    <row r="116" spans="1:18" x14ac:dyDescent="0.25">
      <c r="A116" s="31"/>
      <c r="B116" s="4" t="s">
        <v>1991</v>
      </c>
      <c r="C116" s="5">
        <v>1</v>
      </c>
      <c r="D116" s="7">
        <v>0</v>
      </c>
      <c r="E116" s="3">
        <f t="shared" si="48"/>
        <v>1</v>
      </c>
      <c r="F116" s="3" t="s">
        <v>867</v>
      </c>
      <c r="G116" s="77"/>
      <c r="H116" s="5" t="s">
        <v>1</v>
      </c>
      <c r="I116" s="78">
        <f t="shared" si="49"/>
        <v>0</v>
      </c>
      <c r="J116" s="110">
        <f t="shared" si="50"/>
        <v>75</v>
      </c>
      <c r="K116" s="4">
        <v>234</v>
      </c>
      <c r="L116" s="5" t="s">
        <v>1</v>
      </c>
      <c r="M116" s="80">
        <f t="shared" si="51"/>
        <v>234</v>
      </c>
      <c r="N116" s="78">
        <f t="shared" si="52"/>
        <v>17550</v>
      </c>
      <c r="O116" s="78">
        <f t="shared" si="53"/>
        <v>17550</v>
      </c>
      <c r="P116" s="4">
        <v>0</v>
      </c>
      <c r="Q116" s="4">
        <v>0</v>
      </c>
      <c r="R116" s="49">
        <v>0</v>
      </c>
    </row>
    <row r="117" spans="1:18" x14ac:dyDescent="0.25">
      <c r="A117" s="31"/>
      <c r="B117" s="4" t="s">
        <v>1990</v>
      </c>
      <c r="C117" s="5">
        <v>1</v>
      </c>
      <c r="D117" s="7">
        <v>0</v>
      </c>
      <c r="E117" s="3">
        <f t="shared" si="48"/>
        <v>1</v>
      </c>
      <c r="F117" s="3" t="s">
        <v>867</v>
      </c>
      <c r="G117" s="77"/>
      <c r="H117" s="5" t="s">
        <v>1</v>
      </c>
      <c r="I117" s="78">
        <f t="shared" si="49"/>
        <v>0</v>
      </c>
      <c r="J117" s="110">
        <f t="shared" si="50"/>
        <v>75</v>
      </c>
      <c r="K117" s="4">
        <v>252</v>
      </c>
      <c r="L117" s="5" t="s">
        <v>1</v>
      </c>
      <c r="M117" s="80">
        <f t="shared" si="51"/>
        <v>252</v>
      </c>
      <c r="N117" s="78">
        <f t="shared" si="52"/>
        <v>18900</v>
      </c>
      <c r="O117" s="78">
        <f t="shared" si="53"/>
        <v>18900</v>
      </c>
      <c r="P117" s="4">
        <v>0</v>
      </c>
      <c r="Q117" s="4">
        <v>0</v>
      </c>
      <c r="R117" s="49">
        <v>0</v>
      </c>
    </row>
    <row r="118" spans="1:18" x14ac:dyDescent="0.25">
      <c r="A118" s="31"/>
      <c r="B118" s="4" t="s">
        <v>1989</v>
      </c>
      <c r="C118" s="5">
        <v>1</v>
      </c>
      <c r="D118" s="7">
        <v>0</v>
      </c>
      <c r="E118" s="3">
        <f t="shared" si="48"/>
        <v>1</v>
      </c>
      <c r="F118" s="3" t="s">
        <v>867</v>
      </c>
      <c r="G118" s="77"/>
      <c r="H118" s="5" t="s">
        <v>1</v>
      </c>
      <c r="I118" s="78">
        <f t="shared" si="49"/>
        <v>0</v>
      </c>
      <c r="J118" s="110">
        <f t="shared" si="50"/>
        <v>75</v>
      </c>
      <c r="K118" s="4">
        <v>270</v>
      </c>
      <c r="L118" s="5" t="s">
        <v>1</v>
      </c>
      <c r="M118" s="80">
        <f t="shared" si="51"/>
        <v>270</v>
      </c>
      <c r="N118" s="78">
        <f t="shared" si="52"/>
        <v>20250</v>
      </c>
      <c r="O118" s="78">
        <f t="shared" si="53"/>
        <v>20250</v>
      </c>
      <c r="P118" s="4">
        <v>0</v>
      </c>
      <c r="Q118" s="4">
        <v>0</v>
      </c>
      <c r="R118" s="49">
        <v>0</v>
      </c>
    </row>
    <row r="119" spans="1:18" x14ac:dyDescent="0.25">
      <c r="A119" s="31"/>
      <c r="B119" s="4" t="s">
        <v>1988</v>
      </c>
      <c r="C119" s="5">
        <v>1</v>
      </c>
      <c r="D119" s="7">
        <v>0</v>
      </c>
      <c r="E119" s="3">
        <f t="shared" si="48"/>
        <v>1</v>
      </c>
      <c r="F119" s="3" t="s">
        <v>867</v>
      </c>
      <c r="G119" s="77"/>
      <c r="H119" s="5" t="s">
        <v>1</v>
      </c>
      <c r="I119" s="78">
        <f t="shared" si="49"/>
        <v>0</v>
      </c>
      <c r="J119" s="110">
        <f t="shared" si="50"/>
        <v>75</v>
      </c>
      <c r="K119" s="4">
        <v>288</v>
      </c>
      <c r="L119" s="5" t="s">
        <v>1</v>
      </c>
      <c r="M119" s="80">
        <f t="shared" si="51"/>
        <v>288</v>
      </c>
      <c r="N119" s="78">
        <f t="shared" si="52"/>
        <v>21600</v>
      </c>
      <c r="O119" s="78">
        <f t="shared" si="53"/>
        <v>21600</v>
      </c>
      <c r="P119" s="4">
        <v>0</v>
      </c>
      <c r="Q119" s="4">
        <v>0</v>
      </c>
      <c r="R119" s="49">
        <v>0</v>
      </c>
    </row>
    <row r="120" spans="1:18" x14ac:dyDescent="0.25">
      <c r="A120" s="31"/>
      <c r="B120" s="4" t="s">
        <v>1987</v>
      </c>
      <c r="C120" s="5">
        <v>1</v>
      </c>
      <c r="D120" s="7">
        <v>0</v>
      </c>
      <c r="E120" s="3">
        <f t="shared" si="48"/>
        <v>1</v>
      </c>
      <c r="F120" s="3" t="s">
        <v>867</v>
      </c>
      <c r="G120" s="77"/>
      <c r="H120" s="5" t="s">
        <v>1</v>
      </c>
      <c r="I120" s="78">
        <f t="shared" si="49"/>
        <v>0</v>
      </c>
      <c r="J120" s="110">
        <f t="shared" si="50"/>
        <v>75</v>
      </c>
      <c r="K120" s="4">
        <v>306</v>
      </c>
      <c r="L120" s="5" t="s">
        <v>1</v>
      </c>
      <c r="M120" s="80">
        <f t="shared" si="51"/>
        <v>306</v>
      </c>
      <c r="N120" s="78">
        <f t="shared" si="52"/>
        <v>22950</v>
      </c>
      <c r="O120" s="78">
        <f t="shared" si="53"/>
        <v>22950</v>
      </c>
      <c r="P120" s="4">
        <v>0</v>
      </c>
      <c r="Q120" s="4">
        <v>0</v>
      </c>
      <c r="R120" s="49">
        <v>0</v>
      </c>
    </row>
    <row r="121" spans="1:18" x14ac:dyDescent="0.25">
      <c r="A121" s="31"/>
      <c r="B121" s="4" t="s">
        <v>1986</v>
      </c>
      <c r="C121" s="5">
        <v>1</v>
      </c>
      <c r="D121" s="7">
        <v>0</v>
      </c>
      <c r="E121" s="3">
        <f t="shared" si="48"/>
        <v>1</v>
      </c>
      <c r="F121" s="3" t="s">
        <v>867</v>
      </c>
      <c r="G121" s="77"/>
      <c r="H121" s="5" t="s">
        <v>1</v>
      </c>
      <c r="I121" s="78">
        <f t="shared" si="49"/>
        <v>0</v>
      </c>
      <c r="J121" s="110">
        <f t="shared" si="50"/>
        <v>75</v>
      </c>
      <c r="K121" s="4">
        <v>324</v>
      </c>
      <c r="L121" s="5" t="s">
        <v>1</v>
      </c>
      <c r="M121" s="80">
        <f t="shared" si="51"/>
        <v>324</v>
      </c>
      <c r="N121" s="78">
        <f t="shared" si="52"/>
        <v>24300</v>
      </c>
      <c r="O121" s="78">
        <f t="shared" si="53"/>
        <v>24300</v>
      </c>
      <c r="P121" s="4">
        <v>0</v>
      </c>
      <c r="Q121" s="4">
        <v>0</v>
      </c>
      <c r="R121" s="49">
        <v>0</v>
      </c>
    </row>
    <row r="122" spans="1:18" x14ac:dyDescent="0.25">
      <c r="A122" s="31"/>
      <c r="B122" s="4" t="s">
        <v>1985</v>
      </c>
      <c r="C122" s="5">
        <v>1</v>
      </c>
      <c r="D122" s="7">
        <v>0</v>
      </c>
      <c r="E122" s="3">
        <f t="shared" si="48"/>
        <v>1</v>
      </c>
      <c r="F122" s="3" t="s">
        <v>867</v>
      </c>
      <c r="G122" s="77"/>
      <c r="H122" s="5" t="s">
        <v>1</v>
      </c>
      <c r="I122" s="78">
        <f t="shared" si="49"/>
        <v>0</v>
      </c>
      <c r="J122" s="110">
        <f t="shared" si="50"/>
        <v>75</v>
      </c>
      <c r="K122" s="4">
        <v>342</v>
      </c>
      <c r="L122" s="5" t="s">
        <v>1</v>
      </c>
      <c r="M122" s="80">
        <f t="shared" si="51"/>
        <v>342</v>
      </c>
      <c r="N122" s="78">
        <f t="shared" si="52"/>
        <v>25650</v>
      </c>
      <c r="O122" s="78">
        <f t="shared" si="53"/>
        <v>25650</v>
      </c>
      <c r="P122" s="4">
        <v>0</v>
      </c>
      <c r="Q122" s="4">
        <v>0</v>
      </c>
      <c r="R122" s="49">
        <v>0</v>
      </c>
    </row>
    <row r="123" spans="1:18" x14ac:dyDescent="0.25">
      <c r="A123" s="31"/>
      <c r="B123" s="4" t="s">
        <v>1984</v>
      </c>
      <c r="C123" s="5">
        <v>1</v>
      </c>
      <c r="D123" s="7">
        <v>0</v>
      </c>
      <c r="E123" s="3">
        <f t="shared" si="48"/>
        <v>1</v>
      </c>
      <c r="F123" s="3" t="s">
        <v>867</v>
      </c>
      <c r="G123" s="77"/>
      <c r="H123" s="5" t="s">
        <v>1</v>
      </c>
      <c r="I123" s="78">
        <f t="shared" si="49"/>
        <v>0</v>
      </c>
      <c r="J123" s="110">
        <f t="shared" si="50"/>
        <v>75</v>
      </c>
      <c r="K123" s="4">
        <v>360</v>
      </c>
      <c r="L123" s="5" t="s">
        <v>1</v>
      </c>
      <c r="M123" s="80">
        <f t="shared" si="51"/>
        <v>360</v>
      </c>
      <c r="N123" s="78">
        <f t="shared" si="52"/>
        <v>27000</v>
      </c>
      <c r="O123" s="78">
        <f t="shared" si="53"/>
        <v>27000</v>
      </c>
      <c r="P123" s="4">
        <v>0</v>
      </c>
      <c r="Q123" s="4">
        <v>0</v>
      </c>
      <c r="R123" s="49">
        <v>0</v>
      </c>
    </row>
    <row r="124" spans="1:18" ht="15.75" thickBot="1" x14ac:dyDescent="0.3">
      <c r="A124" s="31"/>
      <c r="B124" s="258"/>
      <c r="C124" s="259">
        <v>1</v>
      </c>
      <c r="D124" s="259">
        <v>0</v>
      </c>
      <c r="E124" s="259">
        <f t="shared" si="48"/>
        <v>1</v>
      </c>
      <c r="F124" s="259" t="s">
        <v>867</v>
      </c>
      <c r="G124" s="259"/>
      <c r="H124" s="259" t="s">
        <v>1</v>
      </c>
      <c r="I124" s="259">
        <f t="shared" si="49"/>
        <v>0</v>
      </c>
      <c r="J124" s="259">
        <f t="shared" si="50"/>
        <v>75</v>
      </c>
      <c r="K124" s="259"/>
      <c r="L124" s="259" t="s">
        <v>1</v>
      </c>
      <c r="M124" s="259">
        <f t="shared" si="51"/>
        <v>0</v>
      </c>
      <c r="N124" s="259">
        <f t="shared" si="52"/>
        <v>0</v>
      </c>
      <c r="O124" s="259">
        <f t="shared" si="53"/>
        <v>0</v>
      </c>
      <c r="P124" s="259"/>
      <c r="Q124" s="259"/>
      <c r="R124" s="260"/>
    </row>
    <row r="125" spans="1:18" ht="15.75" thickBot="1" x14ac:dyDescent="0.3">
      <c r="A125" s="60"/>
      <c r="B125" s="145" t="s">
        <v>1983</v>
      </c>
      <c r="C125" s="5"/>
      <c r="D125" s="7"/>
      <c r="E125" s="3"/>
      <c r="F125" s="3"/>
      <c r="G125" s="9"/>
      <c r="H125" s="5"/>
      <c r="I125" s="9"/>
      <c r="J125" s="9"/>
      <c r="K125" s="15"/>
      <c r="L125" s="5"/>
      <c r="M125" s="15"/>
      <c r="N125" s="4"/>
      <c r="O125" s="4"/>
      <c r="P125" s="15"/>
      <c r="Q125" s="191"/>
      <c r="R125" s="190"/>
    </row>
    <row r="126" spans="1:18" x14ac:dyDescent="0.25">
      <c r="A126" s="31">
        <v>1</v>
      </c>
      <c r="B126" s="4" t="s">
        <v>1982</v>
      </c>
      <c r="C126" s="5">
        <v>1</v>
      </c>
      <c r="D126" s="7">
        <v>0</v>
      </c>
      <c r="E126" s="3">
        <f t="shared" ref="E126:E145" si="54">C126+(C126*D126)</f>
        <v>1</v>
      </c>
      <c r="F126" s="3" t="s">
        <v>867</v>
      </c>
      <c r="G126" s="77"/>
      <c r="H126" s="5" t="s">
        <v>1</v>
      </c>
      <c r="I126" s="78">
        <f t="shared" ref="I126:I145" si="55">IF(H126="C",(G126/100)*E126,IF(H126="M",(G126/1000)*E126,G126*E126))</f>
        <v>0</v>
      </c>
      <c r="J126" s="110">
        <f t="shared" ref="J126:J145" si="56">$O$4</f>
        <v>75</v>
      </c>
      <c r="K126" s="4">
        <v>22</v>
      </c>
      <c r="L126" s="5" t="s">
        <v>1</v>
      </c>
      <c r="M126" s="80">
        <f t="shared" ref="M126:M145" si="57">IF(L126="C",(K126/100)*E126,IF(L126="M",(K126/1000)*E126,K126*E126))</f>
        <v>22</v>
      </c>
      <c r="N126" s="78">
        <f t="shared" ref="N126:N145" si="58">M126*J126</f>
        <v>1650</v>
      </c>
      <c r="O126" s="78">
        <f t="shared" ref="O126:O145" si="59">N126+I126</f>
        <v>1650</v>
      </c>
      <c r="P126" s="4">
        <v>40</v>
      </c>
      <c r="Q126" s="4">
        <v>50</v>
      </c>
      <c r="R126" s="49">
        <v>60</v>
      </c>
    </row>
    <row r="127" spans="1:18" x14ac:dyDescent="0.25">
      <c r="A127" s="31"/>
      <c r="B127" s="4" t="s">
        <v>1262</v>
      </c>
      <c r="C127" s="5">
        <v>1</v>
      </c>
      <c r="D127" s="7">
        <v>0</v>
      </c>
      <c r="E127" s="3">
        <f t="shared" si="54"/>
        <v>1</v>
      </c>
      <c r="F127" s="3" t="s">
        <v>867</v>
      </c>
      <c r="G127" s="77"/>
      <c r="H127" s="5" t="s">
        <v>1</v>
      </c>
      <c r="I127" s="78">
        <f t="shared" si="55"/>
        <v>0</v>
      </c>
      <c r="J127" s="110">
        <f t="shared" si="56"/>
        <v>75</v>
      </c>
      <c r="K127" s="4">
        <v>44</v>
      </c>
      <c r="L127" s="5" t="s">
        <v>1</v>
      </c>
      <c r="M127" s="80">
        <f t="shared" si="57"/>
        <v>44</v>
      </c>
      <c r="N127" s="78">
        <f t="shared" si="58"/>
        <v>3300</v>
      </c>
      <c r="O127" s="78">
        <f t="shared" si="59"/>
        <v>3300</v>
      </c>
      <c r="P127" s="4">
        <v>72</v>
      </c>
      <c r="Q127" s="4">
        <v>90</v>
      </c>
      <c r="R127" s="49">
        <v>108</v>
      </c>
    </row>
    <row r="128" spans="1:18" x14ac:dyDescent="0.25">
      <c r="A128" s="31"/>
      <c r="B128" s="4" t="s">
        <v>1981</v>
      </c>
      <c r="C128" s="5">
        <v>1</v>
      </c>
      <c r="D128" s="7">
        <v>0</v>
      </c>
      <c r="E128" s="3">
        <f t="shared" si="54"/>
        <v>1</v>
      </c>
      <c r="F128" s="3" t="s">
        <v>867</v>
      </c>
      <c r="G128" s="77"/>
      <c r="H128" s="5" t="s">
        <v>1</v>
      </c>
      <c r="I128" s="78">
        <f t="shared" si="55"/>
        <v>0</v>
      </c>
      <c r="J128" s="110">
        <f t="shared" si="56"/>
        <v>75</v>
      </c>
      <c r="K128" s="4">
        <v>66</v>
      </c>
      <c r="L128" s="5" t="s">
        <v>1</v>
      </c>
      <c r="M128" s="80">
        <f t="shared" si="57"/>
        <v>66</v>
      </c>
      <c r="N128" s="78">
        <f t="shared" si="58"/>
        <v>4950</v>
      </c>
      <c r="O128" s="78">
        <f t="shared" si="59"/>
        <v>4950</v>
      </c>
      <c r="P128" s="4">
        <v>108</v>
      </c>
      <c r="Q128" s="4">
        <v>135</v>
      </c>
      <c r="R128" s="49">
        <v>162</v>
      </c>
    </row>
    <row r="129" spans="1:18" x14ac:dyDescent="0.25">
      <c r="A129" s="31"/>
      <c r="B129" s="4" t="s">
        <v>1980</v>
      </c>
      <c r="C129" s="5">
        <v>1</v>
      </c>
      <c r="D129" s="7">
        <v>0</v>
      </c>
      <c r="E129" s="3">
        <f t="shared" si="54"/>
        <v>1</v>
      </c>
      <c r="F129" s="3" t="s">
        <v>867</v>
      </c>
      <c r="G129" s="77"/>
      <c r="H129" s="5" t="s">
        <v>1</v>
      </c>
      <c r="I129" s="78">
        <f t="shared" si="55"/>
        <v>0</v>
      </c>
      <c r="J129" s="110">
        <f t="shared" si="56"/>
        <v>75</v>
      </c>
      <c r="K129" s="4">
        <v>88</v>
      </c>
      <c r="L129" s="5" t="s">
        <v>1</v>
      </c>
      <c r="M129" s="80">
        <f t="shared" si="57"/>
        <v>88</v>
      </c>
      <c r="N129" s="78">
        <f t="shared" si="58"/>
        <v>6600</v>
      </c>
      <c r="O129" s="78">
        <f t="shared" si="59"/>
        <v>6600</v>
      </c>
      <c r="P129" s="4">
        <v>144</v>
      </c>
      <c r="Q129" s="4">
        <v>180</v>
      </c>
      <c r="R129" s="49">
        <v>216</v>
      </c>
    </row>
    <row r="130" spans="1:18" x14ac:dyDescent="0.25">
      <c r="A130" s="31"/>
      <c r="B130" s="4" t="s">
        <v>1979</v>
      </c>
      <c r="C130" s="5">
        <v>1</v>
      </c>
      <c r="D130" s="7">
        <v>0</v>
      </c>
      <c r="E130" s="3">
        <f t="shared" si="54"/>
        <v>1</v>
      </c>
      <c r="F130" s="3" t="s">
        <v>867</v>
      </c>
      <c r="G130" s="77"/>
      <c r="H130" s="5" t="s">
        <v>1</v>
      </c>
      <c r="I130" s="78">
        <f t="shared" si="55"/>
        <v>0</v>
      </c>
      <c r="J130" s="110">
        <f t="shared" si="56"/>
        <v>75</v>
      </c>
      <c r="K130" s="4">
        <v>110</v>
      </c>
      <c r="L130" s="5" t="s">
        <v>1</v>
      </c>
      <c r="M130" s="80">
        <f t="shared" si="57"/>
        <v>110</v>
      </c>
      <c r="N130" s="78">
        <f t="shared" si="58"/>
        <v>8250</v>
      </c>
      <c r="O130" s="78">
        <f t="shared" si="59"/>
        <v>8250</v>
      </c>
      <c r="P130" s="4">
        <v>180</v>
      </c>
      <c r="Q130" s="4">
        <v>225</v>
      </c>
      <c r="R130" s="49">
        <v>270</v>
      </c>
    </row>
    <row r="131" spans="1:18" x14ac:dyDescent="0.25">
      <c r="A131" s="31"/>
      <c r="B131" s="4" t="s">
        <v>1978</v>
      </c>
      <c r="C131" s="5">
        <v>1</v>
      </c>
      <c r="D131" s="7">
        <v>0</v>
      </c>
      <c r="E131" s="3">
        <f t="shared" si="54"/>
        <v>1</v>
      </c>
      <c r="F131" s="3" t="s">
        <v>867</v>
      </c>
      <c r="G131" s="77"/>
      <c r="H131" s="5" t="s">
        <v>1</v>
      </c>
      <c r="I131" s="78">
        <f t="shared" si="55"/>
        <v>0</v>
      </c>
      <c r="J131" s="110">
        <f t="shared" si="56"/>
        <v>75</v>
      </c>
      <c r="K131" s="4">
        <v>132</v>
      </c>
      <c r="L131" s="5" t="s">
        <v>1</v>
      </c>
      <c r="M131" s="80">
        <f t="shared" si="57"/>
        <v>132</v>
      </c>
      <c r="N131" s="78">
        <f t="shared" si="58"/>
        <v>9900</v>
      </c>
      <c r="O131" s="78">
        <f t="shared" si="59"/>
        <v>9900</v>
      </c>
      <c r="P131" s="4">
        <v>216</v>
      </c>
      <c r="Q131" s="4">
        <v>270</v>
      </c>
      <c r="R131" s="49">
        <v>324</v>
      </c>
    </row>
    <row r="132" spans="1:18" x14ac:dyDescent="0.25">
      <c r="A132" s="31"/>
      <c r="B132" s="4" t="s">
        <v>1977</v>
      </c>
      <c r="C132" s="5">
        <v>1</v>
      </c>
      <c r="D132" s="7">
        <v>0</v>
      </c>
      <c r="E132" s="3">
        <f t="shared" si="54"/>
        <v>1</v>
      </c>
      <c r="F132" s="3" t="s">
        <v>867</v>
      </c>
      <c r="G132" s="77"/>
      <c r="H132" s="5" t="s">
        <v>1</v>
      </c>
      <c r="I132" s="78">
        <f t="shared" si="55"/>
        <v>0</v>
      </c>
      <c r="J132" s="110">
        <f t="shared" si="56"/>
        <v>75</v>
      </c>
      <c r="K132" s="4">
        <v>154</v>
      </c>
      <c r="L132" s="5" t="s">
        <v>1</v>
      </c>
      <c r="M132" s="80">
        <f t="shared" si="57"/>
        <v>154</v>
      </c>
      <c r="N132" s="78">
        <f t="shared" si="58"/>
        <v>11550</v>
      </c>
      <c r="O132" s="78">
        <f t="shared" si="59"/>
        <v>11550</v>
      </c>
      <c r="P132" s="4">
        <v>252</v>
      </c>
      <c r="Q132" s="4">
        <v>315</v>
      </c>
      <c r="R132" s="49">
        <v>378</v>
      </c>
    </row>
    <row r="133" spans="1:18" x14ac:dyDescent="0.25">
      <c r="A133" s="31"/>
      <c r="B133" s="4" t="s">
        <v>1976</v>
      </c>
      <c r="C133" s="5">
        <v>1</v>
      </c>
      <c r="D133" s="7">
        <v>0</v>
      </c>
      <c r="E133" s="3">
        <f t="shared" si="54"/>
        <v>1</v>
      </c>
      <c r="F133" s="3" t="s">
        <v>867</v>
      </c>
      <c r="G133" s="77"/>
      <c r="H133" s="5" t="s">
        <v>1</v>
      </c>
      <c r="I133" s="78">
        <f t="shared" si="55"/>
        <v>0</v>
      </c>
      <c r="J133" s="110">
        <f t="shared" si="56"/>
        <v>75</v>
      </c>
      <c r="K133" s="4">
        <v>176</v>
      </c>
      <c r="L133" s="5" t="s">
        <v>1</v>
      </c>
      <c r="M133" s="80">
        <f t="shared" si="57"/>
        <v>176</v>
      </c>
      <c r="N133" s="78">
        <f t="shared" si="58"/>
        <v>13200</v>
      </c>
      <c r="O133" s="78">
        <f t="shared" si="59"/>
        <v>13200</v>
      </c>
      <c r="P133" s="4">
        <v>288</v>
      </c>
      <c r="Q133" s="4">
        <v>360</v>
      </c>
      <c r="R133" s="49">
        <v>432</v>
      </c>
    </row>
    <row r="134" spans="1:18" x14ac:dyDescent="0.25">
      <c r="A134" s="31"/>
      <c r="B134" s="4" t="s">
        <v>1975</v>
      </c>
      <c r="C134" s="5">
        <v>1</v>
      </c>
      <c r="D134" s="7">
        <v>0</v>
      </c>
      <c r="E134" s="3">
        <f t="shared" si="54"/>
        <v>1</v>
      </c>
      <c r="F134" s="3" t="s">
        <v>867</v>
      </c>
      <c r="G134" s="77"/>
      <c r="H134" s="5" t="s">
        <v>1</v>
      </c>
      <c r="I134" s="78">
        <f t="shared" si="55"/>
        <v>0</v>
      </c>
      <c r="J134" s="110">
        <f t="shared" si="56"/>
        <v>75</v>
      </c>
      <c r="K134" s="4">
        <v>198</v>
      </c>
      <c r="L134" s="5" t="s">
        <v>1</v>
      </c>
      <c r="M134" s="80">
        <f t="shared" si="57"/>
        <v>198</v>
      </c>
      <c r="N134" s="78">
        <f t="shared" si="58"/>
        <v>14850</v>
      </c>
      <c r="O134" s="78">
        <f t="shared" si="59"/>
        <v>14850</v>
      </c>
      <c r="P134" s="4">
        <v>324</v>
      </c>
      <c r="Q134" s="4">
        <v>405</v>
      </c>
      <c r="R134" s="49">
        <v>486</v>
      </c>
    </row>
    <row r="135" spans="1:18" x14ac:dyDescent="0.25">
      <c r="A135" s="31"/>
      <c r="B135" s="4" t="s">
        <v>1974</v>
      </c>
      <c r="C135" s="5">
        <v>1</v>
      </c>
      <c r="D135" s="7">
        <v>0</v>
      </c>
      <c r="E135" s="3">
        <f t="shared" si="54"/>
        <v>1</v>
      </c>
      <c r="F135" s="3" t="s">
        <v>867</v>
      </c>
      <c r="G135" s="77"/>
      <c r="H135" s="5" t="s">
        <v>1</v>
      </c>
      <c r="I135" s="78">
        <f t="shared" si="55"/>
        <v>0</v>
      </c>
      <c r="J135" s="110">
        <f t="shared" si="56"/>
        <v>75</v>
      </c>
      <c r="K135" s="4">
        <v>220</v>
      </c>
      <c r="L135" s="5" t="s">
        <v>1</v>
      </c>
      <c r="M135" s="80">
        <f t="shared" si="57"/>
        <v>220</v>
      </c>
      <c r="N135" s="78">
        <f t="shared" si="58"/>
        <v>16500</v>
      </c>
      <c r="O135" s="78">
        <f t="shared" si="59"/>
        <v>16500</v>
      </c>
      <c r="P135" s="4">
        <v>360</v>
      </c>
      <c r="Q135" s="4">
        <v>450</v>
      </c>
      <c r="R135" s="49">
        <v>540</v>
      </c>
    </row>
    <row r="136" spans="1:18" x14ac:dyDescent="0.25">
      <c r="A136" s="31"/>
      <c r="B136" s="4" t="s">
        <v>1973</v>
      </c>
      <c r="C136" s="5">
        <v>1</v>
      </c>
      <c r="D136" s="7">
        <v>0</v>
      </c>
      <c r="E136" s="3">
        <f t="shared" si="54"/>
        <v>1</v>
      </c>
      <c r="F136" s="3" t="s">
        <v>867</v>
      </c>
      <c r="G136" s="77"/>
      <c r="H136" s="5" t="s">
        <v>1</v>
      </c>
      <c r="I136" s="78">
        <f t="shared" si="55"/>
        <v>0</v>
      </c>
      <c r="J136" s="110">
        <f t="shared" si="56"/>
        <v>75</v>
      </c>
      <c r="K136" s="4">
        <v>242</v>
      </c>
      <c r="L136" s="5" t="s">
        <v>1</v>
      </c>
      <c r="M136" s="80">
        <f t="shared" si="57"/>
        <v>242</v>
      </c>
      <c r="N136" s="78">
        <f t="shared" si="58"/>
        <v>18150</v>
      </c>
      <c r="O136" s="78">
        <f t="shared" si="59"/>
        <v>18150</v>
      </c>
      <c r="P136" s="4">
        <v>0</v>
      </c>
      <c r="Q136" s="4">
        <v>0</v>
      </c>
      <c r="R136" s="49">
        <v>0</v>
      </c>
    </row>
    <row r="137" spans="1:18" x14ac:dyDescent="0.25">
      <c r="A137" s="31"/>
      <c r="B137" s="4" t="s">
        <v>1972</v>
      </c>
      <c r="C137" s="5">
        <v>1</v>
      </c>
      <c r="D137" s="7">
        <v>0</v>
      </c>
      <c r="E137" s="3">
        <f t="shared" si="54"/>
        <v>1</v>
      </c>
      <c r="F137" s="3" t="s">
        <v>867</v>
      </c>
      <c r="G137" s="77"/>
      <c r="H137" s="5" t="s">
        <v>1</v>
      </c>
      <c r="I137" s="78">
        <f t="shared" si="55"/>
        <v>0</v>
      </c>
      <c r="J137" s="110">
        <f t="shared" si="56"/>
        <v>75</v>
      </c>
      <c r="K137" s="4">
        <v>264</v>
      </c>
      <c r="L137" s="5" t="s">
        <v>1</v>
      </c>
      <c r="M137" s="80">
        <f t="shared" si="57"/>
        <v>264</v>
      </c>
      <c r="N137" s="78">
        <f t="shared" si="58"/>
        <v>19800</v>
      </c>
      <c r="O137" s="78">
        <f t="shared" si="59"/>
        <v>19800</v>
      </c>
      <c r="P137" s="4">
        <v>0</v>
      </c>
      <c r="Q137" s="4">
        <v>0</v>
      </c>
      <c r="R137" s="49">
        <v>0</v>
      </c>
    </row>
    <row r="138" spans="1:18" x14ac:dyDescent="0.25">
      <c r="A138" s="31"/>
      <c r="B138" s="4" t="s">
        <v>1971</v>
      </c>
      <c r="C138" s="5">
        <v>1</v>
      </c>
      <c r="D138" s="7">
        <v>0</v>
      </c>
      <c r="E138" s="3">
        <f t="shared" si="54"/>
        <v>1</v>
      </c>
      <c r="F138" s="3" t="s">
        <v>867</v>
      </c>
      <c r="G138" s="77"/>
      <c r="H138" s="5" t="s">
        <v>1</v>
      </c>
      <c r="I138" s="78">
        <f t="shared" si="55"/>
        <v>0</v>
      </c>
      <c r="J138" s="110">
        <f t="shared" si="56"/>
        <v>75</v>
      </c>
      <c r="K138" s="4">
        <v>286</v>
      </c>
      <c r="L138" s="5" t="s">
        <v>1</v>
      </c>
      <c r="M138" s="80">
        <f t="shared" si="57"/>
        <v>286</v>
      </c>
      <c r="N138" s="78">
        <f t="shared" si="58"/>
        <v>21450</v>
      </c>
      <c r="O138" s="78">
        <f t="shared" si="59"/>
        <v>21450</v>
      </c>
      <c r="P138" s="4">
        <v>0</v>
      </c>
      <c r="Q138" s="4">
        <v>0</v>
      </c>
      <c r="R138" s="49">
        <v>0</v>
      </c>
    </row>
    <row r="139" spans="1:18" x14ac:dyDescent="0.25">
      <c r="A139" s="31"/>
      <c r="B139" s="4" t="s">
        <v>1970</v>
      </c>
      <c r="C139" s="5">
        <v>1</v>
      </c>
      <c r="D139" s="7">
        <v>0</v>
      </c>
      <c r="E139" s="3">
        <f t="shared" si="54"/>
        <v>1</v>
      </c>
      <c r="F139" s="3" t="s">
        <v>867</v>
      </c>
      <c r="G139" s="77"/>
      <c r="H139" s="5" t="s">
        <v>1</v>
      </c>
      <c r="I139" s="78">
        <f t="shared" si="55"/>
        <v>0</v>
      </c>
      <c r="J139" s="110">
        <f t="shared" si="56"/>
        <v>75</v>
      </c>
      <c r="K139" s="4">
        <v>308</v>
      </c>
      <c r="L139" s="5" t="s">
        <v>1</v>
      </c>
      <c r="M139" s="80">
        <f t="shared" si="57"/>
        <v>308</v>
      </c>
      <c r="N139" s="78">
        <f t="shared" si="58"/>
        <v>23100</v>
      </c>
      <c r="O139" s="78">
        <f t="shared" si="59"/>
        <v>23100</v>
      </c>
      <c r="P139" s="4">
        <v>0</v>
      </c>
      <c r="Q139" s="4">
        <v>0</v>
      </c>
      <c r="R139" s="49">
        <v>0</v>
      </c>
    </row>
    <row r="140" spans="1:18" x14ac:dyDescent="0.25">
      <c r="A140" s="31"/>
      <c r="B140" s="4" t="s">
        <v>1969</v>
      </c>
      <c r="C140" s="5">
        <v>1</v>
      </c>
      <c r="D140" s="7">
        <v>0</v>
      </c>
      <c r="E140" s="3">
        <f t="shared" si="54"/>
        <v>1</v>
      </c>
      <c r="F140" s="3" t="s">
        <v>867</v>
      </c>
      <c r="G140" s="77"/>
      <c r="H140" s="5" t="s">
        <v>1</v>
      </c>
      <c r="I140" s="78">
        <f t="shared" si="55"/>
        <v>0</v>
      </c>
      <c r="J140" s="110">
        <f t="shared" si="56"/>
        <v>75</v>
      </c>
      <c r="K140" s="4">
        <v>330</v>
      </c>
      <c r="L140" s="5" t="s">
        <v>1</v>
      </c>
      <c r="M140" s="80">
        <f t="shared" si="57"/>
        <v>330</v>
      </c>
      <c r="N140" s="78">
        <f t="shared" si="58"/>
        <v>24750</v>
      </c>
      <c r="O140" s="78">
        <f t="shared" si="59"/>
        <v>24750</v>
      </c>
      <c r="P140" s="4">
        <v>0</v>
      </c>
      <c r="Q140" s="4">
        <v>0</v>
      </c>
      <c r="R140" s="49">
        <v>0</v>
      </c>
    </row>
    <row r="141" spans="1:18" x14ac:dyDescent="0.25">
      <c r="A141" s="31"/>
      <c r="B141" s="4" t="s">
        <v>1968</v>
      </c>
      <c r="C141" s="5">
        <v>1</v>
      </c>
      <c r="D141" s="7">
        <v>0</v>
      </c>
      <c r="E141" s="3">
        <f t="shared" si="54"/>
        <v>1</v>
      </c>
      <c r="F141" s="3" t="s">
        <v>867</v>
      </c>
      <c r="G141" s="77"/>
      <c r="H141" s="5" t="s">
        <v>1</v>
      </c>
      <c r="I141" s="78">
        <f t="shared" si="55"/>
        <v>0</v>
      </c>
      <c r="J141" s="110">
        <f t="shared" si="56"/>
        <v>75</v>
      </c>
      <c r="K141" s="4">
        <v>352</v>
      </c>
      <c r="L141" s="5" t="s">
        <v>1</v>
      </c>
      <c r="M141" s="80">
        <f t="shared" si="57"/>
        <v>352</v>
      </c>
      <c r="N141" s="78">
        <f t="shared" si="58"/>
        <v>26400</v>
      </c>
      <c r="O141" s="78">
        <f t="shared" si="59"/>
        <v>26400</v>
      </c>
      <c r="P141" s="4">
        <v>0</v>
      </c>
      <c r="Q141" s="4">
        <v>0</v>
      </c>
      <c r="R141" s="49">
        <v>0</v>
      </c>
    </row>
    <row r="142" spans="1:18" x14ac:dyDescent="0.25">
      <c r="A142" s="31"/>
      <c r="B142" s="4" t="s">
        <v>1967</v>
      </c>
      <c r="C142" s="5">
        <v>1</v>
      </c>
      <c r="D142" s="7">
        <v>0</v>
      </c>
      <c r="E142" s="3">
        <f t="shared" si="54"/>
        <v>1</v>
      </c>
      <c r="F142" s="3" t="s">
        <v>867</v>
      </c>
      <c r="G142" s="77"/>
      <c r="H142" s="5" t="s">
        <v>1</v>
      </c>
      <c r="I142" s="78">
        <f t="shared" si="55"/>
        <v>0</v>
      </c>
      <c r="J142" s="110">
        <f t="shared" si="56"/>
        <v>75</v>
      </c>
      <c r="K142" s="4">
        <v>374</v>
      </c>
      <c r="L142" s="5" t="s">
        <v>1</v>
      </c>
      <c r="M142" s="80">
        <f t="shared" si="57"/>
        <v>374</v>
      </c>
      <c r="N142" s="78">
        <f t="shared" si="58"/>
        <v>28050</v>
      </c>
      <c r="O142" s="78">
        <f t="shared" si="59"/>
        <v>28050</v>
      </c>
      <c r="P142" s="4">
        <v>0</v>
      </c>
      <c r="Q142" s="4">
        <v>0</v>
      </c>
      <c r="R142" s="49">
        <v>0</v>
      </c>
    </row>
    <row r="143" spans="1:18" x14ac:dyDescent="0.25">
      <c r="A143" s="31"/>
      <c r="B143" s="4" t="s">
        <v>1966</v>
      </c>
      <c r="C143" s="5">
        <v>1</v>
      </c>
      <c r="D143" s="7">
        <v>0</v>
      </c>
      <c r="E143" s="3">
        <f t="shared" si="54"/>
        <v>1</v>
      </c>
      <c r="F143" s="3" t="s">
        <v>867</v>
      </c>
      <c r="G143" s="77"/>
      <c r="H143" s="5" t="s">
        <v>1</v>
      </c>
      <c r="I143" s="78">
        <f t="shared" si="55"/>
        <v>0</v>
      </c>
      <c r="J143" s="110">
        <f t="shared" si="56"/>
        <v>75</v>
      </c>
      <c r="K143" s="4">
        <v>396</v>
      </c>
      <c r="L143" s="5" t="s">
        <v>1</v>
      </c>
      <c r="M143" s="80">
        <f t="shared" si="57"/>
        <v>396</v>
      </c>
      <c r="N143" s="78">
        <f t="shared" si="58"/>
        <v>29700</v>
      </c>
      <c r="O143" s="78">
        <f t="shared" si="59"/>
        <v>29700</v>
      </c>
      <c r="P143" s="4">
        <v>0</v>
      </c>
      <c r="Q143" s="4">
        <v>0</v>
      </c>
      <c r="R143" s="49">
        <v>0</v>
      </c>
    </row>
    <row r="144" spans="1:18" x14ac:dyDescent="0.25">
      <c r="A144" s="31"/>
      <c r="B144" s="4" t="s">
        <v>1965</v>
      </c>
      <c r="C144" s="5">
        <v>1</v>
      </c>
      <c r="D144" s="7">
        <v>0</v>
      </c>
      <c r="E144" s="3">
        <f t="shared" si="54"/>
        <v>1</v>
      </c>
      <c r="F144" s="3" t="s">
        <v>867</v>
      </c>
      <c r="G144" s="77"/>
      <c r="H144" s="5" t="s">
        <v>1</v>
      </c>
      <c r="I144" s="78">
        <f t="shared" si="55"/>
        <v>0</v>
      </c>
      <c r="J144" s="110">
        <f t="shared" si="56"/>
        <v>75</v>
      </c>
      <c r="K144" s="4">
        <v>418</v>
      </c>
      <c r="L144" s="5" t="s">
        <v>1</v>
      </c>
      <c r="M144" s="80">
        <f t="shared" si="57"/>
        <v>418</v>
      </c>
      <c r="N144" s="78">
        <f t="shared" si="58"/>
        <v>31350</v>
      </c>
      <c r="O144" s="78">
        <f t="shared" si="59"/>
        <v>31350</v>
      </c>
      <c r="P144" s="4">
        <v>0</v>
      </c>
      <c r="Q144" s="4">
        <v>0</v>
      </c>
      <c r="R144" s="49">
        <v>0</v>
      </c>
    </row>
    <row r="145" spans="1:18" x14ac:dyDescent="0.25">
      <c r="A145" s="60"/>
      <c r="B145" s="8" t="s">
        <v>1964</v>
      </c>
      <c r="C145" s="5">
        <v>1</v>
      </c>
      <c r="D145" s="7">
        <v>0</v>
      </c>
      <c r="E145" s="3">
        <f t="shared" si="54"/>
        <v>1</v>
      </c>
      <c r="F145" s="3" t="s">
        <v>867</v>
      </c>
      <c r="G145" s="77"/>
      <c r="H145" s="5" t="s">
        <v>1</v>
      </c>
      <c r="I145" s="78">
        <f t="shared" si="55"/>
        <v>0</v>
      </c>
      <c r="J145" s="110">
        <f t="shared" si="56"/>
        <v>75</v>
      </c>
      <c r="K145" s="4">
        <v>440</v>
      </c>
      <c r="L145" s="5" t="s">
        <v>1</v>
      </c>
      <c r="M145" s="80">
        <f t="shared" si="57"/>
        <v>440</v>
      </c>
      <c r="N145" s="78">
        <f t="shared" si="58"/>
        <v>33000</v>
      </c>
      <c r="O145" s="78">
        <f t="shared" si="59"/>
        <v>33000</v>
      </c>
      <c r="P145" s="4">
        <v>0</v>
      </c>
      <c r="Q145" s="4">
        <v>0</v>
      </c>
      <c r="R145" s="49">
        <v>0</v>
      </c>
    </row>
    <row r="146" spans="1:18" ht="15.75" thickBot="1" x14ac:dyDescent="0.3">
      <c r="A146" s="33"/>
      <c r="B146" s="28"/>
      <c r="C146" s="29"/>
      <c r="D146" s="61"/>
      <c r="E146" s="62"/>
      <c r="F146" s="62"/>
      <c r="G146" s="34"/>
      <c r="H146" s="29"/>
      <c r="I146" s="34"/>
      <c r="J146" s="34"/>
      <c r="K146" s="45"/>
      <c r="L146" s="29"/>
      <c r="M146" s="45"/>
      <c r="N146" s="28"/>
      <c r="O146" s="28"/>
      <c r="P146" s="28"/>
      <c r="Q146" s="28"/>
      <c r="R146" s="52"/>
    </row>
  </sheetData>
  <mergeCells count="10">
    <mergeCell ref="B66:R66"/>
    <mergeCell ref="B80:R80"/>
    <mergeCell ref="B102:R102"/>
    <mergeCell ref="B124:R124"/>
    <mergeCell ref="M4:N4"/>
    <mergeCell ref="B14:R14"/>
    <mergeCell ref="B22:R22"/>
    <mergeCell ref="B30:R30"/>
    <mergeCell ref="B38:R38"/>
    <mergeCell ref="B52:R52"/>
  </mergeCells>
  <pageMargins left="0.7" right="0.7" top="0.75" bottom="0.75" header="0.3" footer="0.3"/>
  <pageSetup scale="4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E786-B6B8-4EFF-84D9-939E95BABCBB}">
  <sheetPr>
    <pageSetUpPr fitToPage="1"/>
  </sheetPr>
  <dimension ref="A3:R176"/>
  <sheetViews>
    <sheetView view="pageBreakPreview" zoomScale="90" zoomScaleNormal="85" zoomScaleSheetLayoutView="90" workbookViewId="0">
      <selection activeCell="A8" sqref="A8"/>
    </sheetView>
  </sheetViews>
  <sheetFormatPr defaultColWidth="9.140625" defaultRowHeight="15" x14ac:dyDescent="0.25"/>
  <cols>
    <col min="1" max="1" width="5.7109375" style="2" customWidth="1"/>
    <col min="2" max="2" width="60.28515625" style="1" customWidth="1"/>
    <col min="3" max="3" width="10" style="2" bestFit="1" customWidth="1"/>
    <col min="4" max="5" width="9.85546875" style="2" bestFit="1" customWidth="1"/>
    <col min="6" max="6" width="5.42578125" style="2" bestFit="1" customWidth="1"/>
    <col min="7" max="7" width="9.140625" style="10" bestFit="1" customWidth="1"/>
    <col min="8" max="8" width="5.28515625" style="2" bestFit="1" customWidth="1"/>
    <col min="9" max="9" width="10.42578125" style="10" bestFit="1" customWidth="1"/>
    <col min="10" max="10" width="7.42578125" style="10" bestFit="1" customWidth="1"/>
    <col min="11" max="11" width="7.42578125" style="46" bestFit="1" customWidth="1"/>
    <col min="12" max="12" width="5.85546875" style="2" bestFit="1" customWidth="1"/>
    <col min="13" max="13" width="7.28515625" style="46" bestFit="1" customWidth="1"/>
    <col min="14" max="15" width="9.28515625" style="1" bestFit="1" customWidth="1"/>
    <col min="16" max="16" width="7.5703125" style="1" bestFit="1" customWidth="1"/>
    <col min="17" max="18" width="8.140625" style="1" bestFit="1" customWidth="1"/>
    <col min="19" max="16384" width="9.140625" style="1"/>
  </cols>
  <sheetData>
    <row r="3" spans="1:18" ht="15.75" thickBot="1" x14ac:dyDescent="0.3"/>
    <row r="4" spans="1:18" ht="16.5" thickBot="1" x14ac:dyDescent="0.3">
      <c r="D4" s="1"/>
      <c r="E4" s="1"/>
      <c r="F4" s="1"/>
      <c r="I4" s="43"/>
      <c r="J4" s="1"/>
      <c r="K4" s="1"/>
      <c r="M4" s="253" t="s">
        <v>1199</v>
      </c>
      <c r="N4" s="254"/>
      <c r="O4" s="108">
        <v>75</v>
      </c>
    </row>
    <row r="5" spans="1:18" ht="41.1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285</v>
      </c>
      <c r="L5" s="82" t="s">
        <v>284</v>
      </c>
      <c r="M5" s="81" t="s">
        <v>286</v>
      </c>
      <c r="N5" s="83" t="s">
        <v>871</v>
      </c>
      <c r="O5" s="84" t="s">
        <v>872</v>
      </c>
      <c r="P5" s="84" t="s">
        <v>290</v>
      </c>
      <c r="Q5" s="84" t="s">
        <v>291</v>
      </c>
      <c r="R5" s="84" t="s">
        <v>292</v>
      </c>
    </row>
    <row r="6" spans="1:18" ht="15.75" thickBot="1" x14ac:dyDescent="0.3">
      <c r="A6" s="53"/>
      <c r="B6" s="54"/>
      <c r="C6" s="55"/>
      <c r="D6" s="55"/>
      <c r="E6" s="55"/>
      <c r="F6" s="55"/>
      <c r="G6" s="56"/>
      <c r="H6" s="56"/>
      <c r="I6" s="56"/>
      <c r="J6" s="56"/>
      <c r="K6" s="57"/>
      <c r="L6" s="55"/>
      <c r="M6" s="57"/>
      <c r="N6" s="56"/>
      <c r="O6" s="95"/>
      <c r="P6" s="193"/>
      <c r="Q6" s="193"/>
      <c r="R6" s="192"/>
    </row>
    <row r="7" spans="1:18" ht="15.75" thickBot="1" x14ac:dyDescent="0.3">
      <c r="A7" s="60"/>
      <c r="B7" s="145" t="s">
        <v>2250</v>
      </c>
      <c r="C7" s="5"/>
      <c r="D7" s="7"/>
      <c r="E7" s="3"/>
      <c r="F7" s="3"/>
      <c r="G7" s="9"/>
      <c r="H7" s="5"/>
      <c r="I7" s="9"/>
      <c r="J7" s="9"/>
      <c r="K7" s="15"/>
      <c r="L7" s="5"/>
      <c r="M7" s="15"/>
      <c r="N7" s="4"/>
      <c r="O7" s="4"/>
      <c r="P7" s="191"/>
      <c r="Q7" s="191"/>
      <c r="R7" s="190"/>
    </row>
    <row r="8" spans="1:18" x14ac:dyDescent="0.25">
      <c r="A8" s="31">
        <v>1</v>
      </c>
      <c r="B8" s="4" t="s">
        <v>2249</v>
      </c>
      <c r="C8" s="5">
        <v>1</v>
      </c>
      <c r="D8" s="7">
        <v>0</v>
      </c>
      <c r="E8" s="3">
        <f t="shared" ref="E8:E14" si="0">C8+(C8*D8)</f>
        <v>1</v>
      </c>
      <c r="F8" s="3" t="s">
        <v>867</v>
      </c>
      <c r="G8" s="77"/>
      <c r="H8" s="5" t="s">
        <v>1</v>
      </c>
      <c r="I8" s="78">
        <f t="shared" ref="I8:I14" si="1">IF(H8="C",(G8/100)*E8,IF(H8="M",(G8/1000)*E8,G8*E8))</f>
        <v>0</v>
      </c>
      <c r="J8" s="110">
        <f t="shared" ref="J8:J14" si="2">$O$4</f>
        <v>75</v>
      </c>
      <c r="K8" s="4">
        <v>4</v>
      </c>
      <c r="L8" s="5" t="s">
        <v>1</v>
      </c>
      <c r="M8" s="80">
        <f t="shared" ref="M8:M14" si="3">IF(L8="C",(K8/100)*E8,IF(L8="M",(K8/1000)*E8,K8*E8))</f>
        <v>4</v>
      </c>
      <c r="N8" s="78">
        <f t="shared" ref="N8:N14" si="4">M8*J8</f>
        <v>300</v>
      </c>
      <c r="O8" s="78">
        <f t="shared" ref="O8:O14" si="5">N8+I8</f>
        <v>300</v>
      </c>
      <c r="P8" s="4">
        <v>6</v>
      </c>
      <c r="Q8" s="4">
        <v>7.5</v>
      </c>
      <c r="R8" s="49">
        <v>9</v>
      </c>
    </row>
    <row r="9" spans="1:18" x14ac:dyDescent="0.25">
      <c r="A9" s="31"/>
      <c r="B9" s="4" t="s">
        <v>2248</v>
      </c>
      <c r="C9" s="5">
        <v>1</v>
      </c>
      <c r="D9" s="7">
        <v>0</v>
      </c>
      <c r="E9" s="3">
        <f t="shared" si="0"/>
        <v>1</v>
      </c>
      <c r="F9" s="3" t="s">
        <v>867</v>
      </c>
      <c r="G9" s="77"/>
      <c r="H9" s="5" t="s">
        <v>1</v>
      </c>
      <c r="I9" s="78">
        <f t="shared" si="1"/>
        <v>0</v>
      </c>
      <c r="J9" s="110">
        <f t="shared" si="2"/>
        <v>75</v>
      </c>
      <c r="K9" s="4">
        <v>8</v>
      </c>
      <c r="L9" s="5" t="s">
        <v>1</v>
      </c>
      <c r="M9" s="80">
        <f t="shared" si="3"/>
        <v>8</v>
      </c>
      <c r="N9" s="78">
        <f t="shared" si="4"/>
        <v>600</v>
      </c>
      <c r="O9" s="78">
        <f t="shared" si="5"/>
        <v>600</v>
      </c>
      <c r="P9" s="4">
        <v>12</v>
      </c>
      <c r="Q9" s="4">
        <v>15</v>
      </c>
      <c r="R9" s="49">
        <v>18</v>
      </c>
    </row>
    <row r="10" spans="1:18" x14ac:dyDescent="0.25">
      <c r="A10" s="31"/>
      <c r="B10" s="4" t="s">
        <v>2247</v>
      </c>
      <c r="C10" s="5">
        <v>1</v>
      </c>
      <c r="D10" s="7">
        <v>0</v>
      </c>
      <c r="E10" s="3">
        <f t="shared" si="0"/>
        <v>1</v>
      </c>
      <c r="F10" s="3" t="s">
        <v>867</v>
      </c>
      <c r="G10" s="77"/>
      <c r="H10" s="5" t="s">
        <v>1</v>
      </c>
      <c r="I10" s="78">
        <f t="shared" si="1"/>
        <v>0</v>
      </c>
      <c r="J10" s="110">
        <f t="shared" si="2"/>
        <v>75</v>
      </c>
      <c r="K10" s="4">
        <v>12</v>
      </c>
      <c r="L10" s="5" t="s">
        <v>1</v>
      </c>
      <c r="M10" s="80">
        <f t="shared" si="3"/>
        <v>12</v>
      </c>
      <c r="N10" s="78">
        <f t="shared" si="4"/>
        <v>900</v>
      </c>
      <c r="O10" s="78">
        <f t="shared" si="5"/>
        <v>900</v>
      </c>
      <c r="P10" s="4">
        <v>18</v>
      </c>
      <c r="Q10" s="4">
        <v>22.5</v>
      </c>
      <c r="R10" s="49">
        <v>27</v>
      </c>
    </row>
    <row r="11" spans="1:18" x14ac:dyDescent="0.25">
      <c r="A11" s="31"/>
      <c r="B11" s="4" t="s">
        <v>2246</v>
      </c>
      <c r="C11" s="5">
        <v>1</v>
      </c>
      <c r="D11" s="7">
        <v>0</v>
      </c>
      <c r="E11" s="3">
        <f t="shared" si="0"/>
        <v>1</v>
      </c>
      <c r="F11" s="3" t="s">
        <v>867</v>
      </c>
      <c r="G11" s="77"/>
      <c r="H11" s="5" t="s">
        <v>1</v>
      </c>
      <c r="I11" s="78">
        <f t="shared" si="1"/>
        <v>0</v>
      </c>
      <c r="J11" s="110">
        <f t="shared" si="2"/>
        <v>75</v>
      </c>
      <c r="K11" s="4">
        <v>16</v>
      </c>
      <c r="L11" s="5" t="s">
        <v>1</v>
      </c>
      <c r="M11" s="80">
        <f t="shared" si="3"/>
        <v>16</v>
      </c>
      <c r="N11" s="78">
        <f t="shared" si="4"/>
        <v>1200</v>
      </c>
      <c r="O11" s="78">
        <f t="shared" si="5"/>
        <v>1200</v>
      </c>
      <c r="P11" s="4">
        <v>0</v>
      </c>
      <c r="Q11" s="4">
        <v>0</v>
      </c>
      <c r="R11" s="49">
        <v>0</v>
      </c>
    </row>
    <row r="12" spans="1:18" x14ac:dyDescent="0.25">
      <c r="A12" s="31"/>
      <c r="B12" s="4" t="s">
        <v>2245</v>
      </c>
      <c r="C12" s="5">
        <v>1</v>
      </c>
      <c r="D12" s="7">
        <v>0</v>
      </c>
      <c r="E12" s="3">
        <f t="shared" si="0"/>
        <v>1</v>
      </c>
      <c r="F12" s="3" t="s">
        <v>867</v>
      </c>
      <c r="G12" s="77"/>
      <c r="H12" s="5" t="s">
        <v>1</v>
      </c>
      <c r="I12" s="78">
        <f t="shared" si="1"/>
        <v>0</v>
      </c>
      <c r="J12" s="110">
        <f t="shared" si="2"/>
        <v>75</v>
      </c>
      <c r="K12" s="4">
        <v>20</v>
      </c>
      <c r="L12" s="5" t="s">
        <v>1</v>
      </c>
      <c r="M12" s="80">
        <f t="shared" si="3"/>
        <v>20</v>
      </c>
      <c r="N12" s="78">
        <f t="shared" si="4"/>
        <v>1500</v>
      </c>
      <c r="O12" s="78">
        <f t="shared" si="5"/>
        <v>1500</v>
      </c>
      <c r="P12" s="4">
        <v>0</v>
      </c>
      <c r="Q12" s="4">
        <v>0</v>
      </c>
      <c r="R12" s="49">
        <v>0</v>
      </c>
    </row>
    <row r="13" spans="1:18" x14ac:dyDescent="0.25">
      <c r="A13" s="31"/>
      <c r="B13" s="4" t="s">
        <v>2244</v>
      </c>
      <c r="C13" s="5">
        <v>1</v>
      </c>
      <c r="D13" s="7">
        <v>0</v>
      </c>
      <c r="E13" s="3">
        <f t="shared" si="0"/>
        <v>1</v>
      </c>
      <c r="F13" s="3" t="s">
        <v>867</v>
      </c>
      <c r="G13" s="77"/>
      <c r="H13" s="5" t="s">
        <v>1</v>
      </c>
      <c r="I13" s="78">
        <f t="shared" si="1"/>
        <v>0</v>
      </c>
      <c r="J13" s="110">
        <f t="shared" si="2"/>
        <v>75</v>
      </c>
      <c r="K13" s="4">
        <v>24</v>
      </c>
      <c r="L13" s="5" t="s">
        <v>1</v>
      </c>
      <c r="M13" s="80">
        <f t="shared" si="3"/>
        <v>24</v>
      </c>
      <c r="N13" s="78">
        <f t="shared" si="4"/>
        <v>1800</v>
      </c>
      <c r="O13" s="78">
        <f t="shared" si="5"/>
        <v>1800</v>
      </c>
      <c r="P13" s="4">
        <v>0</v>
      </c>
      <c r="Q13" s="4">
        <v>0</v>
      </c>
      <c r="R13" s="49">
        <v>0</v>
      </c>
    </row>
    <row r="14" spans="1:18" ht="15.75" thickBot="1" x14ac:dyDescent="0.3">
      <c r="A14" s="31"/>
      <c r="B14" s="258"/>
      <c r="C14" s="259">
        <v>1</v>
      </c>
      <c r="D14" s="259">
        <v>0</v>
      </c>
      <c r="E14" s="259">
        <f t="shared" si="0"/>
        <v>1</v>
      </c>
      <c r="F14" s="259" t="s">
        <v>867</v>
      </c>
      <c r="G14" s="259"/>
      <c r="H14" s="259" t="s">
        <v>1</v>
      </c>
      <c r="I14" s="259">
        <f t="shared" si="1"/>
        <v>0</v>
      </c>
      <c r="J14" s="259">
        <f t="shared" si="2"/>
        <v>75</v>
      </c>
      <c r="K14" s="259"/>
      <c r="L14" s="259" t="s">
        <v>1</v>
      </c>
      <c r="M14" s="259">
        <f t="shared" si="3"/>
        <v>0</v>
      </c>
      <c r="N14" s="259">
        <f t="shared" si="4"/>
        <v>0</v>
      </c>
      <c r="O14" s="259">
        <f t="shared" si="5"/>
        <v>0</v>
      </c>
      <c r="P14" s="259"/>
      <c r="Q14" s="259"/>
      <c r="R14" s="260"/>
    </row>
    <row r="15" spans="1:18" ht="15.75" thickBot="1" x14ac:dyDescent="0.3">
      <c r="A15" s="60"/>
      <c r="B15" s="145" t="s">
        <v>2243</v>
      </c>
      <c r="C15" s="5"/>
      <c r="D15" s="7"/>
      <c r="E15" s="3"/>
      <c r="F15" s="3"/>
      <c r="G15" s="9"/>
      <c r="H15" s="5"/>
      <c r="I15" s="9"/>
      <c r="J15" s="9"/>
      <c r="K15" s="15"/>
      <c r="L15" s="5"/>
      <c r="M15" s="15"/>
      <c r="N15" s="4"/>
      <c r="O15" s="4"/>
      <c r="P15" s="191"/>
      <c r="Q15" s="191"/>
      <c r="R15" s="190"/>
    </row>
    <row r="16" spans="1:18" x14ac:dyDescent="0.25">
      <c r="A16" s="31">
        <v>1</v>
      </c>
      <c r="B16" s="4" t="s">
        <v>2242</v>
      </c>
      <c r="C16" s="5">
        <v>1</v>
      </c>
      <c r="D16" s="7">
        <v>0</v>
      </c>
      <c r="E16" s="3">
        <f t="shared" ref="E16:E22" si="6">C16+(C16*D16)</f>
        <v>1</v>
      </c>
      <c r="F16" s="3" t="s">
        <v>867</v>
      </c>
      <c r="G16" s="77"/>
      <c r="H16" s="5" t="s">
        <v>1</v>
      </c>
      <c r="I16" s="78">
        <f t="shared" ref="I16:I22" si="7">IF(H16="C",(G16/100)*E16,IF(H16="M",(G16/1000)*E16,G16*E16))</f>
        <v>0</v>
      </c>
      <c r="J16" s="110">
        <f t="shared" ref="J16:J22" si="8">$O$4</f>
        <v>75</v>
      </c>
      <c r="K16" s="4">
        <v>5</v>
      </c>
      <c r="L16" s="5" t="s">
        <v>1</v>
      </c>
      <c r="M16" s="80">
        <f t="shared" ref="M16:M22" si="9">IF(L16="C",(K16/100)*E16,IF(L16="M",(K16/1000)*E16,K16*E16))</f>
        <v>5</v>
      </c>
      <c r="N16" s="78">
        <f t="shared" ref="N16:N22" si="10">M16*J16</f>
        <v>375</v>
      </c>
      <c r="O16" s="78">
        <f t="shared" ref="O16:O22" si="11">N16+I16</f>
        <v>375</v>
      </c>
      <c r="P16" s="4">
        <v>6</v>
      </c>
      <c r="Q16" s="4">
        <v>7.5</v>
      </c>
      <c r="R16" s="49">
        <v>9</v>
      </c>
    </row>
    <row r="17" spans="1:18" x14ac:dyDescent="0.25">
      <c r="A17" s="31"/>
      <c r="B17" s="4" t="s">
        <v>2241</v>
      </c>
      <c r="C17" s="5">
        <v>1</v>
      </c>
      <c r="D17" s="7">
        <v>0</v>
      </c>
      <c r="E17" s="3">
        <f t="shared" si="6"/>
        <v>1</v>
      </c>
      <c r="F17" s="3" t="s">
        <v>867</v>
      </c>
      <c r="G17" s="77"/>
      <c r="H17" s="5" t="s">
        <v>1</v>
      </c>
      <c r="I17" s="78">
        <f t="shared" si="7"/>
        <v>0</v>
      </c>
      <c r="J17" s="110">
        <f t="shared" si="8"/>
        <v>75</v>
      </c>
      <c r="K17" s="4">
        <v>10</v>
      </c>
      <c r="L17" s="5" t="s">
        <v>1</v>
      </c>
      <c r="M17" s="80">
        <f t="shared" si="9"/>
        <v>10</v>
      </c>
      <c r="N17" s="78">
        <f t="shared" si="10"/>
        <v>750</v>
      </c>
      <c r="O17" s="78">
        <f t="shared" si="11"/>
        <v>750</v>
      </c>
      <c r="P17" s="4">
        <v>12</v>
      </c>
      <c r="Q17" s="4">
        <v>15</v>
      </c>
      <c r="R17" s="49">
        <v>18</v>
      </c>
    </row>
    <row r="18" spans="1:18" x14ac:dyDescent="0.25">
      <c r="A18" s="31"/>
      <c r="B18" s="4" t="s">
        <v>2240</v>
      </c>
      <c r="C18" s="5">
        <v>1</v>
      </c>
      <c r="D18" s="7">
        <v>0</v>
      </c>
      <c r="E18" s="3">
        <f t="shared" si="6"/>
        <v>1</v>
      </c>
      <c r="F18" s="3" t="s">
        <v>867</v>
      </c>
      <c r="G18" s="77"/>
      <c r="H18" s="5" t="s">
        <v>1</v>
      </c>
      <c r="I18" s="78">
        <f t="shared" si="7"/>
        <v>0</v>
      </c>
      <c r="J18" s="110">
        <f t="shared" si="8"/>
        <v>75</v>
      </c>
      <c r="K18" s="4">
        <v>15</v>
      </c>
      <c r="L18" s="5" t="s">
        <v>1</v>
      </c>
      <c r="M18" s="80">
        <f t="shared" si="9"/>
        <v>15</v>
      </c>
      <c r="N18" s="78">
        <f t="shared" si="10"/>
        <v>1125</v>
      </c>
      <c r="O18" s="78">
        <f t="shared" si="11"/>
        <v>1125</v>
      </c>
      <c r="P18" s="4">
        <v>18</v>
      </c>
      <c r="Q18" s="4">
        <v>22.5</v>
      </c>
      <c r="R18" s="49">
        <v>27</v>
      </c>
    </row>
    <row r="19" spans="1:18" x14ac:dyDescent="0.25">
      <c r="A19" s="31"/>
      <c r="B19" s="4" t="s">
        <v>2239</v>
      </c>
      <c r="C19" s="5">
        <v>1</v>
      </c>
      <c r="D19" s="7">
        <v>0</v>
      </c>
      <c r="E19" s="3">
        <f t="shared" si="6"/>
        <v>1</v>
      </c>
      <c r="F19" s="3" t="s">
        <v>867</v>
      </c>
      <c r="G19" s="77"/>
      <c r="H19" s="5" t="s">
        <v>1</v>
      </c>
      <c r="I19" s="78">
        <f t="shared" si="7"/>
        <v>0</v>
      </c>
      <c r="J19" s="110">
        <f t="shared" si="8"/>
        <v>75</v>
      </c>
      <c r="K19" s="4">
        <v>20</v>
      </c>
      <c r="L19" s="5" t="s">
        <v>1</v>
      </c>
      <c r="M19" s="80">
        <f t="shared" si="9"/>
        <v>20</v>
      </c>
      <c r="N19" s="78">
        <f t="shared" si="10"/>
        <v>1500</v>
      </c>
      <c r="O19" s="78">
        <f t="shared" si="11"/>
        <v>1500</v>
      </c>
      <c r="P19" s="4">
        <v>0</v>
      </c>
      <c r="Q19" s="4">
        <v>0</v>
      </c>
      <c r="R19" s="49">
        <v>0</v>
      </c>
    </row>
    <row r="20" spans="1:18" x14ac:dyDescent="0.25">
      <c r="A20" s="31"/>
      <c r="B20" s="4" t="s">
        <v>2238</v>
      </c>
      <c r="C20" s="5">
        <v>1</v>
      </c>
      <c r="D20" s="7">
        <v>0</v>
      </c>
      <c r="E20" s="3">
        <f t="shared" si="6"/>
        <v>1</v>
      </c>
      <c r="F20" s="3" t="s">
        <v>867</v>
      </c>
      <c r="G20" s="77"/>
      <c r="H20" s="5" t="s">
        <v>1</v>
      </c>
      <c r="I20" s="78">
        <f t="shared" si="7"/>
        <v>0</v>
      </c>
      <c r="J20" s="110">
        <f t="shared" si="8"/>
        <v>75</v>
      </c>
      <c r="K20" s="4">
        <v>25</v>
      </c>
      <c r="L20" s="5" t="s">
        <v>1</v>
      </c>
      <c r="M20" s="80">
        <f t="shared" si="9"/>
        <v>25</v>
      </c>
      <c r="N20" s="78">
        <f t="shared" si="10"/>
        <v>1875</v>
      </c>
      <c r="O20" s="78">
        <f t="shared" si="11"/>
        <v>1875</v>
      </c>
      <c r="P20" s="4">
        <v>0</v>
      </c>
      <c r="Q20" s="4">
        <v>0</v>
      </c>
      <c r="R20" s="49">
        <v>0</v>
      </c>
    </row>
    <row r="21" spans="1:18" x14ac:dyDescent="0.25">
      <c r="A21" s="31"/>
      <c r="B21" s="4" t="s">
        <v>2237</v>
      </c>
      <c r="C21" s="5">
        <v>1</v>
      </c>
      <c r="D21" s="7">
        <v>0</v>
      </c>
      <c r="E21" s="3">
        <f t="shared" si="6"/>
        <v>1</v>
      </c>
      <c r="F21" s="3" t="s">
        <v>867</v>
      </c>
      <c r="G21" s="77"/>
      <c r="H21" s="5" t="s">
        <v>1</v>
      </c>
      <c r="I21" s="78">
        <f t="shared" si="7"/>
        <v>0</v>
      </c>
      <c r="J21" s="110">
        <f t="shared" si="8"/>
        <v>75</v>
      </c>
      <c r="K21" s="4">
        <v>30</v>
      </c>
      <c r="L21" s="5" t="s">
        <v>1</v>
      </c>
      <c r="M21" s="80">
        <f t="shared" si="9"/>
        <v>30</v>
      </c>
      <c r="N21" s="78">
        <f t="shared" si="10"/>
        <v>2250</v>
      </c>
      <c r="O21" s="78">
        <f t="shared" si="11"/>
        <v>2250</v>
      </c>
      <c r="P21" s="4">
        <v>0</v>
      </c>
      <c r="Q21" s="4">
        <v>0</v>
      </c>
      <c r="R21" s="49">
        <v>0</v>
      </c>
    </row>
    <row r="22" spans="1:18" ht="15.75" thickBot="1" x14ac:dyDescent="0.3">
      <c r="A22" s="31"/>
      <c r="B22" s="258"/>
      <c r="C22" s="259">
        <v>1</v>
      </c>
      <c r="D22" s="259">
        <v>0</v>
      </c>
      <c r="E22" s="259">
        <f t="shared" si="6"/>
        <v>1</v>
      </c>
      <c r="F22" s="259" t="s">
        <v>867</v>
      </c>
      <c r="G22" s="259"/>
      <c r="H22" s="259" t="s">
        <v>1</v>
      </c>
      <c r="I22" s="259">
        <f t="shared" si="7"/>
        <v>0</v>
      </c>
      <c r="J22" s="259">
        <f t="shared" si="8"/>
        <v>75</v>
      </c>
      <c r="K22" s="259"/>
      <c r="L22" s="259" t="s">
        <v>1</v>
      </c>
      <c r="M22" s="259">
        <f t="shared" si="9"/>
        <v>0</v>
      </c>
      <c r="N22" s="259">
        <f t="shared" si="10"/>
        <v>0</v>
      </c>
      <c r="O22" s="259">
        <f t="shared" si="11"/>
        <v>0</v>
      </c>
      <c r="P22" s="259"/>
      <c r="Q22" s="259"/>
      <c r="R22" s="260"/>
    </row>
    <row r="23" spans="1:18" ht="15.75" thickBot="1" x14ac:dyDescent="0.3">
      <c r="A23" s="60"/>
      <c r="B23" s="145" t="s">
        <v>2236</v>
      </c>
      <c r="C23" s="5"/>
      <c r="D23" s="7"/>
      <c r="E23" s="3"/>
      <c r="F23" s="3"/>
      <c r="G23" s="9"/>
      <c r="H23" s="5"/>
      <c r="I23" s="9"/>
      <c r="J23" s="9"/>
      <c r="K23" s="15"/>
      <c r="L23" s="5"/>
      <c r="M23" s="15"/>
      <c r="N23" s="4"/>
      <c r="O23" s="4"/>
      <c r="P23" s="191"/>
      <c r="Q23" s="191"/>
      <c r="R23" s="190"/>
    </row>
    <row r="24" spans="1:18" x14ac:dyDescent="0.25">
      <c r="A24" s="31">
        <v>1</v>
      </c>
      <c r="B24" s="4" t="s">
        <v>2235</v>
      </c>
      <c r="C24" s="5">
        <v>1</v>
      </c>
      <c r="D24" s="7">
        <v>0</v>
      </c>
      <c r="E24" s="3">
        <f t="shared" ref="E24:E30" si="12">C24+(C24*D24)</f>
        <v>1</v>
      </c>
      <c r="F24" s="3" t="s">
        <v>867</v>
      </c>
      <c r="G24" s="77"/>
      <c r="H24" s="5" t="s">
        <v>1</v>
      </c>
      <c r="I24" s="78">
        <f t="shared" ref="I24:I30" si="13">IF(H24="C",(G24/100)*E24,IF(H24="M",(G24/1000)*E24,G24*E24))</f>
        <v>0</v>
      </c>
      <c r="J24" s="110">
        <f t="shared" ref="J24:J30" si="14">$O$4</f>
        <v>75</v>
      </c>
      <c r="K24" s="4">
        <v>6</v>
      </c>
      <c r="L24" s="5" t="s">
        <v>1</v>
      </c>
      <c r="M24" s="80">
        <f t="shared" ref="M24:M30" si="15">IF(L24="C",(K24/100)*E24,IF(L24="M",(K24/1000)*E24,K24*E24))</f>
        <v>6</v>
      </c>
      <c r="N24" s="78">
        <f t="shared" ref="N24:N30" si="16">M24*J24</f>
        <v>450</v>
      </c>
      <c r="O24" s="78">
        <f t="shared" ref="O24:O30" si="17">N24+I24</f>
        <v>450</v>
      </c>
      <c r="P24" s="4">
        <v>6</v>
      </c>
      <c r="Q24" s="4">
        <v>7.5</v>
      </c>
      <c r="R24" s="49">
        <v>9</v>
      </c>
    </row>
    <row r="25" spans="1:18" x14ac:dyDescent="0.25">
      <c r="A25" s="31"/>
      <c r="B25" s="4" t="s">
        <v>2234</v>
      </c>
      <c r="C25" s="5">
        <v>1</v>
      </c>
      <c r="D25" s="7">
        <v>0</v>
      </c>
      <c r="E25" s="3">
        <f t="shared" si="12"/>
        <v>1</v>
      </c>
      <c r="F25" s="3" t="s">
        <v>867</v>
      </c>
      <c r="G25" s="77"/>
      <c r="H25" s="5" t="s">
        <v>1</v>
      </c>
      <c r="I25" s="78">
        <f t="shared" si="13"/>
        <v>0</v>
      </c>
      <c r="J25" s="110">
        <f t="shared" si="14"/>
        <v>75</v>
      </c>
      <c r="K25" s="4">
        <v>12</v>
      </c>
      <c r="L25" s="5" t="s">
        <v>1</v>
      </c>
      <c r="M25" s="80">
        <f t="shared" si="15"/>
        <v>12</v>
      </c>
      <c r="N25" s="78">
        <f t="shared" si="16"/>
        <v>900</v>
      </c>
      <c r="O25" s="78">
        <f t="shared" si="17"/>
        <v>900</v>
      </c>
      <c r="P25" s="4">
        <v>12</v>
      </c>
      <c r="Q25" s="4">
        <v>15</v>
      </c>
      <c r="R25" s="49">
        <v>18</v>
      </c>
    </row>
    <row r="26" spans="1:18" x14ac:dyDescent="0.25">
      <c r="A26" s="31"/>
      <c r="B26" s="4" t="s">
        <v>2233</v>
      </c>
      <c r="C26" s="5">
        <v>1</v>
      </c>
      <c r="D26" s="7">
        <v>0</v>
      </c>
      <c r="E26" s="3">
        <f t="shared" si="12"/>
        <v>1</v>
      </c>
      <c r="F26" s="3" t="s">
        <v>867</v>
      </c>
      <c r="G26" s="77"/>
      <c r="H26" s="5" t="s">
        <v>1</v>
      </c>
      <c r="I26" s="78">
        <f t="shared" si="13"/>
        <v>0</v>
      </c>
      <c r="J26" s="110">
        <f t="shared" si="14"/>
        <v>75</v>
      </c>
      <c r="K26" s="4">
        <v>18</v>
      </c>
      <c r="L26" s="5" t="s">
        <v>1</v>
      </c>
      <c r="M26" s="80">
        <f t="shared" si="15"/>
        <v>18</v>
      </c>
      <c r="N26" s="78">
        <f t="shared" si="16"/>
        <v>1350</v>
      </c>
      <c r="O26" s="78">
        <f t="shared" si="17"/>
        <v>1350</v>
      </c>
      <c r="P26" s="4">
        <v>18</v>
      </c>
      <c r="Q26" s="4">
        <v>22.5</v>
      </c>
      <c r="R26" s="49">
        <v>27</v>
      </c>
    </row>
    <row r="27" spans="1:18" x14ac:dyDescent="0.25">
      <c r="A27" s="31"/>
      <c r="B27" s="4" t="s">
        <v>2232</v>
      </c>
      <c r="C27" s="5">
        <v>1</v>
      </c>
      <c r="D27" s="7">
        <v>0</v>
      </c>
      <c r="E27" s="3">
        <f t="shared" si="12"/>
        <v>1</v>
      </c>
      <c r="F27" s="3" t="s">
        <v>867</v>
      </c>
      <c r="G27" s="77"/>
      <c r="H27" s="5" t="s">
        <v>1</v>
      </c>
      <c r="I27" s="78">
        <f t="shared" si="13"/>
        <v>0</v>
      </c>
      <c r="J27" s="110">
        <f t="shared" si="14"/>
        <v>75</v>
      </c>
      <c r="K27" s="4">
        <v>24</v>
      </c>
      <c r="L27" s="5" t="s">
        <v>1</v>
      </c>
      <c r="M27" s="80">
        <f t="shared" si="15"/>
        <v>24</v>
      </c>
      <c r="N27" s="78">
        <f t="shared" si="16"/>
        <v>1800</v>
      </c>
      <c r="O27" s="78">
        <f t="shared" si="17"/>
        <v>1800</v>
      </c>
      <c r="P27" s="4">
        <v>0</v>
      </c>
      <c r="Q27" s="4">
        <v>0</v>
      </c>
      <c r="R27" s="49">
        <v>0</v>
      </c>
    </row>
    <row r="28" spans="1:18" x14ac:dyDescent="0.25">
      <c r="A28" s="31"/>
      <c r="B28" s="4" t="s">
        <v>2231</v>
      </c>
      <c r="C28" s="5">
        <v>1</v>
      </c>
      <c r="D28" s="7">
        <v>0</v>
      </c>
      <c r="E28" s="3">
        <f t="shared" si="12"/>
        <v>1</v>
      </c>
      <c r="F28" s="3" t="s">
        <v>867</v>
      </c>
      <c r="G28" s="77"/>
      <c r="H28" s="5" t="s">
        <v>1</v>
      </c>
      <c r="I28" s="78">
        <f t="shared" si="13"/>
        <v>0</v>
      </c>
      <c r="J28" s="110">
        <f t="shared" si="14"/>
        <v>75</v>
      </c>
      <c r="K28" s="4">
        <v>30</v>
      </c>
      <c r="L28" s="5" t="s">
        <v>1</v>
      </c>
      <c r="M28" s="80">
        <f t="shared" si="15"/>
        <v>30</v>
      </c>
      <c r="N28" s="78">
        <f t="shared" si="16"/>
        <v>2250</v>
      </c>
      <c r="O28" s="78">
        <f t="shared" si="17"/>
        <v>2250</v>
      </c>
      <c r="P28" s="4">
        <v>0</v>
      </c>
      <c r="Q28" s="4">
        <v>0</v>
      </c>
      <c r="R28" s="49">
        <v>0</v>
      </c>
    </row>
    <row r="29" spans="1:18" x14ac:dyDescent="0.25">
      <c r="A29" s="31"/>
      <c r="B29" s="4" t="s">
        <v>2230</v>
      </c>
      <c r="C29" s="5">
        <v>1</v>
      </c>
      <c r="D29" s="7">
        <v>0</v>
      </c>
      <c r="E29" s="3">
        <f t="shared" si="12"/>
        <v>1</v>
      </c>
      <c r="F29" s="3" t="s">
        <v>867</v>
      </c>
      <c r="G29" s="77"/>
      <c r="H29" s="5" t="s">
        <v>1</v>
      </c>
      <c r="I29" s="78">
        <f t="shared" si="13"/>
        <v>0</v>
      </c>
      <c r="J29" s="110">
        <f t="shared" si="14"/>
        <v>75</v>
      </c>
      <c r="K29" s="4">
        <v>36</v>
      </c>
      <c r="L29" s="5" t="s">
        <v>1</v>
      </c>
      <c r="M29" s="80">
        <f t="shared" si="15"/>
        <v>36</v>
      </c>
      <c r="N29" s="78">
        <f t="shared" si="16"/>
        <v>2700</v>
      </c>
      <c r="O29" s="78">
        <f t="shared" si="17"/>
        <v>2700</v>
      </c>
      <c r="P29" s="4">
        <v>0</v>
      </c>
      <c r="Q29" s="4">
        <v>0</v>
      </c>
      <c r="R29" s="49">
        <v>0</v>
      </c>
    </row>
    <row r="30" spans="1:18" ht="15.75" thickBot="1" x14ac:dyDescent="0.3">
      <c r="A30" s="31"/>
      <c r="B30" s="258"/>
      <c r="C30" s="259">
        <v>1</v>
      </c>
      <c r="D30" s="259">
        <v>0</v>
      </c>
      <c r="E30" s="259">
        <f t="shared" si="12"/>
        <v>1</v>
      </c>
      <c r="F30" s="259" t="s">
        <v>867</v>
      </c>
      <c r="G30" s="259"/>
      <c r="H30" s="259" t="s">
        <v>1</v>
      </c>
      <c r="I30" s="259">
        <f t="shared" si="13"/>
        <v>0</v>
      </c>
      <c r="J30" s="259">
        <f t="shared" si="14"/>
        <v>75</v>
      </c>
      <c r="K30" s="259"/>
      <c r="L30" s="259" t="s">
        <v>1</v>
      </c>
      <c r="M30" s="259">
        <f t="shared" si="15"/>
        <v>0</v>
      </c>
      <c r="N30" s="259">
        <f t="shared" si="16"/>
        <v>0</v>
      </c>
      <c r="O30" s="259">
        <f t="shared" si="17"/>
        <v>0</v>
      </c>
      <c r="P30" s="259"/>
      <c r="Q30" s="259"/>
      <c r="R30" s="260"/>
    </row>
    <row r="31" spans="1:18" ht="15.75" thickBot="1" x14ac:dyDescent="0.3">
      <c r="A31" s="60"/>
      <c r="B31" s="145" t="s">
        <v>2229</v>
      </c>
      <c r="C31" s="5"/>
      <c r="D31" s="7"/>
      <c r="E31" s="3"/>
      <c r="F31" s="3"/>
      <c r="G31" s="9"/>
      <c r="H31" s="5"/>
      <c r="I31" s="9"/>
      <c r="J31" s="9"/>
      <c r="K31" s="15"/>
      <c r="L31" s="5"/>
      <c r="M31" s="15"/>
      <c r="N31" s="4"/>
      <c r="O31" s="4"/>
      <c r="P31" s="191"/>
      <c r="Q31" s="191"/>
      <c r="R31" s="190"/>
    </row>
    <row r="32" spans="1:18" x14ac:dyDescent="0.25">
      <c r="A32" s="31">
        <v>1</v>
      </c>
      <c r="B32" s="4" t="s">
        <v>2228</v>
      </c>
      <c r="C32" s="5">
        <v>1</v>
      </c>
      <c r="D32" s="7">
        <v>0</v>
      </c>
      <c r="E32" s="3">
        <f t="shared" ref="E32:E38" si="18">C32+(C32*D32)</f>
        <v>1</v>
      </c>
      <c r="F32" s="3" t="s">
        <v>867</v>
      </c>
      <c r="G32" s="77"/>
      <c r="H32" s="5" t="s">
        <v>1</v>
      </c>
      <c r="I32" s="78">
        <f t="shared" ref="I32:I38" si="19">IF(H32="C",(G32/100)*E32,IF(H32="M",(G32/1000)*E32,G32*E32))</f>
        <v>0</v>
      </c>
      <c r="J32" s="110">
        <f t="shared" ref="J32:J38" si="20">$O$4</f>
        <v>75</v>
      </c>
      <c r="K32" s="4">
        <v>7</v>
      </c>
      <c r="L32" s="5" t="s">
        <v>1</v>
      </c>
      <c r="M32" s="80">
        <f t="shared" ref="M32:M38" si="21">IF(L32="C",(K32/100)*E32,IF(L32="M",(K32/1000)*E32,K32*E32))</f>
        <v>7</v>
      </c>
      <c r="N32" s="78">
        <f t="shared" ref="N32:N38" si="22">M32*J32</f>
        <v>525</v>
      </c>
      <c r="O32" s="78">
        <f t="shared" ref="O32:O38" si="23">N32+I32</f>
        <v>525</v>
      </c>
      <c r="P32" s="4">
        <v>6</v>
      </c>
      <c r="Q32" s="4">
        <v>7.5</v>
      </c>
      <c r="R32" s="49">
        <v>9</v>
      </c>
    </row>
    <row r="33" spans="1:18" ht="15" customHeight="1" x14ac:dyDescent="0.25">
      <c r="A33" s="60"/>
      <c r="B33" s="8" t="s">
        <v>2227</v>
      </c>
      <c r="C33" s="5">
        <v>1</v>
      </c>
      <c r="D33" s="7">
        <v>0</v>
      </c>
      <c r="E33" s="3">
        <f t="shared" si="18"/>
        <v>1</v>
      </c>
      <c r="F33" s="3" t="s">
        <v>867</v>
      </c>
      <c r="G33" s="77"/>
      <c r="H33" s="5" t="s">
        <v>1</v>
      </c>
      <c r="I33" s="78">
        <f t="shared" si="19"/>
        <v>0</v>
      </c>
      <c r="J33" s="110">
        <f t="shared" si="20"/>
        <v>75</v>
      </c>
      <c r="K33" s="4">
        <v>14</v>
      </c>
      <c r="L33" s="5" t="s">
        <v>1</v>
      </c>
      <c r="M33" s="80">
        <f t="shared" si="21"/>
        <v>14</v>
      </c>
      <c r="N33" s="78">
        <f t="shared" si="22"/>
        <v>1050</v>
      </c>
      <c r="O33" s="78">
        <f t="shared" si="23"/>
        <v>1050</v>
      </c>
      <c r="P33" s="4">
        <v>12</v>
      </c>
      <c r="Q33" s="4">
        <v>15</v>
      </c>
      <c r="R33" s="49">
        <v>18</v>
      </c>
    </row>
    <row r="34" spans="1:18" x14ac:dyDescent="0.25">
      <c r="A34" s="31"/>
      <c r="B34" s="4" t="s">
        <v>2226</v>
      </c>
      <c r="C34" s="5">
        <v>1</v>
      </c>
      <c r="D34" s="7">
        <v>0</v>
      </c>
      <c r="E34" s="3">
        <f t="shared" si="18"/>
        <v>1</v>
      </c>
      <c r="F34" s="3" t="s">
        <v>867</v>
      </c>
      <c r="G34" s="77"/>
      <c r="H34" s="5" t="s">
        <v>1</v>
      </c>
      <c r="I34" s="78">
        <f t="shared" si="19"/>
        <v>0</v>
      </c>
      <c r="J34" s="110">
        <f t="shared" si="20"/>
        <v>75</v>
      </c>
      <c r="K34" s="4">
        <v>21</v>
      </c>
      <c r="L34" s="5" t="s">
        <v>1</v>
      </c>
      <c r="M34" s="80">
        <f t="shared" si="21"/>
        <v>21</v>
      </c>
      <c r="N34" s="78">
        <f t="shared" si="22"/>
        <v>1575</v>
      </c>
      <c r="O34" s="78">
        <f t="shared" si="23"/>
        <v>1575</v>
      </c>
      <c r="P34" s="4">
        <v>18</v>
      </c>
      <c r="Q34" s="4">
        <v>22.5</v>
      </c>
      <c r="R34" s="49">
        <v>27</v>
      </c>
    </row>
    <row r="35" spans="1:18" x14ac:dyDescent="0.25">
      <c r="A35" s="31"/>
      <c r="B35" s="4" t="s">
        <v>2225</v>
      </c>
      <c r="C35" s="5">
        <v>1</v>
      </c>
      <c r="D35" s="7">
        <v>0</v>
      </c>
      <c r="E35" s="3">
        <f t="shared" si="18"/>
        <v>1</v>
      </c>
      <c r="F35" s="3" t="s">
        <v>867</v>
      </c>
      <c r="G35" s="77"/>
      <c r="H35" s="5" t="s">
        <v>1</v>
      </c>
      <c r="I35" s="78">
        <f t="shared" si="19"/>
        <v>0</v>
      </c>
      <c r="J35" s="110">
        <f t="shared" si="20"/>
        <v>75</v>
      </c>
      <c r="K35" s="4">
        <v>28</v>
      </c>
      <c r="L35" s="5" t="s">
        <v>1</v>
      </c>
      <c r="M35" s="80">
        <f t="shared" si="21"/>
        <v>28</v>
      </c>
      <c r="N35" s="78">
        <f t="shared" si="22"/>
        <v>2100</v>
      </c>
      <c r="O35" s="78">
        <f t="shared" si="23"/>
        <v>2100</v>
      </c>
      <c r="P35" s="4">
        <v>0</v>
      </c>
      <c r="Q35" s="4">
        <v>0</v>
      </c>
      <c r="R35" s="49">
        <v>0</v>
      </c>
    </row>
    <row r="36" spans="1:18" x14ac:dyDescent="0.25">
      <c r="A36" s="31"/>
      <c r="B36" s="4" t="s">
        <v>2224</v>
      </c>
      <c r="C36" s="5">
        <v>1</v>
      </c>
      <c r="D36" s="7">
        <v>0</v>
      </c>
      <c r="E36" s="3">
        <f t="shared" si="18"/>
        <v>1</v>
      </c>
      <c r="F36" s="3" t="s">
        <v>867</v>
      </c>
      <c r="G36" s="77"/>
      <c r="H36" s="5" t="s">
        <v>1</v>
      </c>
      <c r="I36" s="78">
        <f t="shared" si="19"/>
        <v>0</v>
      </c>
      <c r="J36" s="110">
        <f t="shared" si="20"/>
        <v>75</v>
      </c>
      <c r="K36" s="4">
        <v>35</v>
      </c>
      <c r="L36" s="5" t="s">
        <v>1</v>
      </c>
      <c r="M36" s="80">
        <f t="shared" si="21"/>
        <v>35</v>
      </c>
      <c r="N36" s="78">
        <f t="shared" si="22"/>
        <v>2625</v>
      </c>
      <c r="O36" s="78">
        <f t="shared" si="23"/>
        <v>2625</v>
      </c>
      <c r="P36" s="4">
        <v>0</v>
      </c>
      <c r="Q36" s="4">
        <v>0</v>
      </c>
      <c r="R36" s="49">
        <v>0</v>
      </c>
    </row>
    <row r="37" spans="1:18" x14ac:dyDescent="0.25">
      <c r="A37" s="31"/>
      <c r="B37" s="4" t="s">
        <v>2223</v>
      </c>
      <c r="C37" s="5">
        <v>1</v>
      </c>
      <c r="D37" s="7">
        <v>0</v>
      </c>
      <c r="E37" s="3">
        <f t="shared" si="18"/>
        <v>1</v>
      </c>
      <c r="F37" s="3" t="s">
        <v>867</v>
      </c>
      <c r="G37" s="77"/>
      <c r="H37" s="5" t="s">
        <v>1</v>
      </c>
      <c r="I37" s="78">
        <f t="shared" si="19"/>
        <v>0</v>
      </c>
      <c r="J37" s="110">
        <f t="shared" si="20"/>
        <v>75</v>
      </c>
      <c r="K37" s="4">
        <v>42</v>
      </c>
      <c r="L37" s="5" t="s">
        <v>1</v>
      </c>
      <c r="M37" s="80">
        <f t="shared" si="21"/>
        <v>42</v>
      </c>
      <c r="N37" s="78">
        <f t="shared" si="22"/>
        <v>3150</v>
      </c>
      <c r="O37" s="78">
        <f t="shared" si="23"/>
        <v>3150</v>
      </c>
      <c r="P37" s="4">
        <v>0</v>
      </c>
      <c r="Q37" s="4">
        <v>0</v>
      </c>
      <c r="R37" s="49">
        <v>0</v>
      </c>
    </row>
    <row r="38" spans="1:18" ht="15.75" thickBot="1" x14ac:dyDescent="0.3">
      <c r="A38" s="31"/>
      <c r="B38" s="258"/>
      <c r="C38" s="259">
        <v>1</v>
      </c>
      <c r="D38" s="259">
        <v>0</v>
      </c>
      <c r="E38" s="259">
        <f t="shared" si="18"/>
        <v>1</v>
      </c>
      <c r="F38" s="259" t="s">
        <v>867</v>
      </c>
      <c r="G38" s="259"/>
      <c r="H38" s="259" t="s">
        <v>1</v>
      </c>
      <c r="I38" s="259">
        <f t="shared" si="19"/>
        <v>0</v>
      </c>
      <c r="J38" s="259">
        <f t="shared" si="20"/>
        <v>75</v>
      </c>
      <c r="K38" s="259"/>
      <c r="L38" s="259" t="s">
        <v>1</v>
      </c>
      <c r="M38" s="259">
        <f t="shared" si="21"/>
        <v>0</v>
      </c>
      <c r="N38" s="259">
        <f t="shared" si="22"/>
        <v>0</v>
      </c>
      <c r="O38" s="259">
        <f t="shared" si="23"/>
        <v>0</v>
      </c>
      <c r="P38" s="259"/>
      <c r="Q38" s="259"/>
      <c r="R38" s="260"/>
    </row>
    <row r="39" spans="1:18" ht="15.75" thickBot="1" x14ac:dyDescent="0.3">
      <c r="A39" s="60"/>
      <c r="B39" s="145" t="s">
        <v>2222</v>
      </c>
      <c r="C39" s="5"/>
      <c r="D39" s="7"/>
      <c r="E39" s="3"/>
      <c r="F39" s="3"/>
      <c r="G39" s="9"/>
      <c r="H39" s="5"/>
      <c r="I39" s="9"/>
      <c r="J39" s="9"/>
      <c r="K39" s="15"/>
      <c r="L39" s="5"/>
      <c r="M39" s="15"/>
      <c r="N39" s="4"/>
      <c r="O39" s="4"/>
      <c r="P39" s="191"/>
      <c r="Q39" s="191"/>
      <c r="R39" s="190"/>
    </row>
    <row r="40" spans="1:18" x14ac:dyDescent="0.25">
      <c r="A40" s="31">
        <v>1</v>
      </c>
      <c r="B40" s="4" t="s">
        <v>2221</v>
      </c>
      <c r="C40" s="5">
        <v>1</v>
      </c>
      <c r="D40" s="7">
        <v>0</v>
      </c>
      <c r="E40" s="3">
        <f t="shared" ref="E40:E46" si="24">C40+(C40*D40)</f>
        <v>1</v>
      </c>
      <c r="F40" s="3" t="s">
        <v>867</v>
      </c>
      <c r="G40" s="77"/>
      <c r="H40" s="5" t="s">
        <v>1</v>
      </c>
      <c r="I40" s="78">
        <f t="shared" ref="I40:I46" si="25">IF(H40="C",(G40/100)*E40,IF(H40="M",(G40/1000)*E40,G40*E40))</f>
        <v>0</v>
      </c>
      <c r="J40" s="110">
        <f t="shared" ref="J40:J46" si="26">$O$4</f>
        <v>75</v>
      </c>
      <c r="K40" s="4">
        <v>8</v>
      </c>
      <c r="L40" s="5" t="s">
        <v>1</v>
      </c>
      <c r="M40" s="80">
        <f t="shared" ref="M40:M46" si="27">IF(L40="C",(K40/100)*E40,IF(L40="M",(K40/1000)*E40,K40*E40))</f>
        <v>8</v>
      </c>
      <c r="N40" s="78">
        <f t="shared" ref="N40:N46" si="28">M40*J40</f>
        <v>600</v>
      </c>
      <c r="O40" s="78">
        <f t="shared" ref="O40:O46" si="29">N40+I40</f>
        <v>600</v>
      </c>
      <c r="P40" s="4">
        <v>6</v>
      </c>
      <c r="Q40" s="4">
        <v>7.5</v>
      </c>
      <c r="R40" s="49">
        <v>9</v>
      </c>
    </row>
    <row r="41" spans="1:18" x14ac:dyDescent="0.25">
      <c r="A41" s="31"/>
      <c r="B41" s="4" t="s">
        <v>2220</v>
      </c>
      <c r="C41" s="5">
        <v>1</v>
      </c>
      <c r="D41" s="7">
        <v>0</v>
      </c>
      <c r="E41" s="3">
        <f t="shared" si="24"/>
        <v>1</v>
      </c>
      <c r="F41" s="3" t="s">
        <v>867</v>
      </c>
      <c r="G41" s="77"/>
      <c r="H41" s="5" t="s">
        <v>1</v>
      </c>
      <c r="I41" s="78">
        <f t="shared" si="25"/>
        <v>0</v>
      </c>
      <c r="J41" s="110">
        <f t="shared" si="26"/>
        <v>75</v>
      </c>
      <c r="K41" s="4">
        <v>16</v>
      </c>
      <c r="L41" s="5" t="s">
        <v>1</v>
      </c>
      <c r="M41" s="80">
        <f t="shared" si="27"/>
        <v>16</v>
      </c>
      <c r="N41" s="78">
        <f t="shared" si="28"/>
        <v>1200</v>
      </c>
      <c r="O41" s="78">
        <f t="shared" si="29"/>
        <v>1200</v>
      </c>
      <c r="P41" s="4">
        <v>12</v>
      </c>
      <c r="Q41" s="4">
        <v>15</v>
      </c>
      <c r="R41" s="49">
        <v>18</v>
      </c>
    </row>
    <row r="42" spans="1:18" x14ac:dyDescent="0.25">
      <c r="A42" s="31"/>
      <c r="B42" s="4" t="s">
        <v>2219</v>
      </c>
      <c r="C42" s="5">
        <v>1</v>
      </c>
      <c r="D42" s="7">
        <v>0</v>
      </c>
      <c r="E42" s="3">
        <f t="shared" si="24"/>
        <v>1</v>
      </c>
      <c r="F42" s="3" t="s">
        <v>867</v>
      </c>
      <c r="G42" s="77"/>
      <c r="H42" s="5" t="s">
        <v>1</v>
      </c>
      <c r="I42" s="78">
        <f t="shared" si="25"/>
        <v>0</v>
      </c>
      <c r="J42" s="110">
        <f t="shared" si="26"/>
        <v>75</v>
      </c>
      <c r="K42" s="4">
        <v>24</v>
      </c>
      <c r="L42" s="5" t="s">
        <v>1</v>
      </c>
      <c r="M42" s="80">
        <f t="shared" si="27"/>
        <v>24</v>
      </c>
      <c r="N42" s="78">
        <f t="shared" si="28"/>
        <v>1800</v>
      </c>
      <c r="O42" s="78">
        <f t="shared" si="29"/>
        <v>1800</v>
      </c>
      <c r="P42" s="4">
        <v>18</v>
      </c>
      <c r="Q42" s="4">
        <v>22.5</v>
      </c>
      <c r="R42" s="49">
        <v>27</v>
      </c>
    </row>
    <row r="43" spans="1:18" x14ac:dyDescent="0.25">
      <c r="A43" s="31"/>
      <c r="B43" s="4" t="s">
        <v>2218</v>
      </c>
      <c r="C43" s="5">
        <v>1</v>
      </c>
      <c r="D43" s="7">
        <v>0</v>
      </c>
      <c r="E43" s="3">
        <f t="shared" si="24"/>
        <v>1</v>
      </c>
      <c r="F43" s="3" t="s">
        <v>867</v>
      </c>
      <c r="G43" s="77"/>
      <c r="H43" s="5" t="s">
        <v>1</v>
      </c>
      <c r="I43" s="78">
        <f t="shared" si="25"/>
        <v>0</v>
      </c>
      <c r="J43" s="110">
        <f t="shared" si="26"/>
        <v>75</v>
      </c>
      <c r="K43" s="4">
        <v>32</v>
      </c>
      <c r="L43" s="5" t="s">
        <v>1</v>
      </c>
      <c r="M43" s="80">
        <f t="shared" si="27"/>
        <v>32</v>
      </c>
      <c r="N43" s="78">
        <f t="shared" si="28"/>
        <v>2400</v>
      </c>
      <c r="O43" s="78">
        <f t="shared" si="29"/>
        <v>2400</v>
      </c>
      <c r="P43" s="4">
        <v>0</v>
      </c>
      <c r="Q43" s="4">
        <v>0</v>
      </c>
      <c r="R43" s="49">
        <v>0</v>
      </c>
    </row>
    <row r="44" spans="1:18" x14ac:dyDescent="0.25">
      <c r="A44" s="31"/>
      <c r="B44" s="4" t="s">
        <v>2217</v>
      </c>
      <c r="C44" s="5">
        <v>1</v>
      </c>
      <c r="D44" s="7">
        <v>0</v>
      </c>
      <c r="E44" s="3">
        <f t="shared" si="24"/>
        <v>1</v>
      </c>
      <c r="F44" s="3" t="s">
        <v>867</v>
      </c>
      <c r="G44" s="77"/>
      <c r="H44" s="5" t="s">
        <v>1</v>
      </c>
      <c r="I44" s="78">
        <f t="shared" si="25"/>
        <v>0</v>
      </c>
      <c r="J44" s="110">
        <f t="shared" si="26"/>
        <v>75</v>
      </c>
      <c r="K44" s="4">
        <v>40</v>
      </c>
      <c r="L44" s="5" t="s">
        <v>1</v>
      </c>
      <c r="M44" s="80">
        <f t="shared" si="27"/>
        <v>40</v>
      </c>
      <c r="N44" s="78">
        <f t="shared" si="28"/>
        <v>3000</v>
      </c>
      <c r="O44" s="78">
        <f t="shared" si="29"/>
        <v>3000</v>
      </c>
      <c r="P44" s="4">
        <v>0</v>
      </c>
      <c r="Q44" s="4">
        <v>0</v>
      </c>
      <c r="R44" s="49">
        <v>0</v>
      </c>
    </row>
    <row r="45" spans="1:18" x14ac:dyDescent="0.25">
      <c r="A45" s="31"/>
      <c r="B45" s="4" t="s">
        <v>2216</v>
      </c>
      <c r="C45" s="5">
        <v>1</v>
      </c>
      <c r="D45" s="7">
        <v>0</v>
      </c>
      <c r="E45" s="3">
        <f t="shared" si="24"/>
        <v>1</v>
      </c>
      <c r="F45" s="3" t="s">
        <v>867</v>
      </c>
      <c r="G45" s="77"/>
      <c r="H45" s="5" t="s">
        <v>1</v>
      </c>
      <c r="I45" s="78">
        <f t="shared" si="25"/>
        <v>0</v>
      </c>
      <c r="J45" s="110">
        <f t="shared" si="26"/>
        <v>75</v>
      </c>
      <c r="K45" s="4">
        <v>48</v>
      </c>
      <c r="L45" s="5" t="s">
        <v>1</v>
      </c>
      <c r="M45" s="80">
        <f t="shared" si="27"/>
        <v>48</v>
      </c>
      <c r="N45" s="78">
        <f t="shared" si="28"/>
        <v>3600</v>
      </c>
      <c r="O45" s="78">
        <f t="shared" si="29"/>
        <v>3600</v>
      </c>
      <c r="P45" s="4">
        <v>0</v>
      </c>
      <c r="Q45" s="4">
        <v>0</v>
      </c>
      <c r="R45" s="49">
        <v>0</v>
      </c>
    </row>
    <row r="46" spans="1:18" ht="15.75" thickBot="1" x14ac:dyDescent="0.3">
      <c r="A46" s="31"/>
      <c r="B46" s="258"/>
      <c r="C46" s="259">
        <v>1</v>
      </c>
      <c r="D46" s="259">
        <v>0</v>
      </c>
      <c r="E46" s="259">
        <f t="shared" si="24"/>
        <v>1</v>
      </c>
      <c r="F46" s="259" t="s">
        <v>867</v>
      </c>
      <c r="G46" s="259"/>
      <c r="H46" s="259" t="s">
        <v>1</v>
      </c>
      <c r="I46" s="259">
        <f t="shared" si="25"/>
        <v>0</v>
      </c>
      <c r="J46" s="259">
        <f t="shared" si="26"/>
        <v>75</v>
      </c>
      <c r="K46" s="259"/>
      <c r="L46" s="259" t="s">
        <v>1</v>
      </c>
      <c r="M46" s="259">
        <f t="shared" si="27"/>
        <v>0</v>
      </c>
      <c r="N46" s="259">
        <f t="shared" si="28"/>
        <v>0</v>
      </c>
      <c r="O46" s="259">
        <f t="shared" si="29"/>
        <v>0</v>
      </c>
      <c r="P46" s="259"/>
      <c r="Q46" s="259"/>
      <c r="R46" s="260"/>
    </row>
    <row r="47" spans="1:18" ht="15.75" thickBot="1" x14ac:dyDescent="0.3">
      <c r="A47" s="60"/>
      <c r="B47" s="145" t="s">
        <v>2215</v>
      </c>
      <c r="C47" s="5"/>
      <c r="D47" s="7"/>
      <c r="E47" s="3"/>
      <c r="F47" s="3"/>
      <c r="G47" s="9"/>
      <c r="H47" s="5"/>
      <c r="I47" s="9"/>
      <c r="J47" s="9"/>
      <c r="K47" s="15"/>
      <c r="L47" s="5"/>
      <c r="M47" s="15"/>
      <c r="N47" s="4"/>
      <c r="O47" s="4"/>
      <c r="P47" s="191"/>
      <c r="Q47" s="191"/>
      <c r="R47" s="190"/>
    </row>
    <row r="48" spans="1:18" x14ac:dyDescent="0.25">
      <c r="A48" s="31">
        <v>1</v>
      </c>
      <c r="B48" s="4" t="s">
        <v>2214</v>
      </c>
      <c r="C48" s="5">
        <v>1</v>
      </c>
      <c r="D48" s="7">
        <v>0</v>
      </c>
      <c r="E48" s="3">
        <f t="shared" ref="E48:E60" si="30">C48+(C48*D48)</f>
        <v>1</v>
      </c>
      <c r="F48" s="3" t="s">
        <v>867</v>
      </c>
      <c r="G48" s="77"/>
      <c r="H48" s="5" t="s">
        <v>1</v>
      </c>
      <c r="I48" s="78">
        <f t="shared" ref="I48:I60" si="31">IF(H48="C",(G48/100)*E48,IF(H48="M",(G48/1000)*E48,G48*E48))</f>
        <v>0</v>
      </c>
      <c r="J48" s="110">
        <f t="shared" ref="J48:J60" si="32">$O$4</f>
        <v>75</v>
      </c>
      <c r="K48" s="4">
        <v>10</v>
      </c>
      <c r="L48" s="5" t="s">
        <v>1</v>
      </c>
      <c r="M48" s="80">
        <f t="shared" ref="M48:M60" si="33">IF(L48="C",(K48/100)*E48,IF(L48="M",(K48/1000)*E48,K48*E48))</f>
        <v>10</v>
      </c>
      <c r="N48" s="78">
        <f t="shared" ref="N48:N60" si="34">M48*J48</f>
        <v>750</v>
      </c>
      <c r="O48" s="78">
        <f t="shared" ref="O48:O60" si="35">N48+I48</f>
        <v>750</v>
      </c>
      <c r="P48" s="4">
        <v>6</v>
      </c>
      <c r="Q48" s="4">
        <v>7.5</v>
      </c>
      <c r="R48" s="49">
        <v>9</v>
      </c>
    </row>
    <row r="49" spans="1:18" x14ac:dyDescent="0.25">
      <c r="A49" s="31"/>
      <c r="B49" s="4" t="s">
        <v>2213</v>
      </c>
      <c r="C49" s="5">
        <v>1</v>
      </c>
      <c r="D49" s="7">
        <v>0</v>
      </c>
      <c r="E49" s="3">
        <f t="shared" si="30"/>
        <v>1</v>
      </c>
      <c r="F49" s="3" t="s">
        <v>867</v>
      </c>
      <c r="G49" s="77"/>
      <c r="H49" s="5" t="s">
        <v>1</v>
      </c>
      <c r="I49" s="78">
        <f t="shared" si="31"/>
        <v>0</v>
      </c>
      <c r="J49" s="110">
        <f t="shared" si="32"/>
        <v>75</v>
      </c>
      <c r="K49" s="4">
        <v>20</v>
      </c>
      <c r="L49" s="5" t="s">
        <v>1</v>
      </c>
      <c r="M49" s="80">
        <f t="shared" si="33"/>
        <v>20</v>
      </c>
      <c r="N49" s="78">
        <f t="shared" si="34"/>
        <v>1500</v>
      </c>
      <c r="O49" s="78">
        <f t="shared" si="35"/>
        <v>1500</v>
      </c>
      <c r="P49" s="4">
        <v>12</v>
      </c>
      <c r="Q49" s="4">
        <v>15</v>
      </c>
      <c r="R49" s="49">
        <v>18</v>
      </c>
    </row>
    <row r="50" spans="1:18" x14ac:dyDescent="0.25">
      <c r="A50" s="31"/>
      <c r="B50" s="4" t="s">
        <v>2212</v>
      </c>
      <c r="C50" s="5">
        <v>1</v>
      </c>
      <c r="D50" s="7">
        <v>0</v>
      </c>
      <c r="E50" s="3">
        <f t="shared" si="30"/>
        <v>1</v>
      </c>
      <c r="F50" s="3" t="s">
        <v>867</v>
      </c>
      <c r="G50" s="77"/>
      <c r="H50" s="5" t="s">
        <v>1</v>
      </c>
      <c r="I50" s="78">
        <f t="shared" si="31"/>
        <v>0</v>
      </c>
      <c r="J50" s="110">
        <f t="shared" si="32"/>
        <v>75</v>
      </c>
      <c r="K50" s="4">
        <v>30</v>
      </c>
      <c r="L50" s="5" t="s">
        <v>1</v>
      </c>
      <c r="M50" s="80">
        <f t="shared" si="33"/>
        <v>30</v>
      </c>
      <c r="N50" s="78">
        <f t="shared" si="34"/>
        <v>2250</v>
      </c>
      <c r="O50" s="78">
        <f t="shared" si="35"/>
        <v>2250</v>
      </c>
      <c r="P50" s="4">
        <v>18</v>
      </c>
      <c r="Q50" s="4">
        <v>22.5</v>
      </c>
      <c r="R50" s="49">
        <v>27</v>
      </c>
    </row>
    <row r="51" spans="1:18" x14ac:dyDescent="0.25">
      <c r="A51" s="31"/>
      <c r="B51" s="4" t="s">
        <v>2211</v>
      </c>
      <c r="C51" s="5">
        <v>1</v>
      </c>
      <c r="D51" s="7">
        <v>0</v>
      </c>
      <c r="E51" s="3">
        <f t="shared" si="30"/>
        <v>1</v>
      </c>
      <c r="F51" s="3" t="s">
        <v>867</v>
      </c>
      <c r="G51" s="77"/>
      <c r="H51" s="5" t="s">
        <v>1</v>
      </c>
      <c r="I51" s="78">
        <f t="shared" si="31"/>
        <v>0</v>
      </c>
      <c r="J51" s="110">
        <f t="shared" si="32"/>
        <v>75</v>
      </c>
      <c r="K51" s="4">
        <v>40</v>
      </c>
      <c r="L51" s="5" t="s">
        <v>1</v>
      </c>
      <c r="M51" s="80">
        <f t="shared" si="33"/>
        <v>40</v>
      </c>
      <c r="N51" s="78">
        <f t="shared" si="34"/>
        <v>3000</v>
      </c>
      <c r="O51" s="78">
        <f t="shared" si="35"/>
        <v>3000</v>
      </c>
      <c r="P51" s="4">
        <v>0</v>
      </c>
      <c r="Q51" s="4">
        <v>0</v>
      </c>
      <c r="R51" s="49">
        <v>0</v>
      </c>
    </row>
    <row r="52" spans="1:18" x14ac:dyDescent="0.25">
      <c r="A52" s="31"/>
      <c r="B52" s="4" t="s">
        <v>2210</v>
      </c>
      <c r="C52" s="5">
        <v>1</v>
      </c>
      <c r="D52" s="7">
        <v>0</v>
      </c>
      <c r="E52" s="3">
        <f t="shared" si="30"/>
        <v>1</v>
      </c>
      <c r="F52" s="3" t="s">
        <v>867</v>
      </c>
      <c r="G52" s="77"/>
      <c r="H52" s="5" t="s">
        <v>1</v>
      </c>
      <c r="I52" s="78">
        <f t="shared" si="31"/>
        <v>0</v>
      </c>
      <c r="J52" s="110">
        <f t="shared" si="32"/>
        <v>75</v>
      </c>
      <c r="K52" s="4">
        <v>50</v>
      </c>
      <c r="L52" s="5" t="s">
        <v>1</v>
      </c>
      <c r="M52" s="80">
        <f t="shared" si="33"/>
        <v>50</v>
      </c>
      <c r="N52" s="78">
        <f t="shared" si="34"/>
        <v>3750</v>
      </c>
      <c r="O52" s="78">
        <f t="shared" si="35"/>
        <v>3750</v>
      </c>
      <c r="P52" s="4">
        <v>0</v>
      </c>
      <c r="Q52" s="4">
        <v>0</v>
      </c>
      <c r="R52" s="49">
        <v>0</v>
      </c>
    </row>
    <row r="53" spans="1:18" x14ac:dyDescent="0.25">
      <c r="A53" s="31"/>
      <c r="B53" s="4" t="s">
        <v>2209</v>
      </c>
      <c r="C53" s="5">
        <v>1</v>
      </c>
      <c r="D53" s="7">
        <v>0</v>
      </c>
      <c r="E53" s="3">
        <f t="shared" si="30"/>
        <v>1</v>
      </c>
      <c r="F53" s="3" t="s">
        <v>867</v>
      </c>
      <c r="G53" s="77"/>
      <c r="H53" s="5" t="s">
        <v>1</v>
      </c>
      <c r="I53" s="78">
        <f t="shared" si="31"/>
        <v>0</v>
      </c>
      <c r="J53" s="110">
        <f t="shared" si="32"/>
        <v>75</v>
      </c>
      <c r="K53" s="4">
        <v>60</v>
      </c>
      <c r="L53" s="5" t="s">
        <v>1</v>
      </c>
      <c r="M53" s="80">
        <f t="shared" si="33"/>
        <v>60</v>
      </c>
      <c r="N53" s="78">
        <f t="shared" si="34"/>
        <v>4500</v>
      </c>
      <c r="O53" s="78">
        <f t="shared" si="35"/>
        <v>4500</v>
      </c>
      <c r="P53" s="4">
        <v>0</v>
      </c>
      <c r="Q53" s="4">
        <v>0</v>
      </c>
      <c r="R53" s="49">
        <v>0</v>
      </c>
    </row>
    <row r="54" spans="1:18" x14ac:dyDescent="0.25">
      <c r="A54" s="31"/>
      <c r="B54" s="4" t="s">
        <v>2208</v>
      </c>
      <c r="C54" s="5">
        <v>1</v>
      </c>
      <c r="D54" s="7">
        <v>0</v>
      </c>
      <c r="E54" s="3">
        <f t="shared" si="30"/>
        <v>1</v>
      </c>
      <c r="F54" s="3" t="s">
        <v>867</v>
      </c>
      <c r="G54" s="77"/>
      <c r="H54" s="5" t="s">
        <v>1</v>
      </c>
      <c r="I54" s="78">
        <f t="shared" si="31"/>
        <v>0</v>
      </c>
      <c r="J54" s="110">
        <f t="shared" si="32"/>
        <v>75</v>
      </c>
      <c r="K54" s="4">
        <v>70</v>
      </c>
      <c r="L54" s="5" t="s">
        <v>1</v>
      </c>
      <c r="M54" s="80">
        <f t="shared" si="33"/>
        <v>70</v>
      </c>
      <c r="N54" s="78">
        <f t="shared" si="34"/>
        <v>5250</v>
      </c>
      <c r="O54" s="78">
        <f t="shared" si="35"/>
        <v>5250</v>
      </c>
      <c r="P54" s="4">
        <v>0</v>
      </c>
      <c r="Q54" s="4">
        <v>0</v>
      </c>
      <c r="R54" s="49">
        <v>0</v>
      </c>
    </row>
    <row r="55" spans="1:18" x14ac:dyDescent="0.25">
      <c r="A55" s="31"/>
      <c r="B55" s="4" t="s">
        <v>2207</v>
      </c>
      <c r="C55" s="5">
        <v>1</v>
      </c>
      <c r="D55" s="7">
        <v>0</v>
      </c>
      <c r="E55" s="3">
        <f t="shared" si="30"/>
        <v>1</v>
      </c>
      <c r="F55" s="3" t="s">
        <v>867</v>
      </c>
      <c r="G55" s="77"/>
      <c r="H55" s="5" t="s">
        <v>1</v>
      </c>
      <c r="I55" s="78">
        <f t="shared" si="31"/>
        <v>0</v>
      </c>
      <c r="J55" s="110">
        <f t="shared" si="32"/>
        <v>75</v>
      </c>
      <c r="K55" s="4">
        <v>80</v>
      </c>
      <c r="L55" s="5" t="s">
        <v>1</v>
      </c>
      <c r="M55" s="80">
        <f t="shared" si="33"/>
        <v>80</v>
      </c>
      <c r="N55" s="78">
        <f t="shared" si="34"/>
        <v>6000</v>
      </c>
      <c r="O55" s="78">
        <f t="shared" si="35"/>
        <v>6000</v>
      </c>
      <c r="P55" s="4">
        <v>0</v>
      </c>
      <c r="Q55" s="4">
        <v>0</v>
      </c>
      <c r="R55" s="49">
        <v>0</v>
      </c>
    </row>
    <row r="56" spans="1:18" x14ac:dyDescent="0.25">
      <c r="A56" s="31"/>
      <c r="B56" s="4" t="s">
        <v>2206</v>
      </c>
      <c r="C56" s="5">
        <v>1</v>
      </c>
      <c r="D56" s="7">
        <v>0</v>
      </c>
      <c r="E56" s="3">
        <f t="shared" si="30"/>
        <v>1</v>
      </c>
      <c r="F56" s="3" t="s">
        <v>867</v>
      </c>
      <c r="G56" s="77"/>
      <c r="H56" s="5" t="s">
        <v>1</v>
      </c>
      <c r="I56" s="78">
        <f t="shared" si="31"/>
        <v>0</v>
      </c>
      <c r="J56" s="110">
        <f t="shared" si="32"/>
        <v>75</v>
      </c>
      <c r="K56" s="4">
        <v>90</v>
      </c>
      <c r="L56" s="5" t="s">
        <v>1</v>
      </c>
      <c r="M56" s="80">
        <f t="shared" si="33"/>
        <v>90</v>
      </c>
      <c r="N56" s="78">
        <f t="shared" si="34"/>
        <v>6750</v>
      </c>
      <c r="O56" s="78">
        <f t="shared" si="35"/>
        <v>6750</v>
      </c>
      <c r="P56" s="4">
        <v>0</v>
      </c>
      <c r="Q56" s="4">
        <v>0</v>
      </c>
      <c r="R56" s="49">
        <v>0</v>
      </c>
    </row>
    <row r="57" spans="1:18" x14ac:dyDescent="0.25">
      <c r="A57" s="31"/>
      <c r="B57" s="4" t="s">
        <v>2205</v>
      </c>
      <c r="C57" s="5">
        <v>1</v>
      </c>
      <c r="D57" s="7">
        <v>0</v>
      </c>
      <c r="E57" s="3">
        <f t="shared" si="30"/>
        <v>1</v>
      </c>
      <c r="F57" s="3" t="s">
        <v>867</v>
      </c>
      <c r="G57" s="77"/>
      <c r="H57" s="5" t="s">
        <v>1</v>
      </c>
      <c r="I57" s="78">
        <f t="shared" si="31"/>
        <v>0</v>
      </c>
      <c r="J57" s="110">
        <f t="shared" si="32"/>
        <v>75</v>
      </c>
      <c r="K57" s="4">
        <v>100</v>
      </c>
      <c r="L57" s="5" t="s">
        <v>1</v>
      </c>
      <c r="M57" s="80">
        <f t="shared" si="33"/>
        <v>100</v>
      </c>
      <c r="N57" s="78">
        <f t="shared" si="34"/>
        <v>7500</v>
      </c>
      <c r="O57" s="78">
        <f t="shared" si="35"/>
        <v>7500</v>
      </c>
      <c r="P57" s="4">
        <v>0</v>
      </c>
      <c r="Q57" s="4">
        <v>0</v>
      </c>
      <c r="R57" s="49">
        <v>0</v>
      </c>
    </row>
    <row r="58" spans="1:18" x14ac:dyDescent="0.25">
      <c r="A58" s="31"/>
      <c r="B58" s="4" t="s">
        <v>2204</v>
      </c>
      <c r="C58" s="5">
        <v>1</v>
      </c>
      <c r="D58" s="7">
        <v>0</v>
      </c>
      <c r="E58" s="3">
        <f t="shared" si="30"/>
        <v>1</v>
      </c>
      <c r="F58" s="3" t="s">
        <v>867</v>
      </c>
      <c r="G58" s="77"/>
      <c r="H58" s="5" t="s">
        <v>1</v>
      </c>
      <c r="I58" s="78">
        <f t="shared" si="31"/>
        <v>0</v>
      </c>
      <c r="J58" s="110">
        <f t="shared" si="32"/>
        <v>75</v>
      </c>
      <c r="K58" s="4">
        <v>110</v>
      </c>
      <c r="L58" s="5" t="s">
        <v>1</v>
      </c>
      <c r="M58" s="80">
        <f t="shared" si="33"/>
        <v>110</v>
      </c>
      <c r="N58" s="78">
        <f t="shared" si="34"/>
        <v>8250</v>
      </c>
      <c r="O58" s="78">
        <f t="shared" si="35"/>
        <v>8250</v>
      </c>
      <c r="P58" s="4">
        <v>0</v>
      </c>
      <c r="Q58" s="4">
        <v>0</v>
      </c>
      <c r="R58" s="49">
        <v>0</v>
      </c>
    </row>
    <row r="59" spans="1:18" x14ac:dyDescent="0.25">
      <c r="A59" s="31"/>
      <c r="B59" s="4" t="s">
        <v>2203</v>
      </c>
      <c r="C59" s="5">
        <v>1</v>
      </c>
      <c r="D59" s="7">
        <v>0</v>
      </c>
      <c r="E59" s="3">
        <f t="shared" si="30"/>
        <v>1</v>
      </c>
      <c r="F59" s="3" t="s">
        <v>867</v>
      </c>
      <c r="G59" s="77"/>
      <c r="H59" s="5" t="s">
        <v>1</v>
      </c>
      <c r="I59" s="78">
        <f t="shared" si="31"/>
        <v>0</v>
      </c>
      <c r="J59" s="110">
        <f t="shared" si="32"/>
        <v>75</v>
      </c>
      <c r="K59" s="4">
        <v>120</v>
      </c>
      <c r="L59" s="5" t="s">
        <v>1</v>
      </c>
      <c r="M59" s="80">
        <f t="shared" si="33"/>
        <v>120</v>
      </c>
      <c r="N59" s="78">
        <f t="shared" si="34"/>
        <v>9000</v>
      </c>
      <c r="O59" s="78">
        <f t="shared" si="35"/>
        <v>9000</v>
      </c>
      <c r="P59" s="4">
        <v>0</v>
      </c>
      <c r="Q59" s="4">
        <v>0</v>
      </c>
      <c r="R59" s="49">
        <v>0</v>
      </c>
    </row>
    <row r="60" spans="1:18" ht="15.75" thickBot="1" x14ac:dyDescent="0.3">
      <c r="A60" s="31"/>
      <c r="B60" s="258"/>
      <c r="C60" s="259">
        <v>1</v>
      </c>
      <c r="D60" s="259">
        <v>0</v>
      </c>
      <c r="E60" s="259">
        <f t="shared" si="30"/>
        <v>1</v>
      </c>
      <c r="F60" s="259" t="s">
        <v>867</v>
      </c>
      <c r="G60" s="259"/>
      <c r="H60" s="259" t="s">
        <v>1</v>
      </c>
      <c r="I60" s="259">
        <f t="shared" si="31"/>
        <v>0</v>
      </c>
      <c r="J60" s="259">
        <f t="shared" si="32"/>
        <v>75</v>
      </c>
      <c r="K60" s="259"/>
      <c r="L60" s="259" t="s">
        <v>1</v>
      </c>
      <c r="M60" s="259">
        <f t="shared" si="33"/>
        <v>0</v>
      </c>
      <c r="N60" s="259">
        <f t="shared" si="34"/>
        <v>0</v>
      </c>
      <c r="O60" s="259">
        <f t="shared" si="35"/>
        <v>0</v>
      </c>
      <c r="P60" s="259"/>
      <c r="Q60" s="259"/>
      <c r="R60" s="260"/>
    </row>
    <row r="61" spans="1:18" ht="15.75" thickBot="1" x14ac:dyDescent="0.3">
      <c r="A61" s="60"/>
      <c r="B61" s="145" t="s">
        <v>2202</v>
      </c>
      <c r="C61" s="5"/>
      <c r="D61" s="7"/>
      <c r="E61" s="3"/>
      <c r="F61" s="3"/>
      <c r="G61" s="9"/>
      <c r="H61" s="5"/>
      <c r="I61" s="9"/>
      <c r="J61" s="9"/>
      <c r="K61" s="15"/>
      <c r="L61" s="5"/>
      <c r="M61" s="15"/>
      <c r="N61" s="4"/>
      <c r="O61" s="4"/>
      <c r="P61" s="191"/>
      <c r="Q61" s="191"/>
      <c r="R61" s="190"/>
    </row>
    <row r="62" spans="1:18" x14ac:dyDescent="0.25">
      <c r="A62" s="31">
        <v>1</v>
      </c>
      <c r="B62" s="4" t="s">
        <v>2201</v>
      </c>
      <c r="C62" s="5">
        <v>1</v>
      </c>
      <c r="D62" s="7">
        <v>0</v>
      </c>
      <c r="E62" s="3">
        <f t="shared" ref="E62:E74" si="36">C62+(C62*D62)</f>
        <v>1</v>
      </c>
      <c r="F62" s="3" t="s">
        <v>867</v>
      </c>
      <c r="G62" s="77"/>
      <c r="H62" s="5" t="s">
        <v>1</v>
      </c>
      <c r="I62" s="78">
        <f t="shared" ref="I62:I74" si="37">IF(H62="C",(G62/100)*E62,IF(H62="M",(G62/1000)*E62,G62*E62))</f>
        <v>0</v>
      </c>
      <c r="J62" s="110">
        <f t="shared" ref="J62:J74" si="38">$O$4</f>
        <v>75</v>
      </c>
      <c r="K62" s="4">
        <v>12</v>
      </c>
      <c r="L62" s="5" t="s">
        <v>1</v>
      </c>
      <c r="M62" s="80">
        <f t="shared" ref="M62:M74" si="39">IF(L62="C",(K62/100)*E62,IF(L62="M",(K62/1000)*E62,K62*E62))</f>
        <v>12</v>
      </c>
      <c r="N62" s="78">
        <f t="shared" ref="N62:N74" si="40">M62*J62</f>
        <v>900</v>
      </c>
      <c r="O62" s="78">
        <f t="shared" ref="O62:O74" si="41">N62+I62</f>
        <v>900</v>
      </c>
      <c r="P62" s="4">
        <v>6</v>
      </c>
      <c r="Q62" s="4">
        <v>7.5</v>
      </c>
      <c r="R62" s="49">
        <v>9</v>
      </c>
    </row>
    <row r="63" spans="1:18" x14ac:dyDescent="0.25">
      <c r="A63" s="31"/>
      <c r="B63" s="4" t="s">
        <v>2200</v>
      </c>
      <c r="C63" s="5">
        <v>1</v>
      </c>
      <c r="D63" s="7">
        <v>0</v>
      </c>
      <c r="E63" s="3">
        <f t="shared" si="36"/>
        <v>1</v>
      </c>
      <c r="F63" s="3" t="s">
        <v>867</v>
      </c>
      <c r="G63" s="77"/>
      <c r="H63" s="5" t="s">
        <v>1</v>
      </c>
      <c r="I63" s="78">
        <f t="shared" si="37"/>
        <v>0</v>
      </c>
      <c r="J63" s="110">
        <f t="shared" si="38"/>
        <v>75</v>
      </c>
      <c r="K63" s="4">
        <v>24</v>
      </c>
      <c r="L63" s="5" t="s">
        <v>1</v>
      </c>
      <c r="M63" s="80">
        <f t="shared" si="39"/>
        <v>24</v>
      </c>
      <c r="N63" s="78">
        <f t="shared" si="40"/>
        <v>1800</v>
      </c>
      <c r="O63" s="78">
        <f t="shared" si="41"/>
        <v>1800</v>
      </c>
      <c r="P63" s="4">
        <v>12</v>
      </c>
      <c r="Q63" s="4">
        <v>15</v>
      </c>
      <c r="R63" s="49">
        <v>18</v>
      </c>
    </row>
    <row r="64" spans="1:18" x14ac:dyDescent="0.25">
      <c r="A64" s="31"/>
      <c r="B64" s="4" t="s">
        <v>2199</v>
      </c>
      <c r="C64" s="5">
        <v>1</v>
      </c>
      <c r="D64" s="7">
        <v>0</v>
      </c>
      <c r="E64" s="3">
        <f t="shared" si="36"/>
        <v>1</v>
      </c>
      <c r="F64" s="3" t="s">
        <v>867</v>
      </c>
      <c r="G64" s="77"/>
      <c r="H64" s="5" t="s">
        <v>1</v>
      </c>
      <c r="I64" s="78">
        <f t="shared" si="37"/>
        <v>0</v>
      </c>
      <c r="J64" s="110">
        <f t="shared" si="38"/>
        <v>75</v>
      </c>
      <c r="K64" s="4">
        <v>36</v>
      </c>
      <c r="L64" s="5" t="s">
        <v>1</v>
      </c>
      <c r="M64" s="80">
        <f t="shared" si="39"/>
        <v>36</v>
      </c>
      <c r="N64" s="78">
        <f t="shared" si="40"/>
        <v>2700</v>
      </c>
      <c r="O64" s="78">
        <f t="shared" si="41"/>
        <v>2700</v>
      </c>
      <c r="P64" s="4">
        <v>18</v>
      </c>
      <c r="Q64" s="4">
        <v>22.5</v>
      </c>
      <c r="R64" s="49">
        <v>27</v>
      </c>
    </row>
    <row r="65" spans="1:18" x14ac:dyDescent="0.25">
      <c r="A65" s="31"/>
      <c r="B65" s="4" t="s">
        <v>2198</v>
      </c>
      <c r="C65" s="5">
        <v>1</v>
      </c>
      <c r="D65" s="7">
        <v>0</v>
      </c>
      <c r="E65" s="3">
        <f t="shared" si="36"/>
        <v>1</v>
      </c>
      <c r="F65" s="3" t="s">
        <v>867</v>
      </c>
      <c r="G65" s="77"/>
      <c r="H65" s="5" t="s">
        <v>1</v>
      </c>
      <c r="I65" s="78">
        <f t="shared" si="37"/>
        <v>0</v>
      </c>
      <c r="J65" s="110">
        <f t="shared" si="38"/>
        <v>75</v>
      </c>
      <c r="K65" s="4">
        <v>48</v>
      </c>
      <c r="L65" s="5" t="s">
        <v>1</v>
      </c>
      <c r="M65" s="80">
        <f t="shared" si="39"/>
        <v>48</v>
      </c>
      <c r="N65" s="78">
        <f t="shared" si="40"/>
        <v>3600</v>
      </c>
      <c r="O65" s="78">
        <f t="shared" si="41"/>
        <v>3600</v>
      </c>
      <c r="P65" s="4">
        <v>0</v>
      </c>
      <c r="Q65" s="4">
        <v>0</v>
      </c>
      <c r="R65" s="49">
        <v>0</v>
      </c>
    </row>
    <row r="66" spans="1:18" x14ac:dyDescent="0.25">
      <c r="A66" s="31"/>
      <c r="B66" s="4" t="s">
        <v>2197</v>
      </c>
      <c r="C66" s="5">
        <v>1</v>
      </c>
      <c r="D66" s="7">
        <v>0</v>
      </c>
      <c r="E66" s="3">
        <f t="shared" si="36"/>
        <v>1</v>
      </c>
      <c r="F66" s="3" t="s">
        <v>867</v>
      </c>
      <c r="G66" s="77"/>
      <c r="H66" s="5" t="s">
        <v>1</v>
      </c>
      <c r="I66" s="78">
        <f t="shared" si="37"/>
        <v>0</v>
      </c>
      <c r="J66" s="110">
        <f t="shared" si="38"/>
        <v>75</v>
      </c>
      <c r="K66" s="4">
        <v>60</v>
      </c>
      <c r="L66" s="5" t="s">
        <v>1</v>
      </c>
      <c r="M66" s="80">
        <f t="shared" si="39"/>
        <v>60</v>
      </c>
      <c r="N66" s="78">
        <f t="shared" si="40"/>
        <v>4500</v>
      </c>
      <c r="O66" s="78">
        <f t="shared" si="41"/>
        <v>4500</v>
      </c>
      <c r="P66" s="4">
        <v>0</v>
      </c>
      <c r="Q66" s="4">
        <v>0</v>
      </c>
      <c r="R66" s="49">
        <v>0</v>
      </c>
    </row>
    <row r="67" spans="1:18" x14ac:dyDescent="0.25">
      <c r="A67" s="31"/>
      <c r="B67" s="4" t="s">
        <v>2196</v>
      </c>
      <c r="C67" s="5">
        <v>1</v>
      </c>
      <c r="D67" s="7">
        <v>0</v>
      </c>
      <c r="E67" s="3">
        <f t="shared" si="36"/>
        <v>1</v>
      </c>
      <c r="F67" s="3" t="s">
        <v>867</v>
      </c>
      <c r="G67" s="77"/>
      <c r="H67" s="5" t="s">
        <v>1</v>
      </c>
      <c r="I67" s="78">
        <f t="shared" si="37"/>
        <v>0</v>
      </c>
      <c r="J67" s="110">
        <f t="shared" si="38"/>
        <v>75</v>
      </c>
      <c r="K67" s="4">
        <v>72</v>
      </c>
      <c r="L67" s="5" t="s">
        <v>1</v>
      </c>
      <c r="M67" s="80">
        <f t="shared" si="39"/>
        <v>72</v>
      </c>
      <c r="N67" s="78">
        <f t="shared" si="40"/>
        <v>5400</v>
      </c>
      <c r="O67" s="78">
        <f t="shared" si="41"/>
        <v>5400</v>
      </c>
      <c r="P67" s="4">
        <v>0</v>
      </c>
      <c r="Q67" s="4">
        <v>0</v>
      </c>
      <c r="R67" s="49">
        <v>0</v>
      </c>
    </row>
    <row r="68" spans="1:18" x14ac:dyDescent="0.25">
      <c r="A68" s="31"/>
      <c r="B68" s="4" t="s">
        <v>2195</v>
      </c>
      <c r="C68" s="5">
        <v>1</v>
      </c>
      <c r="D68" s="7">
        <v>0</v>
      </c>
      <c r="E68" s="3">
        <f t="shared" si="36"/>
        <v>1</v>
      </c>
      <c r="F68" s="3" t="s">
        <v>867</v>
      </c>
      <c r="G68" s="77"/>
      <c r="H68" s="5" t="s">
        <v>1</v>
      </c>
      <c r="I68" s="78">
        <f t="shared" si="37"/>
        <v>0</v>
      </c>
      <c r="J68" s="110">
        <f t="shared" si="38"/>
        <v>75</v>
      </c>
      <c r="K68" s="4">
        <v>84</v>
      </c>
      <c r="L68" s="5" t="s">
        <v>1</v>
      </c>
      <c r="M68" s="80">
        <f t="shared" si="39"/>
        <v>84</v>
      </c>
      <c r="N68" s="78">
        <f t="shared" si="40"/>
        <v>6300</v>
      </c>
      <c r="O68" s="78">
        <f t="shared" si="41"/>
        <v>6300</v>
      </c>
      <c r="P68" s="4">
        <v>0</v>
      </c>
      <c r="Q68" s="4">
        <v>0</v>
      </c>
      <c r="R68" s="49">
        <v>0</v>
      </c>
    </row>
    <row r="69" spans="1:18" x14ac:dyDescent="0.25">
      <c r="A69" s="60"/>
      <c r="B69" s="8" t="s">
        <v>2194</v>
      </c>
      <c r="C69" s="5">
        <v>1</v>
      </c>
      <c r="D69" s="7">
        <v>0</v>
      </c>
      <c r="E69" s="3">
        <f t="shared" si="36"/>
        <v>1</v>
      </c>
      <c r="F69" s="3" t="s">
        <v>867</v>
      </c>
      <c r="G69" s="77"/>
      <c r="H69" s="5" t="s">
        <v>1</v>
      </c>
      <c r="I69" s="78">
        <f t="shared" si="37"/>
        <v>0</v>
      </c>
      <c r="J69" s="110">
        <f t="shared" si="38"/>
        <v>75</v>
      </c>
      <c r="K69" s="4">
        <v>96</v>
      </c>
      <c r="L69" s="5" t="s">
        <v>1</v>
      </c>
      <c r="M69" s="80">
        <f t="shared" si="39"/>
        <v>96</v>
      </c>
      <c r="N69" s="78">
        <f t="shared" si="40"/>
        <v>7200</v>
      </c>
      <c r="O69" s="78">
        <f t="shared" si="41"/>
        <v>7200</v>
      </c>
      <c r="P69" s="4">
        <v>0</v>
      </c>
      <c r="Q69" s="191">
        <v>0</v>
      </c>
      <c r="R69" s="190">
        <v>0</v>
      </c>
    </row>
    <row r="70" spans="1:18" x14ac:dyDescent="0.25">
      <c r="A70" s="31"/>
      <c r="B70" s="4" t="s">
        <v>2193</v>
      </c>
      <c r="C70" s="5">
        <v>1</v>
      </c>
      <c r="D70" s="7">
        <v>0</v>
      </c>
      <c r="E70" s="3">
        <f t="shared" si="36"/>
        <v>1</v>
      </c>
      <c r="F70" s="3" t="s">
        <v>867</v>
      </c>
      <c r="G70" s="77"/>
      <c r="H70" s="5" t="s">
        <v>1</v>
      </c>
      <c r="I70" s="78">
        <f t="shared" si="37"/>
        <v>0</v>
      </c>
      <c r="J70" s="110">
        <f t="shared" si="38"/>
        <v>75</v>
      </c>
      <c r="K70" s="4">
        <v>108</v>
      </c>
      <c r="L70" s="5" t="s">
        <v>1</v>
      </c>
      <c r="M70" s="80">
        <f t="shared" si="39"/>
        <v>108</v>
      </c>
      <c r="N70" s="78">
        <f t="shared" si="40"/>
        <v>8100</v>
      </c>
      <c r="O70" s="78">
        <f t="shared" si="41"/>
        <v>8100</v>
      </c>
      <c r="P70" s="4">
        <v>0</v>
      </c>
      <c r="Q70" s="4">
        <v>0</v>
      </c>
      <c r="R70" s="49">
        <v>0</v>
      </c>
    </row>
    <row r="71" spans="1:18" x14ac:dyDescent="0.25">
      <c r="A71" s="31"/>
      <c r="B71" s="4" t="s">
        <v>2192</v>
      </c>
      <c r="C71" s="5">
        <v>1</v>
      </c>
      <c r="D71" s="7">
        <v>0</v>
      </c>
      <c r="E71" s="3">
        <f t="shared" si="36"/>
        <v>1</v>
      </c>
      <c r="F71" s="3" t="s">
        <v>867</v>
      </c>
      <c r="G71" s="77"/>
      <c r="H71" s="5" t="s">
        <v>1</v>
      </c>
      <c r="I71" s="78">
        <f t="shared" si="37"/>
        <v>0</v>
      </c>
      <c r="J71" s="110">
        <f t="shared" si="38"/>
        <v>75</v>
      </c>
      <c r="K71" s="4">
        <v>120</v>
      </c>
      <c r="L71" s="5" t="s">
        <v>1</v>
      </c>
      <c r="M71" s="80">
        <f t="shared" si="39"/>
        <v>120</v>
      </c>
      <c r="N71" s="78">
        <f t="shared" si="40"/>
        <v>9000</v>
      </c>
      <c r="O71" s="78">
        <f t="shared" si="41"/>
        <v>9000</v>
      </c>
      <c r="P71" s="4">
        <v>0</v>
      </c>
      <c r="Q71" s="4">
        <v>0</v>
      </c>
      <c r="R71" s="49">
        <v>0</v>
      </c>
    </row>
    <row r="72" spans="1:18" x14ac:dyDescent="0.25">
      <c r="A72" s="31"/>
      <c r="B72" s="4" t="s">
        <v>2191</v>
      </c>
      <c r="C72" s="5">
        <v>1</v>
      </c>
      <c r="D72" s="7">
        <v>0</v>
      </c>
      <c r="E72" s="3">
        <f t="shared" si="36"/>
        <v>1</v>
      </c>
      <c r="F72" s="3" t="s">
        <v>867</v>
      </c>
      <c r="G72" s="77"/>
      <c r="H72" s="5" t="s">
        <v>1</v>
      </c>
      <c r="I72" s="78">
        <f t="shared" si="37"/>
        <v>0</v>
      </c>
      <c r="J72" s="110">
        <f t="shared" si="38"/>
        <v>75</v>
      </c>
      <c r="K72" s="4">
        <v>132</v>
      </c>
      <c r="L72" s="5" t="s">
        <v>1</v>
      </c>
      <c r="M72" s="80">
        <f t="shared" si="39"/>
        <v>132</v>
      </c>
      <c r="N72" s="78">
        <f t="shared" si="40"/>
        <v>9900</v>
      </c>
      <c r="O72" s="78">
        <f t="shared" si="41"/>
        <v>9900</v>
      </c>
      <c r="P72" s="4">
        <v>0</v>
      </c>
      <c r="Q72" s="4">
        <v>0</v>
      </c>
      <c r="R72" s="49">
        <v>0</v>
      </c>
    </row>
    <row r="73" spans="1:18" x14ac:dyDescent="0.25">
      <c r="A73" s="31"/>
      <c r="B73" s="4" t="s">
        <v>2190</v>
      </c>
      <c r="C73" s="5">
        <v>1</v>
      </c>
      <c r="D73" s="7">
        <v>0</v>
      </c>
      <c r="E73" s="3">
        <f t="shared" si="36"/>
        <v>1</v>
      </c>
      <c r="F73" s="3" t="s">
        <v>867</v>
      </c>
      <c r="G73" s="77"/>
      <c r="H73" s="5" t="s">
        <v>1</v>
      </c>
      <c r="I73" s="78">
        <f t="shared" si="37"/>
        <v>0</v>
      </c>
      <c r="J73" s="110">
        <f t="shared" si="38"/>
        <v>75</v>
      </c>
      <c r="K73" s="4">
        <v>144</v>
      </c>
      <c r="L73" s="5" t="s">
        <v>1</v>
      </c>
      <c r="M73" s="80">
        <f t="shared" si="39"/>
        <v>144</v>
      </c>
      <c r="N73" s="78">
        <f t="shared" si="40"/>
        <v>10800</v>
      </c>
      <c r="O73" s="78">
        <f t="shared" si="41"/>
        <v>10800</v>
      </c>
      <c r="P73" s="4">
        <v>0</v>
      </c>
      <c r="Q73" s="4">
        <v>0</v>
      </c>
      <c r="R73" s="49">
        <v>0</v>
      </c>
    </row>
    <row r="74" spans="1:18" ht="15.75" thickBot="1" x14ac:dyDescent="0.3">
      <c r="A74" s="31"/>
      <c r="B74" s="258"/>
      <c r="C74" s="259">
        <v>1</v>
      </c>
      <c r="D74" s="259">
        <v>0</v>
      </c>
      <c r="E74" s="259">
        <f t="shared" si="36"/>
        <v>1</v>
      </c>
      <c r="F74" s="259" t="s">
        <v>867</v>
      </c>
      <c r="G74" s="259"/>
      <c r="H74" s="259" t="s">
        <v>1</v>
      </c>
      <c r="I74" s="259">
        <f t="shared" si="37"/>
        <v>0</v>
      </c>
      <c r="J74" s="259">
        <f t="shared" si="38"/>
        <v>75</v>
      </c>
      <c r="K74" s="259"/>
      <c r="L74" s="259" t="s">
        <v>1</v>
      </c>
      <c r="M74" s="259">
        <f t="shared" si="39"/>
        <v>0</v>
      </c>
      <c r="N74" s="259">
        <f t="shared" si="40"/>
        <v>0</v>
      </c>
      <c r="O74" s="259">
        <f t="shared" si="41"/>
        <v>0</v>
      </c>
      <c r="P74" s="259"/>
      <c r="Q74" s="259"/>
      <c r="R74" s="260"/>
    </row>
    <row r="75" spans="1:18" ht="15.75" thickBot="1" x14ac:dyDescent="0.3">
      <c r="A75" s="60"/>
      <c r="B75" s="145" t="s">
        <v>2189</v>
      </c>
      <c r="C75" s="5"/>
      <c r="D75" s="7"/>
      <c r="E75" s="3"/>
      <c r="F75" s="3"/>
      <c r="G75" s="9"/>
      <c r="H75" s="5"/>
      <c r="I75" s="9"/>
      <c r="J75" s="9"/>
      <c r="K75" s="15"/>
      <c r="L75" s="5"/>
      <c r="M75" s="15"/>
      <c r="N75" s="4"/>
      <c r="O75" s="4"/>
      <c r="P75" s="191"/>
      <c r="Q75" s="191"/>
      <c r="R75" s="190"/>
    </row>
    <row r="76" spans="1:18" x14ac:dyDescent="0.25">
      <c r="A76" s="31">
        <v>1</v>
      </c>
      <c r="B76" s="4" t="s">
        <v>2188</v>
      </c>
      <c r="C76" s="5">
        <v>1</v>
      </c>
      <c r="D76" s="7">
        <v>0</v>
      </c>
      <c r="E76" s="3">
        <f t="shared" ref="E76:E88" si="42">C76+(C76*D76)</f>
        <v>1</v>
      </c>
      <c r="F76" s="3" t="s">
        <v>867</v>
      </c>
      <c r="G76" s="77"/>
      <c r="H76" s="5" t="s">
        <v>1</v>
      </c>
      <c r="I76" s="78">
        <f t="shared" ref="I76:I88" si="43">IF(H76="C",(G76/100)*E76,IF(H76="M",(G76/1000)*E76,G76*E76))</f>
        <v>0</v>
      </c>
      <c r="J76" s="110">
        <f t="shared" ref="J76:J88" si="44">$O$4</f>
        <v>75</v>
      </c>
      <c r="K76" s="4">
        <v>14</v>
      </c>
      <c r="L76" s="5" t="s">
        <v>1</v>
      </c>
      <c r="M76" s="80">
        <f t="shared" ref="M76:M88" si="45">IF(L76="C",(K76/100)*E76,IF(L76="M",(K76/1000)*E76,K76*E76))</f>
        <v>14</v>
      </c>
      <c r="N76" s="78">
        <f t="shared" ref="N76:N88" si="46">M76*J76</f>
        <v>1050</v>
      </c>
      <c r="O76" s="78">
        <f t="shared" ref="O76:O88" si="47">N76+I76</f>
        <v>1050</v>
      </c>
      <c r="P76" s="4">
        <v>6</v>
      </c>
      <c r="Q76" s="4">
        <v>7.5</v>
      </c>
      <c r="R76" s="49">
        <v>9</v>
      </c>
    </row>
    <row r="77" spans="1:18" x14ac:dyDescent="0.25">
      <c r="A77" s="31"/>
      <c r="B77" s="4" t="s">
        <v>2187</v>
      </c>
      <c r="C77" s="5">
        <v>1</v>
      </c>
      <c r="D77" s="7">
        <v>0</v>
      </c>
      <c r="E77" s="3">
        <f t="shared" si="42"/>
        <v>1</v>
      </c>
      <c r="F77" s="3" t="s">
        <v>867</v>
      </c>
      <c r="G77" s="77"/>
      <c r="H77" s="5" t="s">
        <v>1</v>
      </c>
      <c r="I77" s="78">
        <f t="shared" si="43"/>
        <v>0</v>
      </c>
      <c r="J77" s="110">
        <f t="shared" si="44"/>
        <v>75</v>
      </c>
      <c r="K77" s="4">
        <v>28</v>
      </c>
      <c r="L77" s="5" t="s">
        <v>1</v>
      </c>
      <c r="M77" s="80">
        <f t="shared" si="45"/>
        <v>28</v>
      </c>
      <c r="N77" s="78">
        <f t="shared" si="46"/>
        <v>2100</v>
      </c>
      <c r="O77" s="78">
        <f t="shared" si="47"/>
        <v>2100</v>
      </c>
      <c r="P77" s="4">
        <v>12</v>
      </c>
      <c r="Q77" s="4">
        <v>15</v>
      </c>
      <c r="R77" s="49">
        <v>18</v>
      </c>
    </row>
    <row r="78" spans="1:18" x14ac:dyDescent="0.25">
      <c r="A78" s="31"/>
      <c r="B78" s="4" t="s">
        <v>2186</v>
      </c>
      <c r="C78" s="5">
        <v>1</v>
      </c>
      <c r="D78" s="7">
        <v>0</v>
      </c>
      <c r="E78" s="3">
        <f t="shared" si="42"/>
        <v>1</v>
      </c>
      <c r="F78" s="3" t="s">
        <v>867</v>
      </c>
      <c r="G78" s="77"/>
      <c r="H78" s="5" t="s">
        <v>1</v>
      </c>
      <c r="I78" s="78">
        <f t="shared" si="43"/>
        <v>0</v>
      </c>
      <c r="J78" s="110">
        <f t="shared" si="44"/>
        <v>75</v>
      </c>
      <c r="K78" s="4">
        <v>42</v>
      </c>
      <c r="L78" s="5" t="s">
        <v>1</v>
      </c>
      <c r="M78" s="80">
        <f t="shared" si="45"/>
        <v>42</v>
      </c>
      <c r="N78" s="78">
        <f t="shared" si="46"/>
        <v>3150</v>
      </c>
      <c r="O78" s="78">
        <f t="shared" si="47"/>
        <v>3150</v>
      </c>
      <c r="P78" s="4">
        <v>18</v>
      </c>
      <c r="Q78" s="4">
        <v>22.5</v>
      </c>
      <c r="R78" s="49">
        <v>27</v>
      </c>
    </row>
    <row r="79" spans="1:18" x14ac:dyDescent="0.25">
      <c r="A79" s="31"/>
      <c r="B79" s="4" t="s">
        <v>2185</v>
      </c>
      <c r="C79" s="5">
        <v>1</v>
      </c>
      <c r="D79" s="7">
        <v>0</v>
      </c>
      <c r="E79" s="3">
        <f t="shared" si="42"/>
        <v>1</v>
      </c>
      <c r="F79" s="3" t="s">
        <v>867</v>
      </c>
      <c r="G79" s="77"/>
      <c r="H79" s="5" t="s">
        <v>1</v>
      </c>
      <c r="I79" s="78">
        <f t="shared" si="43"/>
        <v>0</v>
      </c>
      <c r="J79" s="110">
        <f t="shared" si="44"/>
        <v>75</v>
      </c>
      <c r="K79" s="4">
        <v>56</v>
      </c>
      <c r="L79" s="5" t="s">
        <v>1</v>
      </c>
      <c r="M79" s="80">
        <f t="shared" si="45"/>
        <v>56</v>
      </c>
      <c r="N79" s="78">
        <f t="shared" si="46"/>
        <v>4200</v>
      </c>
      <c r="O79" s="78">
        <f t="shared" si="47"/>
        <v>4200</v>
      </c>
      <c r="P79" s="4">
        <v>0</v>
      </c>
      <c r="Q79" s="4">
        <v>0</v>
      </c>
      <c r="R79" s="49">
        <v>0</v>
      </c>
    </row>
    <row r="80" spans="1:18" x14ac:dyDescent="0.25">
      <c r="A80" s="31"/>
      <c r="B80" s="4" t="s">
        <v>2184</v>
      </c>
      <c r="C80" s="5">
        <v>1</v>
      </c>
      <c r="D80" s="7">
        <v>0</v>
      </c>
      <c r="E80" s="3">
        <f t="shared" si="42"/>
        <v>1</v>
      </c>
      <c r="F80" s="3" t="s">
        <v>867</v>
      </c>
      <c r="G80" s="77"/>
      <c r="H80" s="5" t="s">
        <v>1</v>
      </c>
      <c r="I80" s="78">
        <f t="shared" si="43"/>
        <v>0</v>
      </c>
      <c r="J80" s="110">
        <f t="shared" si="44"/>
        <v>75</v>
      </c>
      <c r="K80" s="4">
        <v>70</v>
      </c>
      <c r="L80" s="5" t="s">
        <v>1</v>
      </c>
      <c r="M80" s="80">
        <f t="shared" si="45"/>
        <v>70</v>
      </c>
      <c r="N80" s="78">
        <f t="shared" si="46"/>
        <v>5250</v>
      </c>
      <c r="O80" s="78">
        <f t="shared" si="47"/>
        <v>5250</v>
      </c>
      <c r="P80" s="4">
        <v>0</v>
      </c>
      <c r="Q80" s="4">
        <v>0</v>
      </c>
      <c r="R80" s="49">
        <v>0</v>
      </c>
    </row>
    <row r="81" spans="1:18" x14ac:dyDescent="0.25">
      <c r="A81" s="31"/>
      <c r="B81" s="4" t="s">
        <v>2183</v>
      </c>
      <c r="C81" s="5">
        <v>1</v>
      </c>
      <c r="D81" s="7">
        <v>0</v>
      </c>
      <c r="E81" s="3">
        <f t="shared" si="42"/>
        <v>1</v>
      </c>
      <c r="F81" s="3" t="s">
        <v>867</v>
      </c>
      <c r="G81" s="77"/>
      <c r="H81" s="5" t="s">
        <v>1</v>
      </c>
      <c r="I81" s="78">
        <f t="shared" si="43"/>
        <v>0</v>
      </c>
      <c r="J81" s="110">
        <f t="shared" si="44"/>
        <v>75</v>
      </c>
      <c r="K81" s="4">
        <v>84</v>
      </c>
      <c r="L81" s="5" t="s">
        <v>1</v>
      </c>
      <c r="M81" s="80">
        <f t="shared" si="45"/>
        <v>84</v>
      </c>
      <c r="N81" s="78">
        <f t="shared" si="46"/>
        <v>6300</v>
      </c>
      <c r="O81" s="78">
        <f t="shared" si="47"/>
        <v>6300</v>
      </c>
      <c r="P81" s="4">
        <v>0</v>
      </c>
      <c r="Q81" s="4">
        <v>0</v>
      </c>
      <c r="R81" s="49">
        <v>0</v>
      </c>
    </row>
    <row r="82" spans="1:18" x14ac:dyDescent="0.25">
      <c r="A82" s="31"/>
      <c r="B82" s="4" t="s">
        <v>2182</v>
      </c>
      <c r="C82" s="5">
        <v>1</v>
      </c>
      <c r="D82" s="7">
        <v>0</v>
      </c>
      <c r="E82" s="3">
        <f t="shared" si="42"/>
        <v>1</v>
      </c>
      <c r="F82" s="3" t="s">
        <v>867</v>
      </c>
      <c r="G82" s="77"/>
      <c r="H82" s="5" t="s">
        <v>1</v>
      </c>
      <c r="I82" s="78">
        <f t="shared" si="43"/>
        <v>0</v>
      </c>
      <c r="J82" s="110">
        <f t="shared" si="44"/>
        <v>75</v>
      </c>
      <c r="K82" s="4">
        <v>98</v>
      </c>
      <c r="L82" s="5" t="s">
        <v>1</v>
      </c>
      <c r="M82" s="80">
        <f t="shared" si="45"/>
        <v>98</v>
      </c>
      <c r="N82" s="78">
        <f t="shared" si="46"/>
        <v>7350</v>
      </c>
      <c r="O82" s="78">
        <f t="shared" si="47"/>
        <v>7350</v>
      </c>
      <c r="P82" s="4">
        <v>0</v>
      </c>
      <c r="Q82" s="4">
        <v>0</v>
      </c>
      <c r="R82" s="49">
        <v>0</v>
      </c>
    </row>
    <row r="83" spans="1:18" x14ac:dyDescent="0.25">
      <c r="A83" s="31"/>
      <c r="B83" s="4" t="s">
        <v>2181</v>
      </c>
      <c r="C83" s="5">
        <v>1</v>
      </c>
      <c r="D83" s="7">
        <v>0</v>
      </c>
      <c r="E83" s="3">
        <f t="shared" si="42"/>
        <v>1</v>
      </c>
      <c r="F83" s="3" t="s">
        <v>867</v>
      </c>
      <c r="G83" s="77"/>
      <c r="H83" s="5" t="s">
        <v>1</v>
      </c>
      <c r="I83" s="78">
        <f t="shared" si="43"/>
        <v>0</v>
      </c>
      <c r="J83" s="110">
        <f t="shared" si="44"/>
        <v>75</v>
      </c>
      <c r="K83" s="4">
        <v>112</v>
      </c>
      <c r="L83" s="5" t="s">
        <v>1</v>
      </c>
      <c r="M83" s="80">
        <f t="shared" si="45"/>
        <v>112</v>
      </c>
      <c r="N83" s="78">
        <f t="shared" si="46"/>
        <v>8400</v>
      </c>
      <c r="O83" s="78">
        <f t="shared" si="47"/>
        <v>8400</v>
      </c>
      <c r="P83" s="4">
        <v>0</v>
      </c>
      <c r="Q83" s="4">
        <v>0</v>
      </c>
      <c r="R83" s="49">
        <v>0</v>
      </c>
    </row>
    <row r="84" spans="1:18" x14ac:dyDescent="0.25">
      <c r="A84" s="60"/>
      <c r="B84" s="8" t="s">
        <v>2180</v>
      </c>
      <c r="C84" s="5">
        <v>1</v>
      </c>
      <c r="D84" s="7">
        <v>0</v>
      </c>
      <c r="E84" s="3">
        <f t="shared" si="42"/>
        <v>1</v>
      </c>
      <c r="F84" s="3" t="s">
        <v>867</v>
      </c>
      <c r="G84" s="77"/>
      <c r="H84" s="5" t="s">
        <v>1</v>
      </c>
      <c r="I84" s="78">
        <f t="shared" si="43"/>
        <v>0</v>
      </c>
      <c r="J84" s="110">
        <f t="shared" si="44"/>
        <v>75</v>
      </c>
      <c r="K84" s="4">
        <v>126</v>
      </c>
      <c r="L84" s="5" t="s">
        <v>1</v>
      </c>
      <c r="M84" s="80">
        <f t="shared" si="45"/>
        <v>126</v>
      </c>
      <c r="N84" s="78">
        <f t="shared" si="46"/>
        <v>9450</v>
      </c>
      <c r="O84" s="78">
        <f t="shared" si="47"/>
        <v>9450</v>
      </c>
      <c r="P84" s="4">
        <v>0</v>
      </c>
      <c r="Q84" s="4">
        <v>0</v>
      </c>
      <c r="R84" s="49">
        <v>0</v>
      </c>
    </row>
    <row r="85" spans="1:18" x14ac:dyDescent="0.25">
      <c r="A85" s="31"/>
      <c r="B85" s="4" t="s">
        <v>2179</v>
      </c>
      <c r="C85" s="5">
        <v>1</v>
      </c>
      <c r="D85" s="7">
        <v>0</v>
      </c>
      <c r="E85" s="3">
        <f t="shared" si="42"/>
        <v>1</v>
      </c>
      <c r="F85" s="3" t="s">
        <v>867</v>
      </c>
      <c r="G85" s="77"/>
      <c r="H85" s="5" t="s">
        <v>1</v>
      </c>
      <c r="I85" s="78">
        <f t="shared" si="43"/>
        <v>0</v>
      </c>
      <c r="J85" s="110">
        <f t="shared" si="44"/>
        <v>75</v>
      </c>
      <c r="K85" s="4">
        <v>140</v>
      </c>
      <c r="L85" s="5" t="s">
        <v>1</v>
      </c>
      <c r="M85" s="80">
        <f t="shared" si="45"/>
        <v>140</v>
      </c>
      <c r="N85" s="78">
        <f t="shared" si="46"/>
        <v>10500</v>
      </c>
      <c r="O85" s="78">
        <f t="shared" si="47"/>
        <v>10500</v>
      </c>
      <c r="P85" s="4">
        <v>0</v>
      </c>
      <c r="Q85" s="4">
        <v>0</v>
      </c>
      <c r="R85" s="49">
        <v>0</v>
      </c>
    </row>
    <row r="86" spans="1:18" x14ac:dyDescent="0.25">
      <c r="A86" s="31"/>
      <c r="B86" s="4" t="s">
        <v>2178</v>
      </c>
      <c r="C86" s="5">
        <v>1</v>
      </c>
      <c r="D86" s="7">
        <v>0</v>
      </c>
      <c r="E86" s="3">
        <f t="shared" si="42"/>
        <v>1</v>
      </c>
      <c r="F86" s="3" t="s">
        <v>867</v>
      </c>
      <c r="G86" s="77"/>
      <c r="H86" s="5" t="s">
        <v>1</v>
      </c>
      <c r="I86" s="78">
        <f t="shared" si="43"/>
        <v>0</v>
      </c>
      <c r="J86" s="110">
        <f t="shared" si="44"/>
        <v>75</v>
      </c>
      <c r="K86" s="4">
        <v>154</v>
      </c>
      <c r="L86" s="5" t="s">
        <v>1</v>
      </c>
      <c r="M86" s="80">
        <f t="shared" si="45"/>
        <v>154</v>
      </c>
      <c r="N86" s="78">
        <f t="shared" si="46"/>
        <v>11550</v>
      </c>
      <c r="O86" s="78">
        <f t="shared" si="47"/>
        <v>11550</v>
      </c>
      <c r="P86" s="4">
        <v>0</v>
      </c>
      <c r="Q86" s="4">
        <v>0</v>
      </c>
      <c r="R86" s="49">
        <v>0</v>
      </c>
    </row>
    <row r="87" spans="1:18" x14ac:dyDescent="0.25">
      <c r="A87" s="31"/>
      <c r="B87" s="4" t="s">
        <v>2177</v>
      </c>
      <c r="C87" s="5">
        <v>1</v>
      </c>
      <c r="D87" s="7">
        <v>0</v>
      </c>
      <c r="E87" s="3">
        <f t="shared" si="42"/>
        <v>1</v>
      </c>
      <c r="F87" s="3" t="s">
        <v>867</v>
      </c>
      <c r="G87" s="77"/>
      <c r="H87" s="5" t="s">
        <v>1</v>
      </c>
      <c r="I87" s="78">
        <f t="shared" si="43"/>
        <v>0</v>
      </c>
      <c r="J87" s="110">
        <f t="shared" si="44"/>
        <v>75</v>
      </c>
      <c r="K87" s="4">
        <v>168</v>
      </c>
      <c r="L87" s="5" t="s">
        <v>1</v>
      </c>
      <c r="M87" s="80">
        <f t="shared" si="45"/>
        <v>168</v>
      </c>
      <c r="N87" s="78">
        <f t="shared" si="46"/>
        <v>12600</v>
      </c>
      <c r="O87" s="78">
        <f t="shared" si="47"/>
        <v>12600</v>
      </c>
      <c r="P87" s="4">
        <v>0</v>
      </c>
      <c r="Q87" s="4">
        <v>0</v>
      </c>
      <c r="R87" s="49">
        <v>0</v>
      </c>
    </row>
    <row r="88" spans="1:18" ht="15.75" thickBot="1" x14ac:dyDescent="0.3">
      <c r="A88" s="31"/>
      <c r="B88" s="258"/>
      <c r="C88" s="259">
        <v>1</v>
      </c>
      <c r="D88" s="259">
        <v>0</v>
      </c>
      <c r="E88" s="259">
        <f t="shared" si="42"/>
        <v>1</v>
      </c>
      <c r="F88" s="259" t="s">
        <v>867</v>
      </c>
      <c r="G88" s="259"/>
      <c r="H88" s="259" t="s">
        <v>1</v>
      </c>
      <c r="I88" s="259">
        <f t="shared" si="43"/>
        <v>0</v>
      </c>
      <c r="J88" s="259">
        <f t="shared" si="44"/>
        <v>75</v>
      </c>
      <c r="K88" s="259"/>
      <c r="L88" s="259" t="s">
        <v>1</v>
      </c>
      <c r="M88" s="259">
        <f t="shared" si="45"/>
        <v>0</v>
      </c>
      <c r="N88" s="259">
        <f t="shared" si="46"/>
        <v>0</v>
      </c>
      <c r="O88" s="259">
        <f t="shared" si="47"/>
        <v>0</v>
      </c>
      <c r="P88" s="259"/>
      <c r="Q88" s="259"/>
      <c r="R88" s="260"/>
    </row>
    <row r="89" spans="1:18" ht="15.75" thickBot="1" x14ac:dyDescent="0.3">
      <c r="A89" s="60"/>
      <c r="B89" s="145" t="s">
        <v>2176</v>
      </c>
      <c r="C89" s="5"/>
      <c r="D89" s="7"/>
      <c r="E89" s="3"/>
      <c r="F89" s="3"/>
      <c r="G89" s="9"/>
      <c r="H89" s="5"/>
      <c r="I89" s="9"/>
      <c r="J89" s="9"/>
      <c r="K89" s="15"/>
      <c r="L89" s="5"/>
      <c r="M89" s="15"/>
      <c r="N89" s="4"/>
      <c r="O89" s="4"/>
      <c r="P89" s="191"/>
      <c r="Q89" s="191"/>
      <c r="R89" s="190"/>
    </row>
    <row r="90" spans="1:18" x14ac:dyDescent="0.25">
      <c r="A90" s="31">
        <v>1</v>
      </c>
      <c r="B90" s="4" t="s">
        <v>2175</v>
      </c>
      <c r="C90" s="5">
        <v>1</v>
      </c>
      <c r="D90" s="7">
        <v>0</v>
      </c>
      <c r="E90" s="3">
        <f t="shared" ref="E90:E110" si="48">C90+(C90*D90)</f>
        <v>1</v>
      </c>
      <c r="F90" s="3" t="s">
        <v>867</v>
      </c>
      <c r="G90" s="77"/>
      <c r="H90" s="5" t="s">
        <v>1</v>
      </c>
      <c r="I90" s="78">
        <f t="shared" ref="I90:I110" si="49">IF(H90="C",(G90/100)*E90,IF(H90="M",(G90/1000)*E90,G90*E90))</f>
        <v>0</v>
      </c>
      <c r="J90" s="110">
        <f t="shared" ref="J90:J110" si="50">$O$4</f>
        <v>75</v>
      </c>
      <c r="K90" s="4">
        <v>16</v>
      </c>
      <c r="L90" s="5" t="s">
        <v>1</v>
      </c>
      <c r="M90" s="80">
        <f t="shared" ref="M90:M110" si="51">IF(L90="C",(K90/100)*E90,IF(L90="M",(K90/1000)*E90,K90*E90))</f>
        <v>16</v>
      </c>
      <c r="N90" s="78">
        <f t="shared" ref="N90:N110" si="52">M90*J90</f>
        <v>1200</v>
      </c>
      <c r="O90" s="78">
        <f t="shared" ref="O90:O110" si="53">N90+I90</f>
        <v>1200</v>
      </c>
      <c r="P90" s="4">
        <v>6</v>
      </c>
      <c r="Q90" s="4">
        <v>7.5</v>
      </c>
      <c r="R90" s="49">
        <v>9</v>
      </c>
    </row>
    <row r="91" spans="1:18" x14ac:dyDescent="0.25">
      <c r="A91" s="31"/>
      <c r="B91" s="4" t="s">
        <v>2174</v>
      </c>
      <c r="C91" s="5">
        <v>1</v>
      </c>
      <c r="D91" s="7">
        <v>0</v>
      </c>
      <c r="E91" s="3">
        <f t="shared" si="48"/>
        <v>1</v>
      </c>
      <c r="F91" s="3" t="s">
        <v>867</v>
      </c>
      <c r="G91" s="77"/>
      <c r="H91" s="5" t="s">
        <v>1</v>
      </c>
      <c r="I91" s="78">
        <f t="shared" si="49"/>
        <v>0</v>
      </c>
      <c r="J91" s="110">
        <f t="shared" si="50"/>
        <v>75</v>
      </c>
      <c r="K91" s="4">
        <v>32</v>
      </c>
      <c r="L91" s="5" t="s">
        <v>1</v>
      </c>
      <c r="M91" s="80">
        <f t="shared" si="51"/>
        <v>32</v>
      </c>
      <c r="N91" s="78">
        <f t="shared" si="52"/>
        <v>2400</v>
      </c>
      <c r="O91" s="78">
        <f t="shared" si="53"/>
        <v>2400</v>
      </c>
      <c r="P91" s="4">
        <v>12</v>
      </c>
      <c r="Q91" s="4">
        <v>15</v>
      </c>
      <c r="R91" s="49">
        <v>18</v>
      </c>
    </row>
    <row r="92" spans="1:18" x14ac:dyDescent="0.25">
      <c r="A92" s="31"/>
      <c r="B92" s="4" t="s">
        <v>2173</v>
      </c>
      <c r="C92" s="5">
        <v>1</v>
      </c>
      <c r="D92" s="7">
        <v>0</v>
      </c>
      <c r="E92" s="3">
        <f t="shared" si="48"/>
        <v>1</v>
      </c>
      <c r="F92" s="3" t="s">
        <v>867</v>
      </c>
      <c r="G92" s="77"/>
      <c r="H92" s="5" t="s">
        <v>1</v>
      </c>
      <c r="I92" s="78">
        <f t="shared" si="49"/>
        <v>0</v>
      </c>
      <c r="J92" s="110">
        <f t="shared" si="50"/>
        <v>75</v>
      </c>
      <c r="K92" s="4">
        <v>48</v>
      </c>
      <c r="L92" s="5" t="s">
        <v>1</v>
      </c>
      <c r="M92" s="80">
        <f t="shared" si="51"/>
        <v>48</v>
      </c>
      <c r="N92" s="78">
        <f t="shared" si="52"/>
        <v>3600</v>
      </c>
      <c r="O92" s="78">
        <f t="shared" si="53"/>
        <v>3600</v>
      </c>
      <c r="P92" s="4">
        <v>18</v>
      </c>
      <c r="Q92" s="4">
        <v>22.5</v>
      </c>
      <c r="R92" s="49">
        <v>27</v>
      </c>
    </row>
    <row r="93" spans="1:18" x14ac:dyDescent="0.25">
      <c r="A93" s="31"/>
      <c r="B93" s="4" t="s">
        <v>2172</v>
      </c>
      <c r="C93" s="5">
        <v>1</v>
      </c>
      <c r="D93" s="7">
        <v>0</v>
      </c>
      <c r="E93" s="3">
        <f t="shared" si="48"/>
        <v>1</v>
      </c>
      <c r="F93" s="3" t="s">
        <v>867</v>
      </c>
      <c r="G93" s="77"/>
      <c r="H93" s="5" t="s">
        <v>1</v>
      </c>
      <c r="I93" s="78">
        <f t="shared" si="49"/>
        <v>0</v>
      </c>
      <c r="J93" s="110">
        <f t="shared" si="50"/>
        <v>75</v>
      </c>
      <c r="K93" s="4">
        <v>64</v>
      </c>
      <c r="L93" s="5" t="s">
        <v>1</v>
      </c>
      <c r="M93" s="80">
        <f t="shared" si="51"/>
        <v>64</v>
      </c>
      <c r="N93" s="78">
        <f t="shared" si="52"/>
        <v>4800</v>
      </c>
      <c r="O93" s="78">
        <f t="shared" si="53"/>
        <v>4800</v>
      </c>
      <c r="P93" s="4">
        <v>0</v>
      </c>
      <c r="Q93" s="4">
        <v>0</v>
      </c>
      <c r="R93" s="49">
        <v>0</v>
      </c>
    </row>
    <row r="94" spans="1:18" ht="15" customHeight="1" x14ac:dyDescent="0.25">
      <c r="A94" s="60"/>
      <c r="B94" s="8" t="s">
        <v>2171</v>
      </c>
      <c r="C94" s="5">
        <v>1</v>
      </c>
      <c r="D94" s="7">
        <v>0</v>
      </c>
      <c r="E94" s="3">
        <f t="shared" si="48"/>
        <v>1</v>
      </c>
      <c r="F94" s="3" t="s">
        <v>867</v>
      </c>
      <c r="G94" s="77"/>
      <c r="H94" s="5" t="s">
        <v>1</v>
      </c>
      <c r="I94" s="78">
        <f t="shared" si="49"/>
        <v>0</v>
      </c>
      <c r="J94" s="110">
        <f t="shared" si="50"/>
        <v>75</v>
      </c>
      <c r="K94" s="4">
        <v>80</v>
      </c>
      <c r="L94" s="5" t="s">
        <v>1</v>
      </c>
      <c r="M94" s="80">
        <f t="shared" si="51"/>
        <v>80</v>
      </c>
      <c r="N94" s="78">
        <f t="shared" si="52"/>
        <v>6000</v>
      </c>
      <c r="O94" s="78">
        <f t="shared" si="53"/>
        <v>6000</v>
      </c>
      <c r="P94" s="4">
        <v>0</v>
      </c>
      <c r="Q94" s="4">
        <v>0</v>
      </c>
      <c r="R94" s="49">
        <v>0</v>
      </c>
    </row>
    <row r="95" spans="1:18" x14ac:dyDescent="0.25">
      <c r="A95" s="31"/>
      <c r="B95" s="4" t="s">
        <v>2170</v>
      </c>
      <c r="C95" s="5">
        <v>1</v>
      </c>
      <c r="D95" s="7">
        <v>0</v>
      </c>
      <c r="E95" s="3">
        <f t="shared" si="48"/>
        <v>1</v>
      </c>
      <c r="F95" s="3" t="s">
        <v>867</v>
      </c>
      <c r="G95" s="77"/>
      <c r="H95" s="5" t="s">
        <v>1</v>
      </c>
      <c r="I95" s="78">
        <f t="shared" si="49"/>
        <v>0</v>
      </c>
      <c r="J95" s="110">
        <f t="shared" si="50"/>
        <v>75</v>
      </c>
      <c r="K95" s="4">
        <v>96</v>
      </c>
      <c r="L95" s="5" t="s">
        <v>1</v>
      </c>
      <c r="M95" s="80">
        <f t="shared" si="51"/>
        <v>96</v>
      </c>
      <c r="N95" s="78">
        <f t="shared" si="52"/>
        <v>7200</v>
      </c>
      <c r="O95" s="78">
        <f t="shared" si="53"/>
        <v>7200</v>
      </c>
      <c r="P95" s="4">
        <v>0</v>
      </c>
      <c r="Q95" s="4">
        <v>0</v>
      </c>
      <c r="R95" s="49">
        <v>0</v>
      </c>
    </row>
    <row r="96" spans="1:18" x14ac:dyDescent="0.25">
      <c r="A96" s="31"/>
      <c r="B96" s="4" t="s">
        <v>2169</v>
      </c>
      <c r="C96" s="5">
        <v>1</v>
      </c>
      <c r="D96" s="7">
        <v>0</v>
      </c>
      <c r="E96" s="3">
        <f t="shared" si="48"/>
        <v>1</v>
      </c>
      <c r="F96" s="3" t="s">
        <v>867</v>
      </c>
      <c r="G96" s="77"/>
      <c r="H96" s="5" t="s">
        <v>1</v>
      </c>
      <c r="I96" s="78">
        <f t="shared" si="49"/>
        <v>0</v>
      </c>
      <c r="J96" s="110">
        <f t="shared" si="50"/>
        <v>75</v>
      </c>
      <c r="K96" s="4">
        <v>112</v>
      </c>
      <c r="L96" s="5" t="s">
        <v>1</v>
      </c>
      <c r="M96" s="80">
        <f t="shared" si="51"/>
        <v>112</v>
      </c>
      <c r="N96" s="78">
        <f t="shared" si="52"/>
        <v>8400</v>
      </c>
      <c r="O96" s="78">
        <f t="shared" si="53"/>
        <v>8400</v>
      </c>
      <c r="P96" s="4">
        <v>0</v>
      </c>
      <c r="Q96" s="4">
        <v>0</v>
      </c>
      <c r="R96" s="49">
        <v>0</v>
      </c>
    </row>
    <row r="97" spans="1:18" x14ac:dyDescent="0.25">
      <c r="A97" s="31"/>
      <c r="B97" s="4" t="s">
        <v>2168</v>
      </c>
      <c r="C97" s="5">
        <v>1</v>
      </c>
      <c r="D97" s="7">
        <v>0</v>
      </c>
      <c r="E97" s="3">
        <f t="shared" si="48"/>
        <v>1</v>
      </c>
      <c r="F97" s="3" t="s">
        <v>867</v>
      </c>
      <c r="G97" s="77"/>
      <c r="H97" s="5" t="s">
        <v>1</v>
      </c>
      <c r="I97" s="78">
        <f t="shared" si="49"/>
        <v>0</v>
      </c>
      <c r="J97" s="110">
        <f t="shared" si="50"/>
        <v>75</v>
      </c>
      <c r="K97" s="4">
        <v>128</v>
      </c>
      <c r="L97" s="5" t="s">
        <v>1</v>
      </c>
      <c r="M97" s="80">
        <f t="shared" si="51"/>
        <v>128</v>
      </c>
      <c r="N97" s="78">
        <f t="shared" si="52"/>
        <v>9600</v>
      </c>
      <c r="O97" s="78">
        <f t="shared" si="53"/>
        <v>9600</v>
      </c>
      <c r="P97" s="4">
        <v>0</v>
      </c>
      <c r="Q97" s="4">
        <v>0</v>
      </c>
      <c r="R97" s="49">
        <v>0</v>
      </c>
    </row>
    <row r="98" spans="1:18" x14ac:dyDescent="0.25">
      <c r="A98" s="31"/>
      <c r="B98" s="4" t="s">
        <v>2167</v>
      </c>
      <c r="C98" s="5">
        <v>1</v>
      </c>
      <c r="D98" s="7">
        <v>0</v>
      </c>
      <c r="E98" s="3">
        <f t="shared" si="48"/>
        <v>1</v>
      </c>
      <c r="F98" s="3" t="s">
        <v>867</v>
      </c>
      <c r="G98" s="77"/>
      <c r="H98" s="5" t="s">
        <v>1</v>
      </c>
      <c r="I98" s="78">
        <f t="shared" si="49"/>
        <v>0</v>
      </c>
      <c r="J98" s="110">
        <f t="shared" si="50"/>
        <v>75</v>
      </c>
      <c r="K98" s="4">
        <v>144</v>
      </c>
      <c r="L98" s="5" t="s">
        <v>1</v>
      </c>
      <c r="M98" s="80">
        <f t="shared" si="51"/>
        <v>144</v>
      </c>
      <c r="N98" s="78">
        <f t="shared" si="52"/>
        <v>10800</v>
      </c>
      <c r="O98" s="78">
        <f t="shared" si="53"/>
        <v>10800</v>
      </c>
      <c r="P98" s="4">
        <v>0</v>
      </c>
      <c r="Q98" s="4">
        <v>0</v>
      </c>
      <c r="R98" s="49">
        <v>0</v>
      </c>
    </row>
    <row r="99" spans="1:18" x14ac:dyDescent="0.25">
      <c r="A99" s="31"/>
      <c r="B99" s="4" t="s">
        <v>2166</v>
      </c>
      <c r="C99" s="5">
        <v>1</v>
      </c>
      <c r="D99" s="7">
        <v>0</v>
      </c>
      <c r="E99" s="3">
        <f t="shared" si="48"/>
        <v>1</v>
      </c>
      <c r="F99" s="3" t="s">
        <v>867</v>
      </c>
      <c r="G99" s="77"/>
      <c r="H99" s="5" t="s">
        <v>1</v>
      </c>
      <c r="I99" s="78">
        <f t="shared" si="49"/>
        <v>0</v>
      </c>
      <c r="J99" s="110">
        <f t="shared" si="50"/>
        <v>75</v>
      </c>
      <c r="K99" s="4">
        <v>160</v>
      </c>
      <c r="L99" s="5" t="s">
        <v>1</v>
      </c>
      <c r="M99" s="80">
        <f t="shared" si="51"/>
        <v>160</v>
      </c>
      <c r="N99" s="78">
        <f t="shared" si="52"/>
        <v>12000</v>
      </c>
      <c r="O99" s="78">
        <f t="shared" si="53"/>
        <v>12000</v>
      </c>
      <c r="P99" s="4">
        <v>0</v>
      </c>
      <c r="Q99" s="4">
        <v>0</v>
      </c>
      <c r="R99" s="49">
        <v>0</v>
      </c>
    </row>
    <row r="100" spans="1:18" x14ac:dyDescent="0.25">
      <c r="A100" s="31"/>
      <c r="B100" s="4" t="s">
        <v>2165</v>
      </c>
      <c r="C100" s="5">
        <v>1</v>
      </c>
      <c r="D100" s="7">
        <v>0</v>
      </c>
      <c r="E100" s="3">
        <f t="shared" si="48"/>
        <v>1</v>
      </c>
      <c r="F100" s="3" t="s">
        <v>867</v>
      </c>
      <c r="G100" s="77"/>
      <c r="H100" s="5" t="s">
        <v>1</v>
      </c>
      <c r="I100" s="78">
        <f t="shared" si="49"/>
        <v>0</v>
      </c>
      <c r="J100" s="110">
        <f t="shared" si="50"/>
        <v>75</v>
      </c>
      <c r="K100" s="4">
        <v>176</v>
      </c>
      <c r="L100" s="5" t="s">
        <v>1</v>
      </c>
      <c r="M100" s="80">
        <f t="shared" si="51"/>
        <v>176</v>
      </c>
      <c r="N100" s="78">
        <f t="shared" si="52"/>
        <v>13200</v>
      </c>
      <c r="O100" s="78">
        <f t="shared" si="53"/>
        <v>13200</v>
      </c>
      <c r="P100" s="4">
        <v>0</v>
      </c>
      <c r="Q100" s="4">
        <v>0</v>
      </c>
      <c r="R100" s="49">
        <v>0</v>
      </c>
    </row>
    <row r="101" spans="1:18" x14ac:dyDescent="0.25">
      <c r="A101" s="31"/>
      <c r="B101" s="4" t="s">
        <v>2164</v>
      </c>
      <c r="C101" s="5">
        <v>1</v>
      </c>
      <c r="D101" s="7">
        <v>0</v>
      </c>
      <c r="E101" s="3">
        <f t="shared" si="48"/>
        <v>1</v>
      </c>
      <c r="F101" s="3" t="s">
        <v>867</v>
      </c>
      <c r="G101" s="77"/>
      <c r="H101" s="5" t="s">
        <v>1</v>
      </c>
      <c r="I101" s="78">
        <f t="shared" si="49"/>
        <v>0</v>
      </c>
      <c r="J101" s="110">
        <f t="shared" si="50"/>
        <v>75</v>
      </c>
      <c r="K101" s="4">
        <v>192</v>
      </c>
      <c r="L101" s="5" t="s">
        <v>1</v>
      </c>
      <c r="M101" s="80">
        <f t="shared" si="51"/>
        <v>192</v>
      </c>
      <c r="N101" s="78">
        <f t="shared" si="52"/>
        <v>14400</v>
      </c>
      <c r="O101" s="78">
        <f t="shared" si="53"/>
        <v>14400</v>
      </c>
      <c r="P101" s="4">
        <v>0</v>
      </c>
      <c r="Q101" s="4">
        <v>0</v>
      </c>
      <c r="R101" s="49">
        <v>0</v>
      </c>
    </row>
    <row r="102" spans="1:18" x14ac:dyDescent="0.25">
      <c r="A102" s="31"/>
      <c r="B102" s="4" t="s">
        <v>2163</v>
      </c>
      <c r="C102" s="5">
        <v>1</v>
      </c>
      <c r="D102" s="7">
        <v>0</v>
      </c>
      <c r="E102" s="3">
        <f t="shared" si="48"/>
        <v>1</v>
      </c>
      <c r="F102" s="3" t="s">
        <v>867</v>
      </c>
      <c r="G102" s="77"/>
      <c r="H102" s="5" t="s">
        <v>1</v>
      </c>
      <c r="I102" s="78">
        <f t="shared" si="49"/>
        <v>0</v>
      </c>
      <c r="J102" s="110">
        <f t="shared" si="50"/>
        <v>75</v>
      </c>
      <c r="K102" s="4">
        <v>208</v>
      </c>
      <c r="L102" s="5" t="s">
        <v>1</v>
      </c>
      <c r="M102" s="80">
        <f t="shared" si="51"/>
        <v>208</v>
      </c>
      <c r="N102" s="78">
        <f t="shared" si="52"/>
        <v>15600</v>
      </c>
      <c r="O102" s="78">
        <f t="shared" si="53"/>
        <v>15600</v>
      </c>
      <c r="P102" s="4">
        <v>0</v>
      </c>
      <c r="Q102" s="4">
        <v>0</v>
      </c>
      <c r="R102" s="49">
        <v>0</v>
      </c>
    </row>
    <row r="103" spans="1:18" x14ac:dyDescent="0.25">
      <c r="A103" s="31"/>
      <c r="B103" s="4" t="s">
        <v>2162</v>
      </c>
      <c r="C103" s="5">
        <v>1</v>
      </c>
      <c r="D103" s="7">
        <v>0</v>
      </c>
      <c r="E103" s="3">
        <f t="shared" si="48"/>
        <v>1</v>
      </c>
      <c r="F103" s="3" t="s">
        <v>867</v>
      </c>
      <c r="G103" s="77"/>
      <c r="H103" s="5" t="s">
        <v>1</v>
      </c>
      <c r="I103" s="78">
        <f t="shared" si="49"/>
        <v>0</v>
      </c>
      <c r="J103" s="110">
        <f t="shared" si="50"/>
        <v>75</v>
      </c>
      <c r="K103" s="4">
        <v>224</v>
      </c>
      <c r="L103" s="5" t="s">
        <v>1</v>
      </c>
      <c r="M103" s="80">
        <f t="shared" si="51"/>
        <v>224</v>
      </c>
      <c r="N103" s="78">
        <f t="shared" si="52"/>
        <v>16800</v>
      </c>
      <c r="O103" s="78">
        <f t="shared" si="53"/>
        <v>16800</v>
      </c>
      <c r="P103" s="4">
        <v>0</v>
      </c>
      <c r="Q103" s="4">
        <v>0</v>
      </c>
      <c r="R103" s="49">
        <v>0</v>
      </c>
    </row>
    <row r="104" spans="1:18" x14ac:dyDescent="0.25">
      <c r="A104" s="31"/>
      <c r="B104" s="4" t="s">
        <v>2161</v>
      </c>
      <c r="C104" s="5">
        <v>1</v>
      </c>
      <c r="D104" s="7">
        <v>0</v>
      </c>
      <c r="E104" s="3">
        <f t="shared" si="48"/>
        <v>1</v>
      </c>
      <c r="F104" s="3" t="s">
        <v>867</v>
      </c>
      <c r="G104" s="77"/>
      <c r="H104" s="5" t="s">
        <v>1</v>
      </c>
      <c r="I104" s="78">
        <f t="shared" si="49"/>
        <v>0</v>
      </c>
      <c r="J104" s="110">
        <f t="shared" si="50"/>
        <v>75</v>
      </c>
      <c r="K104" s="4">
        <v>240</v>
      </c>
      <c r="L104" s="5" t="s">
        <v>1</v>
      </c>
      <c r="M104" s="80">
        <f t="shared" si="51"/>
        <v>240</v>
      </c>
      <c r="N104" s="78">
        <f t="shared" si="52"/>
        <v>18000</v>
      </c>
      <c r="O104" s="78">
        <f t="shared" si="53"/>
        <v>18000</v>
      </c>
      <c r="P104" s="4">
        <v>0</v>
      </c>
      <c r="Q104" s="4">
        <v>0</v>
      </c>
      <c r="R104" s="49">
        <v>0</v>
      </c>
    </row>
    <row r="105" spans="1:18" x14ac:dyDescent="0.25">
      <c r="A105" s="31"/>
      <c r="B105" s="4" t="s">
        <v>2160</v>
      </c>
      <c r="C105" s="5">
        <v>1</v>
      </c>
      <c r="D105" s="7">
        <v>0</v>
      </c>
      <c r="E105" s="3">
        <f t="shared" si="48"/>
        <v>1</v>
      </c>
      <c r="F105" s="3" t="s">
        <v>867</v>
      </c>
      <c r="G105" s="77"/>
      <c r="H105" s="5" t="s">
        <v>1</v>
      </c>
      <c r="I105" s="78">
        <f t="shared" si="49"/>
        <v>0</v>
      </c>
      <c r="J105" s="110">
        <f t="shared" si="50"/>
        <v>75</v>
      </c>
      <c r="K105" s="4">
        <v>256</v>
      </c>
      <c r="L105" s="5" t="s">
        <v>1</v>
      </c>
      <c r="M105" s="80">
        <f t="shared" si="51"/>
        <v>256</v>
      </c>
      <c r="N105" s="78">
        <f t="shared" si="52"/>
        <v>19200</v>
      </c>
      <c r="O105" s="78">
        <f t="shared" si="53"/>
        <v>19200</v>
      </c>
      <c r="P105" s="4">
        <v>0</v>
      </c>
      <c r="Q105" s="4">
        <v>0</v>
      </c>
      <c r="R105" s="49">
        <v>0</v>
      </c>
    </row>
    <row r="106" spans="1:18" x14ac:dyDescent="0.25">
      <c r="A106" s="31"/>
      <c r="B106" s="4" t="s">
        <v>2159</v>
      </c>
      <c r="C106" s="5">
        <v>1</v>
      </c>
      <c r="D106" s="7">
        <v>0</v>
      </c>
      <c r="E106" s="3">
        <f t="shared" si="48"/>
        <v>1</v>
      </c>
      <c r="F106" s="3" t="s">
        <v>867</v>
      </c>
      <c r="G106" s="77"/>
      <c r="H106" s="5" t="s">
        <v>1</v>
      </c>
      <c r="I106" s="78">
        <f t="shared" si="49"/>
        <v>0</v>
      </c>
      <c r="J106" s="110">
        <f t="shared" si="50"/>
        <v>75</v>
      </c>
      <c r="K106" s="4">
        <v>272</v>
      </c>
      <c r="L106" s="5" t="s">
        <v>1</v>
      </c>
      <c r="M106" s="80">
        <f t="shared" si="51"/>
        <v>272</v>
      </c>
      <c r="N106" s="78">
        <f t="shared" si="52"/>
        <v>20400</v>
      </c>
      <c r="O106" s="78">
        <f t="shared" si="53"/>
        <v>20400</v>
      </c>
      <c r="P106" s="4">
        <v>0</v>
      </c>
      <c r="Q106" s="4">
        <v>0</v>
      </c>
      <c r="R106" s="49">
        <v>0</v>
      </c>
    </row>
    <row r="107" spans="1:18" x14ac:dyDescent="0.25">
      <c r="A107" s="31"/>
      <c r="B107" s="4" t="s">
        <v>2158</v>
      </c>
      <c r="C107" s="5">
        <v>1</v>
      </c>
      <c r="D107" s="7">
        <v>0</v>
      </c>
      <c r="E107" s="3">
        <f t="shared" si="48"/>
        <v>1</v>
      </c>
      <c r="F107" s="3" t="s">
        <v>867</v>
      </c>
      <c r="G107" s="77"/>
      <c r="H107" s="5" t="s">
        <v>1</v>
      </c>
      <c r="I107" s="78">
        <f t="shared" si="49"/>
        <v>0</v>
      </c>
      <c r="J107" s="110">
        <f t="shared" si="50"/>
        <v>75</v>
      </c>
      <c r="K107" s="4">
        <v>288</v>
      </c>
      <c r="L107" s="5" t="s">
        <v>1</v>
      </c>
      <c r="M107" s="80">
        <f t="shared" si="51"/>
        <v>288</v>
      </c>
      <c r="N107" s="78">
        <f t="shared" si="52"/>
        <v>21600</v>
      </c>
      <c r="O107" s="78">
        <f t="shared" si="53"/>
        <v>21600</v>
      </c>
      <c r="P107" s="4">
        <v>0</v>
      </c>
      <c r="Q107" s="4">
        <v>0</v>
      </c>
      <c r="R107" s="49">
        <v>0</v>
      </c>
    </row>
    <row r="108" spans="1:18" x14ac:dyDescent="0.25">
      <c r="A108" s="31"/>
      <c r="B108" s="4" t="s">
        <v>2157</v>
      </c>
      <c r="C108" s="5">
        <v>1</v>
      </c>
      <c r="D108" s="7">
        <v>0</v>
      </c>
      <c r="E108" s="3">
        <f t="shared" si="48"/>
        <v>1</v>
      </c>
      <c r="F108" s="3" t="s">
        <v>867</v>
      </c>
      <c r="G108" s="77"/>
      <c r="H108" s="5" t="s">
        <v>1</v>
      </c>
      <c r="I108" s="78">
        <f t="shared" si="49"/>
        <v>0</v>
      </c>
      <c r="J108" s="110">
        <f t="shared" si="50"/>
        <v>75</v>
      </c>
      <c r="K108" s="4">
        <v>304</v>
      </c>
      <c r="L108" s="5" t="s">
        <v>1</v>
      </c>
      <c r="M108" s="80">
        <f t="shared" si="51"/>
        <v>304</v>
      </c>
      <c r="N108" s="78">
        <f t="shared" si="52"/>
        <v>22800</v>
      </c>
      <c r="O108" s="78">
        <f t="shared" si="53"/>
        <v>22800</v>
      </c>
      <c r="P108" s="4">
        <v>0</v>
      </c>
      <c r="Q108" s="4">
        <v>0</v>
      </c>
      <c r="R108" s="49">
        <v>0</v>
      </c>
    </row>
    <row r="109" spans="1:18" x14ac:dyDescent="0.25">
      <c r="A109" s="31"/>
      <c r="B109" s="4" t="s">
        <v>2156</v>
      </c>
      <c r="C109" s="5">
        <v>1</v>
      </c>
      <c r="D109" s="7">
        <v>0</v>
      </c>
      <c r="E109" s="3">
        <f t="shared" si="48"/>
        <v>1</v>
      </c>
      <c r="F109" s="3" t="s">
        <v>867</v>
      </c>
      <c r="G109" s="77"/>
      <c r="H109" s="5" t="s">
        <v>1</v>
      </c>
      <c r="I109" s="78">
        <f t="shared" si="49"/>
        <v>0</v>
      </c>
      <c r="J109" s="110">
        <f t="shared" si="50"/>
        <v>75</v>
      </c>
      <c r="K109" s="4">
        <v>320</v>
      </c>
      <c r="L109" s="5" t="s">
        <v>1</v>
      </c>
      <c r="M109" s="80">
        <f t="shared" si="51"/>
        <v>320</v>
      </c>
      <c r="N109" s="78">
        <f t="shared" si="52"/>
        <v>24000</v>
      </c>
      <c r="O109" s="78">
        <f t="shared" si="53"/>
        <v>24000</v>
      </c>
      <c r="P109" s="4">
        <v>0</v>
      </c>
      <c r="Q109" s="4">
        <v>0</v>
      </c>
      <c r="R109" s="49">
        <v>0</v>
      </c>
    </row>
    <row r="110" spans="1:18" ht="15.75" thickBot="1" x14ac:dyDescent="0.3">
      <c r="A110" s="31"/>
      <c r="B110" s="258"/>
      <c r="C110" s="259">
        <v>1</v>
      </c>
      <c r="D110" s="259">
        <v>0</v>
      </c>
      <c r="E110" s="259">
        <f t="shared" si="48"/>
        <v>1</v>
      </c>
      <c r="F110" s="259" t="s">
        <v>867</v>
      </c>
      <c r="G110" s="259"/>
      <c r="H110" s="259" t="s">
        <v>1</v>
      </c>
      <c r="I110" s="259">
        <f t="shared" si="49"/>
        <v>0</v>
      </c>
      <c r="J110" s="259">
        <f t="shared" si="50"/>
        <v>75</v>
      </c>
      <c r="K110" s="259"/>
      <c r="L110" s="259" t="s">
        <v>1</v>
      </c>
      <c r="M110" s="259">
        <f t="shared" si="51"/>
        <v>0</v>
      </c>
      <c r="N110" s="259">
        <f t="shared" si="52"/>
        <v>0</v>
      </c>
      <c r="O110" s="259">
        <f t="shared" si="53"/>
        <v>0</v>
      </c>
      <c r="P110" s="259"/>
      <c r="Q110" s="259"/>
      <c r="R110" s="260"/>
    </row>
    <row r="111" spans="1:18" ht="15.75" thickBot="1" x14ac:dyDescent="0.3">
      <c r="A111" s="60"/>
      <c r="B111" s="145" t="s">
        <v>2155</v>
      </c>
      <c r="C111" s="5"/>
      <c r="D111" s="7"/>
      <c r="E111" s="3"/>
      <c r="F111" s="3"/>
      <c r="G111" s="9"/>
      <c r="H111" s="5"/>
      <c r="I111" s="9"/>
      <c r="J111" s="9"/>
      <c r="K111" s="15"/>
      <c r="L111" s="5"/>
      <c r="M111" s="15"/>
      <c r="N111" s="4"/>
      <c r="O111" s="4"/>
      <c r="P111" s="191"/>
      <c r="Q111" s="191"/>
      <c r="R111" s="190"/>
    </row>
    <row r="112" spans="1:18" x14ac:dyDescent="0.25">
      <c r="A112" s="31">
        <v>1</v>
      </c>
      <c r="B112" s="4" t="s">
        <v>2154</v>
      </c>
      <c r="C112" s="5">
        <v>1</v>
      </c>
      <c r="D112" s="7">
        <v>0</v>
      </c>
      <c r="E112" s="3">
        <f t="shared" ref="E112:E132" si="54">C112+(C112*D112)</f>
        <v>1</v>
      </c>
      <c r="F112" s="3" t="s">
        <v>867</v>
      </c>
      <c r="G112" s="77"/>
      <c r="H112" s="5" t="s">
        <v>1</v>
      </c>
      <c r="I112" s="78">
        <f t="shared" ref="I112:I132" si="55">IF(H112="C",(G112/100)*E112,IF(H112="M",(G112/1000)*E112,G112*E112))</f>
        <v>0</v>
      </c>
      <c r="J112" s="110">
        <f t="shared" ref="J112:J132" si="56">$O$4</f>
        <v>75</v>
      </c>
      <c r="K112" s="4">
        <v>18</v>
      </c>
      <c r="L112" s="5" t="s">
        <v>1</v>
      </c>
      <c r="M112" s="80">
        <f t="shared" ref="M112:M132" si="57">IF(L112="C",(K112/100)*E112,IF(L112="M",(K112/1000)*E112,K112*E112))</f>
        <v>18</v>
      </c>
      <c r="N112" s="78">
        <f t="shared" ref="N112:N132" si="58">M112*J112</f>
        <v>1350</v>
      </c>
      <c r="O112" s="78">
        <f t="shared" ref="O112:O132" si="59">N112+I112</f>
        <v>1350</v>
      </c>
      <c r="P112" s="4">
        <v>6</v>
      </c>
      <c r="Q112" s="4">
        <v>7.5</v>
      </c>
      <c r="R112" s="49">
        <v>9</v>
      </c>
    </row>
    <row r="113" spans="1:18" x14ac:dyDescent="0.25">
      <c r="A113" s="31"/>
      <c r="B113" s="4" t="s">
        <v>2153</v>
      </c>
      <c r="C113" s="5">
        <v>1</v>
      </c>
      <c r="D113" s="7">
        <v>0</v>
      </c>
      <c r="E113" s="3">
        <f t="shared" si="54"/>
        <v>1</v>
      </c>
      <c r="F113" s="3" t="s">
        <v>867</v>
      </c>
      <c r="G113" s="77"/>
      <c r="H113" s="5" t="s">
        <v>1</v>
      </c>
      <c r="I113" s="78">
        <f t="shared" si="55"/>
        <v>0</v>
      </c>
      <c r="J113" s="110">
        <f t="shared" si="56"/>
        <v>75</v>
      </c>
      <c r="K113" s="4">
        <v>36</v>
      </c>
      <c r="L113" s="5" t="s">
        <v>1</v>
      </c>
      <c r="M113" s="80">
        <f t="shared" si="57"/>
        <v>36</v>
      </c>
      <c r="N113" s="78">
        <f t="shared" si="58"/>
        <v>2700</v>
      </c>
      <c r="O113" s="78">
        <f t="shared" si="59"/>
        <v>2700</v>
      </c>
      <c r="P113" s="4">
        <v>12</v>
      </c>
      <c r="Q113" s="4">
        <v>15</v>
      </c>
      <c r="R113" s="49">
        <v>18</v>
      </c>
    </row>
    <row r="114" spans="1:18" x14ac:dyDescent="0.25">
      <c r="A114" s="31"/>
      <c r="B114" s="4" t="s">
        <v>2152</v>
      </c>
      <c r="C114" s="5">
        <v>1</v>
      </c>
      <c r="D114" s="7">
        <v>0</v>
      </c>
      <c r="E114" s="3">
        <f t="shared" si="54"/>
        <v>1</v>
      </c>
      <c r="F114" s="3" t="s">
        <v>867</v>
      </c>
      <c r="G114" s="77"/>
      <c r="H114" s="5" t="s">
        <v>1</v>
      </c>
      <c r="I114" s="78">
        <f t="shared" si="55"/>
        <v>0</v>
      </c>
      <c r="J114" s="110">
        <f t="shared" si="56"/>
        <v>75</v>
      </c>
      <c r="K114" s="4">
        <v>54</v>
      </c>
      <c r="L114" s="5" t="s">
        <v>1</v>
      </c>
      <c r="M114" s="80">
        <f t="shared" si="57"/>
        <v>54</v>
      </c>
      <c r="N114" s="78">
        <f t="shared" si="58"/>
        <v>4050</v>
      </c>
      <c r="O114" s="78">
        <f t="shared" si="59"/>
        <v>4050</v>
      </c>
      <c r="P114" s="4">
        <v>18</v>
      </c>
      <c r="Q114" s="4">
        <v>22.5</v>
      </c>
      <c r="R114" s="49">
        <v>27</v>
      </c>
    </row>
    <row r="115" spans="1:18" x14ac:dyDescent="0.25">
      <c r="A115" s="31"/>
      <c r="B115" s="4" t="s">
        <v>2151</v>
      </c>
      <c r="C115" s="5">
        <v>1</v>
      </c>
      <c r="D115" s="7">
        <v>0</v>
      </c>
      <c r="E115" s="3">
        <f t="shared" si="54"/>
        <v>1</v>
      </c>
      <c r="F115" s="3" t="s">
        <v>867</v>
      </c>
      <c r="G115" s="77"/>
      <c r="H115" s="5" t="s">
        <v>1</v>
      </c>
      <c r="I115" s="78">
        <f t="shared" si="55"/>
        <v>0</v>
      </c>
      <c r="J115" s="110">
        <f t="shared" si="56"/>
        <v>75</v>
      </c>
      <c r="K115" s="4">
        <v>72</v>
      </c>
      <c r="L115" s="5" t="s">
        <v>1</v>
      </c>
      <c r="M115" s="80">
        <f t="shared" si="57"/>
        <v>72</v>
      </c>
      <c r="N115" s="78">
        <f t="shared" si="58"/>
        <v>5400</v>
      </c>
      <c r="O115" s="78">
        <f t="shared" si="59"/>
        <v>5400</v>
      </c>
      <c r="P115" s="4">
        <v>0</v>
      </c>
      <c r="Q115" s="4">
        <v>0</v>
      </c>
      <c r="R115" s="49">
        <v>0</v>
      </c>
    </row>
    <row r="116" spans="1:18" x14ac:dyDescent="0.25">
      <c r="A116" s="31"/>
      <c r="B116" s="4" t="s">
        <v>2150</v>
      </c>
      <c r="C116" s="5">
        <v>1</v>
      </c>
      <c r="D116" s="7">
        <v>0</v>
      </c>
      <c r="E116" s="3">
        <f t="shared" si="54"/>
        <v>1</v>
      </c>
      <c r="F116" s="3" t="s">
        <v>867</v>
      </c>
      <c r="G116" s="77"/>
      <c r="H116" s="5" t="s">
        <v>1</v>
      </c>
      <c r="I116" s="78">
        <f t="shared" si="55"/>
        <v>0</v>
      </c>
      <c r="J116" s="110">
        <f t="shared" si="56"/>
        <v>75</v>
      </c>
      <c r="K116" s="4">
        <v>90</v>
      </c>
      <c r="L116" s="5" t="s">
        <v>1</v>
      </c>
      <c r="M116" s="80">
        <f t="shared" si="57"/>
        <v>90</v>
      </c>
      <c r="N116" s="78">
        <f t="shared" si="58"/>
        <v>6750</v>
      </c>
      <c r="O116" s="78">
        <f t="shared" si="59"/>
        <v>6750</v>
      </c>
      <c r="P116" s="4">
        <v>0</v>
      </c>
      <c r="Q116" s="4">
        <v>0</v>
      </c>
      <c r="R116" s="49">
        <v>0</v>
      </c>
    </row>
    <row r="117" spans="1:18" x14ac:dyDescent="0.25">
      <c r="A117" s="31"/>
      <c r="B117" s="4" t="s">
        <v>2149</v>
      </c>
      <c r="C117" s="5">
        <v>1</v>
      </c>
      <c r="D117" s="7">
        <v>0</v>
      </c>
      <c r="E117" s="3">
        <f t="shared" si="54"/>
        <v>1</v>
      </c>
      <c r="F117" s="3" t="s">
        <v>867</v>
      </c>
      <c r="G117" s="77"/>
      <c r="H117" s="5" t="s">
        <v>1</v>
      </c>
      <c r="I117" s="78">
        <f t="shared" si="55"/>
        <v>0</v>
      </c>
      <c r="J117" s="110">
        <f t="shared" si="56"/>
        <v>75</v>
      </c>
      <c r="K117" s="4">
        <v>108</v>
      </c>
      <c r="L117" s="5" t="s">
        <v>1</v>
      </c>
      <c r="M117" s="80">
        <f t="shared" si="57"/>
        <v>108</v>
      </c>
      <c r="N117" s="78">
        <f t="shared" si="58"/>
        <v>8100</v>
      </c>
      <c r="O117" s="78">
        <f t="shared" si="59"/>
        <v>8100</v>
      </c>
      <c r="P117" s="4">
        <v>0</v>
      </c>
      <c r="Q117" s="4">
        <v>0</v>
      </c>
      <c r="R117" s="49">
        <v>0</v>
      </c>
    </row>
    <row r="118" spans="1:18" x14ac:dyDescent="0.25">
      <c r="A118" s="31"/>
      <c r="B118" s="4" t="s">
        <v>2148</v>
      </c>
      <c r="C118" s="5">
        <v>1</v>
      </c>
      <c r="D118" s="7">
        <v>0</v>
      </c>
      <c r="E118" s="3">
        <f t="shared" si="54"/>
        <v>1</v>
      </c>
      <c r="F118" s="3" t="s">
        <v>867</v>
      </c>
      <c r="G118" s="77"/>
      <c r="H118" s="5" t="s">
        <v>1</v>
      </c>
      <c r="I118" s="78">
        <f t="shared" si="55"/>
        <v>0</v>
      </c>
      <c r="J118" s="110">
        <f t="shared" si="56"/>
        <v>75</v>
      </c>
      <c r="K118" s="4">
        <v>126</v>
      </c>
      <c r="L118" s="5" t="s">
        <v>1</v>
      </c>
      <c r="M118" s="80">
        <f t="shared" si="57"/>
        <v>126</v>
      </c>
      <c r="N118" s="78">
        <f t="shared" si="58"/>
        <v>9450</v>
      </c>
      <c r="O118" s="78">
        <f t="shared" si="59"/>
        <v>9450</v>
      </c>
      <c r="P118" s="4">
        <v>0</v>
      </c>
      <c r="Q118" s="4">
        <v>0</v>
      </c>
      <c r="R118" s="49">
        <v>0</v>
      </c>
    </row>
    <row r="119" spans="1:18" x14ac:dyDescent="0.25">
      <c r="A119" s="31"/>
      <c r="B119" s="4" t="s">
        <v>2147</v>
      </c>
      <c r="C119" s="5">
        <v>1</v>
      </c>
      <c r="D119" s="7">
        <v>0</v>
      </c>
      <c r="E119" s="3">
        <f t="shared" si="54"/>
        <v>1</v>
      </c>
      <c r="F119" s="3" t="s">
        <v>867</v>
      </c>
      <c r="G119" s="77"/>
      <c r="H119" s="5" t="s">
        <v>1</v>
      </c>
      <c r="I119" s="78">
        <f t="shared" si="55"/>
        <v>0</v>
      </c>
      <c r="J119" s="110">
        <f t="shared" si="56"/>
        <v>75</v>
      </c>
      <c r="K119" s="4">
        <v>144</v>
      </c>
      <c r="L119" s="5" t="s">
        <v>1</v>
      </c>
      <c r="M119" s="80">
        <f t="shared" si="57"/>
        <v>144</v>
      </c>
      <c r="N119" s="78">
        <f t="shared" si="58"/>
        <v>10800</v>
      </c>
      <c r="O119" s="78">
        <f t="shared" si="59"/>
        <v>10800</v>
      </c>
      <c r="P119" s="4">
        <v>0</v>
      </c>
      <c r="Q119" s="4">
        <v>0</v>
      </c>
      <c r="R119" s="49">
        <v>0</v>
      </c>
    </row>
    <row r="120" spans="1:18" x14ac:dyDescent="0.25">
      <c r="A120" s="31"/>
      <c r="B120" s="4" t="s">
        <v>2146</v>
      </c>
      <c r="C120" s="5">
        <v>1</v>
      </c>
      <c r="D120" s="7">
        <v>0</v>
      </c>
      <c r="E120" s="3">
        <f t="shared" si="54"/>
        <v>1</v>
      </c>
      <c r="F120" s="3" t="s">
        <v>867</v>
      </c>
      <c r="G120" s="77"/>
      <c r="H120" s="5" t="s">
        <v>1</v>
      </c>
      <c r="I120" s="78">
        <f t="shared" si="55"/>
        <v>0</v>
      </c>
      <c r="J120" s="110">
        <f t="shared" si="56"/>
        <v>75</v>
      </c>
      <c r="K120" s="4">
        <v>162</v>
      </c>
      <c r="L120" s="5" t="s">
        <v>1</v>
      </c>
      <c r="M120" s="80">
        <f t="shared" si="57"/>
        <v>162</v>
      </c>
      <c r="N120" s="78">
        <f t="shared" si="58"/>
        <v>12150</v>
      </c>
      <c r="O120" s="78">
        <f t="shared" si="59"/>
        <v>12150</v>
      </c>
      <c r="P120" s="4">
        <v>0</v>
      </c>
      <c r="Q120" s="4">
        <v>0</v>
      </c>
      <c r="R120" s="49">
        <v>0</v>
      </c>
    </row>
    <row r="121" spans="1:18" x14ac:dyDescent="0.25">
      <c r="A121" s="31"/>
      <c r="B121" s="4" t="s">
        <v>2145</v>
      </c>
      <c r="C121" s="5">
        <v>1</v>
      </c>
      <c r="D121" s="7">
        <v>0</v>
      </c>
      <c r="E121" s="3">
        <f t="shared" si="54"/>
        <v>1</v>
      </c>
      <c r="F121" s="3" t="s">
        <v>867</v>
      </c>
      <c r="G121" s="77"/>
      <c r="H121" s="5" t="s">
        <v>1</v>
      </c>
      <c r="I121" s="78">
        <f t="shared" si="55"/>
        <v>0</v>
      </c>
      <c r="J121" s="110">
        <f t="shared" si="56"/>
        <v>75</v>
      </c>
      <c r="K121" s="4">
        <v>180</v>
      </c>
      <c r="L121" s="5" t="s">
        <v>1</v>
      </c>
      <c r="M121" s="80">
        <f t="shared" si="57"/>
        <v>180</v>
      </c>
      <c r="N121" s="78">
        <f t="shared" si="58"/>
        <v>13500</v>
      </c>
      <c r="O121" s="78">
        <f t="shared" si="59"/>
        <v>13500</v>
      </c>
      <c r="P121" s="4">
        <v>0</v>
      </c>
      <c r="Q121" s="4">
        <v>0</v>
      </c>
      <c r="R121" s="49">
        <v>0</v>
      </c>
    </row>
    <row r="122" spans="1:18" x14ac:dyDescent="0.25">
      <c r="A122" s="31"/>
      <c r="B122" s="4" t="s">
        <v>2144</v>
      </c>
      <c r="C122" s="5">
        <v>1</v>
      </c>
      <c r="D122" s="7">
        <v>0</v>
      </c>
      <c r="E122" s="3">
        <f t="shared" si="54"/>
        <v>1</v>
      </c>
      <c r="F122" s="3" t="s">
        <v>867</v>
      </c>
      <c r="G122" s="77"/>
      <c r="H122" s="5" t="s">
        <v>1</v>
      </c>
      <c r="I122" s="78">
        <f t="shared" si="55"/>
        <v>0</v>
      </c>
      <c r="J122" s="110">
        <f t="shared" si="56"/>
        <v>75</v>
      </c>
      <c r="K122" s="4">
        <v>198</v>
      </c>
      <c r="L122" s="5" t="s">
        <v>1</v>
      </c>
      <c r="M122" s="80">
        <f t="shared" si="57"/>
        <v>198</v>
      </c>
      <c r="N122" s="78">
        <f t="shared" si="58"/>
        <v>14850</v>
      </c>
      <c r="O122" s="78">
        <f t="shared" si="59"/>
        <v>14850</v>
      </c>
      <c r="P122" s="4">
        <v>0</v>
      </c>
      <c r="Q122" s="4">
        <v>0</v>
      </c>
      <c r="R122" s="49">
        <v>0</v>
      </c>
    </row>
    <row r="123" spans="1:18" x14ac:dyDescent="0.25">
      <c r="A123" s="31"/>
      <c r="B123" s="4" t="s">
        <v>2143</v>
      </c>
      <c r="C123" s="5">
        <v>1</v>
      </c>
      <c r="D123" s="7">
        <v>0</v>
      </c>
      <c r="E123" s="3">
        <f t="shared" si="54"/>
        <v>1</v>
      </c>
      <c r="F123" s="3" t="s">
        <v>867</v>
      </c>
      <c r="G123" s="77"/>
      <c r="H123" s="5" t="s">
        <v>1</v>
      </c>
      <c r="I123" s="78">
        <f t="shared" si="55"/>
        <v>0</v>
      </c>
      <c r="J123" s="110">
        <f t="shared" si="56"/>
        <v>75</v>
      </c>
      <c r="K123" s="4">
        <v>216</v>
      </c>
      <c r="L123" s="5" t="s">
        <v>1</v>
      </c>
      <c r="M123" s="80">
        <f t="shared" si="57"/>
        <v>216</v>
      </c>
      <c r="N123" s="78">
        <f t="shared" si="58"/>
        <v>16200</v>
      </c>
      <c r="O123" s="78">
        <f t="shared" si="59"/>
        <v>16200</v>
      </c>
      <c r="P123" s="4">
        <v>0</v>
      </c>
      <c r="Q123" s="4">
        <v>0</v>
      </c>
      <c r="R123" s="49">
        <v>0</v>
      </c>
    </row>
    <row r="124" spans="1:18" x14ac:dyDescent="0.25">
      <c r="A124" s="31"/>
      <c r="B124" s="4" t="s">
        <v>2142</v>
      </c>
      <c r="C124" s="5">
        <v>1</v>
      </c>
      <c r="D124" s="7">
        <v>0</v>
      </c>
      <c r="E124" s="3">
        <f t="shared" si="54"/>
        <v>1</v>
      </c>
      <c r="F124" s="3" t="s">
        <v>867</v>
      </c>
      <c r="G124" s="77"/>
      <c r="H124" s="5" t="s">
        <v>1</v>
      </c>
      <c r="I124" s="78">
        <f t="shared" si="55"/>
        <v>0</v>
      </c>
      <c r="J124" s="110">
        <f t="shared" si="56"/>
        <v>75</v>
      </c>
      <c r="K124" s="4">
        <v>234</v>
      </c>
      <c r="L124" s="5" t="s">
        <v>1</v>
      </c>
      <c r="M124" s="80">
        <f t="shared" si="57"/>
        <v>234</v>
      </c>
      <c r="N124" s="78">
        <f t="shared" si="58"/>
        <v>17550</v>
      </c>
      <c r="O124" s="78">
        <f t="shared" si="59"/>
        <v>17550</v>
      </c>
      <c r="P124" s="4">
        <v>0</v>
      </c>
      <c r="Q124" s="4">
        <v>0</v>
      </c>
      <c r="R124" s="49">
        <v>0</v>
      </c>
    </row>
    <row r="125" spans="1:18" x14ac:dyDescent="0.25">
      <c r="A125" s="31"/>
      <c r="B125" s="4" t="s">
        <v>2141</v>
      </c>
      <c r="C125" s="5">
        <v>1</v>
      </c>
      <c r="D125" s="7">
        <v>0</v>
      </c>
      <c r="E125" s="3">
        <f t="shared" si="54"/>
        <v>1</v>
      </c>
      <c r="F125" s="3" t="s">
        <v>867</v>
      </c>
      <c r="G125" s="77"/>
      <c r="H125" s="5" t="s">
        <v>1</v>
      </c>
      <c r="I125" s="78">
        <f t="shared" si="55"/>
        <v>0</v>
      </c>
      <c r="J125" s="110">
        <f t="shared" si="56"/>
        <v>75</v>
      </c>
      <c r="K125" s="4">
        <v>252</v>
      </c>
      <c r="L125" s="5" t="s">
        <v>1</v>
      </c>
      <c r="M125" s="80">
        <f t="shared" si="57"/>
        <v>252</v>
      </c>
      <c r="N125" s="78">
        <f t="shared" si="58"/>
        <v>18900</v>
      </c>
      <c r="O125" s="78">
        <f t="shared" si="59"/>
        <v>18900</v>
      </c>
      <c r="P125" s="4">
        <v>0</v>
      </c>
      <c r="Q125" s="4">
        <v>0</v>
      </c>
      <c r="R125" s="49">
        <v>0</v>
      </c>
    </row>
    <row r="126" spans="1:18" x14ac:dyDescent="0.25">
      <c r="A126" s="31"/>
      <c r="B126" s="4" t="s">
        <v>2140</v>
      </c>
      <c r="C126" s="5">
        <v>1</v>
      </c>
      <c r="D126" s="7">
        <v>0</v>
      </c>
      <c r="E126" s="3">
        <f t="shared" si="54"/>
        <v>1</v>
      </c>
      <c r="F126" s="3" t="s">
        <v>867</v>
      </c>
      <c r="G126" s="77"/>
      <c r="H126" s="5" t="s">
        <v>1</v>
      </c>
      <c r="I126" s="78">
        <f t="shared" si="55"/>
        <v>0</v>
      </c>
      <c r="J126" s="110">
        <f t="shared" si="56"/>
        <v>75</v>
      </c>
      <c r="K126" s="4">
        <v>270</v>
      </c>
      <c r="L126" s="5" t="s">
        <v>1</v>
      </c>
      <c r="M126" s="80">
        <f t="shared" si="57"/>
        <v>270</v>
      </c>
      <c r="N126" s="78">
        <f t="shared" si="58"/>
        <v>20250</v>
      </c>
      <c r="O126" s="78">
        <f t="shared" si="59"/>
        <v>20250</v>
      </c>
      <c r="P126" s="4">
        <v>0</v>
      </c>
      <c r="Q126" s="4">
        <v>0</v>
      </c>
      <c r="R126" s="49">
        <v>0</v>
      </c>
    </row>
    <row r="127" spans="1:18" x14ac:dyDescent="0.25">
      <c r="A127" s="31"/>
      <c r="B127" s="4" t="s">
        <v>2139</v>
      </c>
      <c r="C127" s="5">
        <v>1</v>
      </c>
      <c r="D127" s="7">
        <v>0</v>
      </c>
      <c r="E127" s="3">
        <f t="shared" si="54"/>
        <v>1</v>
      </c>
      <c r="F127" s="3" t="s">
        <v>867</v>
      </c>
      <c r="G127" s="77"/>
      <c r="H127" s="5" t="s">
        <v>1</v>
      </c>
      <c r="I127" s="78">
        <f t="shared" si="55"/>
        <v>0</v>
      </c>
      <c r="J127" s="110">
        <f t="shared" si="56"/>
        <v>75</v>
      </c>
      <c r="K127" s="4">
        <v>288</v>
      </c>
      <c r="L127" s="5" t="s">
        <v>1</v>
      </c>
      <c r="M127" s="80">
        <f t="shared" si="57"/>
        <v>288</v>
      </c>
      <c r="N127" s="78">
        <f t="shared" si="58"/>
        <v>21600</v>
      </c>
      <c r="O127" s="78">
        <f t="shared" si="59"/>
        <v>21600</v>
      </c>
      <c r="P127" s="4">
        <v>0</v>
      </c>
      <c r="Q127" s="4">
        <v>0</v>
      </c>
      <c r="R127" s="49">
        <v>0</v>
      </c>
    </row>
    <row r="128" spans="1:18" x14ac:dyDescent="0.25">
      <c r="A128" s="31"/>
      <c r="B128" s="4" t="s">
        <v>2138</v>
      </c>
      <c r="C128" s="5">
        <v>1</v>
      </c>
      <c r="D128" s="7">
        <v>0</v>
      </c>
      <c r="E128" s="3">
        <f t="shared" si="54"/>
        <v>1</v>
      </c>
      <c r="F128" s="3" t="s">
        <v>867</v>
      </c>
      <c r="G128" s="77"/>
      <c r="H128" s="5" t="s">
        <v>1</v>
      </c>
      <c r="I128" s="78">
        <f t="shared" si="55"/>
        <v>0</v>
      </c>
      <c r="J128" s="110">
        <f t="shared" si="56"/>
        <v>75</v>
      </c>
      <c r="K128" s="4">
        <v>306</v>
      </c>
      <c r="L128" s="5" t="s">
        <v>1</v>
      </c>
      <c r="M128" s="80">
        <f t="shared" si="57"/>
        <v>306</v>
      </c>
      <c r="N128" s="78">
        <f t="shared" si="58"/>
        <v>22950</v>
      </c>
      <c r="O128" s="78">
        <f t="shared" si="59"/>
        <v>22950</v>
      </c>
      <c r="P128" s="4">
        <v>0</v>
      </c>
      <c r="Q128" s="4">
        <v>0</v>
      </c>
      <c r="R128" s="49">
        <v>0</v>
      </c>
    </row>
    <row r="129" spans="1:18" x14ac:dyDescent="0.25">
      <c r="A129" s="31"/>
      <c r="B129" s="4" t="s">
        <v>2137</v>
      </c>
      <c r="C129" s="5">
        <v>1</v>
      </c>
      <c r="D129" s="7">
        <v>0</v>
      </c>
      <c r="E129" s="3">
        <f t="shared" si="54"/>
        <v>1</v>
      </c>
      <c r="F129" s="3" t="s">
        <v>867</v>
      </c>
      <c r="G129" s="77"/>
      <c r="H129" s="5" t="s">
        <v>1</v>
      </c>
      <c r="I129" s="78">
        <f t="shared" si="55"/>
        <v>0</v>
      </c>
      <c r="J129" s="110">
        <f t="shared" si="56"/>
        <v>75</v>
      </c>
      <c r="K129" s="4">
        <v>324</v>
      </c>
      <c r="L129" s="5" t="s">
        <v>1</v>
      </c>
      <c r="M129" s="80">
        <f t="shared" si="57"/>
        <v>324</v>
      </c>
      <c r="N129" s="78">
        <f t="shared" si="58"/>
        <v>24300</v>
      </c>
      <c r="O129" s="78">
        <f t="shared" si="59"/>
        <v>24300</v>
      </c>
      <c r="P129" s="4">
        <v>0</v>
      </c>
      <c r="Q129" s="4">
        <v>0</v>
      </c>
      <c r="R129" s="49">
        <v>0</v>
      </c>
    </row>
    <row r="130" spans="1:18" x14ac:dyDescent="0.25">
      <c r="A130" s="31"/>
      <c r="B130" s="4" t="s">
        <v>2136</v>
      </c>
      <c r="C130" s="5">
        <v>1</v>
      </c>
      <c r="D130" s="7">
        <v>0</v>
      </c>
      <c r="E130" s="3">
        <f t="shared" si="54"/>
        <v>1</v>
      </c>
      <c r="F130" s="3" t="s">
        <v>867</v>
      </c>
      <c r="G130" s="77"/>
      <c r="H130" s="5" t="s">
        <v>1</v>
      </c>
      <c r="I130" s="78">
        <f t="shared" si="55"/>
        <v>0</v>
      </c>
      <c r="J130" s="110">
        <f t="shared" si="56"/>
        <v>75</v>
      </c>
      <c r="K130" s="4">
        <v>342</v>
      </c>
      <c r="L130" s="5" t="s">
        <v>1</v>
      </c>
      <c r="M130" s="80">
        <f t="shared" si="57"/>
        <v>342</v>
      </c>
      <c r="N130" s="78">
        <f t="shared" si="58"/>
        <v>25650</v>
      </c>
      <c r="O130" s="78">
        <f t="shared" si="59"/>
        <v>25650</v>
      </c>
      <c r="P130" s="4">
        <v>0</v>
      </c>
      <c r="Q130" s="4">
        <v>0</v>
      </c>
      <c r="R130" s="49">
        <v>0</v>
      </c>
    </row>
    <row r="131" spans="1:18" x14ac:dyDescent="0.25">
      <c r="A131" s="31"/>
      <c r="B131" s="4" t="s">
        <v>2135</v>
      </c>
      <c r="C131" s="5">
        <v>1</v>
      </c>
      <c r="D131" s="7">
        <v>0</v>
      </c>
      <c r="E131" s="3">
        <f t="shared" si="54"/>
        <v>1</v>
      </c>
      <c r="F131" s="3" t="s">
        <v>867</v>
      </c>
      <c r="G131" s="77"/>
      <c r="H131" s="5" t="s">
        <v>1</v>
      </c>
      <c r="I131" s="78">
        <f t="shared" si="55"/>
        <v>0</v>
      </c>
      <c r="J131" s="110">
        <f t="shared" si="56"/>
        <v>75</v>
      </c>
      <c r="K131" s="4">
        <v>360</v>
      </c>
      <c r="L131" s="5" t="s">
        <v>1</v>
      </c>
      <c r="M131" s="80">
        <f t="shared" si="57"/>
        <v>360</v>
      </c>
      <c r="N131" s="78">
        <f t="shared" si="58"/>
        <v>27000</v>
      </c>
      <c r="O131" s="78">
        <f t="shared" si="59"/>
        <v>27000</v>
      </c>
      <c r="P131" s="4">
        <v>0</v>
      </c>
      <c r="Q131" s="4">
        <v>0</v>
      </c>
      <c r="R131" s="49">
        <v>0</v>
      </c>
    </row>
    <row r="132" spans="1:18" ht="15.75" thickBot="1" x14ac:dyDescent="0.3">
      <c r="A132" s="31"/>
      <c r="B132" s="258"/>
      <c r="C132" s="259">
        <v>1</v>
      </c>
      <c r="D132" s="259">
        <v>0</v>
      </c>
      <c r="E132" s="259">
        <f t="shared" si="54"/>
        <v>1</v>
      </c>
      <c r="F132" s="259" t="s">
        <v>867</v>
      </c>
      <c r="G132" s="259"/>
      <c r="H132" s="259" t="s">
        <v>1</v>
      </c>
      <c r="I132" s="259">
        <f t="shared" si="55"/>
        <v>0</v>
      </c>
      <c r="J132" s="259">
        <f t="shared" si="56"/>
        <v>75</v>
      </c>
      <c r="K132" s="259"/>
      <c r="L132" s="259" t="s">
        <v>1</v>
      </c>
      <c r="M132" s="259">
        <f t="shared" si="57"/>
        <v>0</v>
      </c>
      <c r="N132" s="259">
        <f t="shared" si="58"/>
        <v>0</v>
      </c>
      <c r="O132" s="259">
        <f t="shared" si="59"/>
        <v>0</v>
      </c>
      <c r="P132" s="259"/>
      <c r="Q132" s="259"/>
      <c r="R132" s="260"/>
    </row>
    <row r="133" spans="1:18" ht="15.75" thickBot="1" x14ac:dyDescent="0.3">
      <c r="A133" s="60"/>
      <c r="B133" s="145" t="s">
        <v>2134</v>
      </c>
      <c r="C133" s="5"/>
      <c r="D133" s="7"/>
      <c r="E133" s="3"/>
      <c r="F133" s="3"/>
      <c r="G133" s="9"/>
      <c r="H133" s="5"/>
      <c r="I133" s="9"/>
      <c r="J133" s="9"/>
      <c r="K133" s="15"/>
      <c r="L133" s="5"/>
      <c r="M133" s="15"/>
      <c r="N133" s="4"/>
      <c r="O133" s="4"/>
      <c r="P133" s="191"/>
      <c r="Q133" s="191"/>
      <c r="R133" s="190"/>
    </row>
    <row r="134" spans="1:18" x14ac:dyDescent="0.25">
      <c r="A134" s="31">
        <v>1</v>
      </c>
      <c r="B134" s="4" t="s">
        <v>2133</v>
      </c>
      <c r="C134" s="5">
        <v>1</v>
      </c>
      <c r="D134" s="7">
        <v>0</v>
      </c>
      <c r="E134" s="3">
        <f t="shared" ref="E134:E154" si="60">C134+(C134*D134)</f>
        <v>1</v>
      </c>
      <c r="F134" s="3" t="s">
        <v>867</v>
      </c>
      <c r="G134" s="77"/>
      <c r="H134" s="5" t="s">
        <v>1</v>
      </c>
      <c r="I134" s="78">
        <f t="shared" ref="I134:I154" si="61">IF(H134="C",(G134/100)*E134,IF(H134="M",(G134/1000)*E134,G134*E134))</f>
        <v>0</v>
      </c>
      <c r="J134" s="110">
        <f t="shared" ref="J134:J154" si="62">$O$4</f>
        <v>75</v>
      </c>
      <c r="K134" s="4">
        <v>20</v>
      </c>
      <c r="L134" s="5" t="s">
        <v>1</v>
      </c>
      <c r="M134" s="80">
        <f t="shared" ref="M134:M154" si="63">IF(L134="C",(K134/100)*E134,IF(L134="M",(K134/1000)*E134,K134*E134))</f>
        <v>20</v>
      </c>
      <c r="N134" s="78">
        <f t="shared" ref="N134:N154" si="64">M134*J134</f>
        <v>1500</v>
      </c>
      <c r="O134" s="78">
        <f t="shared" ref="O134:O154" si="65">N134+I134</f>
        <v>1500</v>
      </c>
      <c r="P134" s="4">
        <v>6</v>
      </c>
      <c r="Q134" s="4">
        <v>7.5</v>
      </c>
      <c r="R134" s="49">
        <v>9</v>
      </c>
    </row>
    <row r="135" spans="1:18" x14ac:dyDescent="0.25">
      <c r="A135" s="31"/>
      <c r="B135" s="4" t="s">
        <v>2132</v>
      </c>
      <c r="C135" s="5">
        <v>1</v>
      </c>
      <c r="D135" s="7">
        <v>0</v>
      </c>
      <c r="E135" s="3">
        <f t="shared" si="60"/>
        <v>1</v>
      </c>
      <c r="F135" s="3" t="s">
        <v>867</v>
      </c>
      <c r="G135" s="77"/>
      <c r="H135" s="5" t="s">
        <v>1</v>
      </c>
      <c r="I135" s="78">
        <f t="shared" si="61"/>
        <v>0</v>
      </c>
      <c r="J135" s="110">
        <f t="shared" si="62"/>
        <v>75</v>
      </c>
      <c r="K135" s="4">
        <v>40</v>
      </c>
      <c r="L135" s="5" t="s">
        <v>1</v>
      </c>
      <c r="M135" s="80">
        <f t="shared" si="63"/>
        <v>40</v>
      </c>
      <c r="N135" s="78">
        <f t="shared" si="64"/>
        <v>3000</v>
      </c>
      <c r="O135" s="78">
        <f t="shared" si="65"/>
        <v>3000</v>
      </c>
      <c r="P135" s="4">
        <v>12</v>
      </c>
      <c r="Q135" s="4">
        <v>15</v>
      </c>
      <c r="R135" s="49">
        <v>18</v>
      </c>
    </row>
    <row r="136" spans="1:18" x14ac:dyDescent="0.25">
      <c r="A136" s="31"/>
      <c r="B136" s="4" t="s">
        <v>2131</v>
      </c>
      <c r="C136" s="5">
        <v>1</v>
      </c>
      <c r="D136" s="7">
        <v>0</v>
      </c>
      <c r="E136" s="3">
        <f t="shared" si="60"/>
        <v>1</v>
      </c>
      <c r="F136" s="3" t="s">
        <v>867</v>
      </c>
      <c r="G136" s="77"/>
      <c r="H136" s="5" t="s">
        <v>1</v>
      </c>
      <c r="I136" s="78">
        <f t="shared" si="61"/>
        <v>0</v>
      </c>
      <c r="J136" s="110">
        <f t="shared" si="62"/>
        <v>75</v>
      </c>
      <c r="K136" s="4">
        <v>60</v>
      </c>
      <c r="L136" s="5" t="s">
        <v>1</v>
      </c>
      <c r="M136" s="80">
        <f t="shared" si="63"/>
        <v>60</v>
      </c>
      <c r="N136" s="78">
        <f t="shared" si="64"/>
        <v>4500</v>
      </c>
      <c r="O136" s="78">
        <f t="shared" si="65"/>
        <v>4500</v>
      </c>
      <c r="P136" s="4">
        <v>18</v>
      </c>
      <c r="Q136" s="4">
        <v>22.5</v>
      </c>
      <c r="R136" s="49">
        <v>27</v>
      </c>
    </row>
    <row r="137" spans="1:18" x14ac:dyDescent="0.25">
      <c r="A137" s="31"/>
      <c r="B137" s="4" t="s">
        <v>2130</v>
      </c>
      <c r="C137" s="5">
        <v>1</v>
      </c>
      <c r="D137" s="7">
        <v>0</v>
      </c>
      <c r="E137" s="3">
        <f t="shared" si="60"/>
        <v>1</v>
      </c>
      <c r="F137" s="3" t="s">
        <v>867</v>
      </c>
      <c r="G137" s="77"/>
      <c r="H137" s="5" t="s">
        <v>1</v>
      </c>
      <c r="I137" s="78">
        <f t="shared" si="61"/>
        <v>0</v>
      </c>
      <c r="J137" s="110">
        <f t="shared" si="62"/>
        <v>75</v>
      </c>
      <c r="K137" s="4">
        <v>80</v>
      </c>
      <c r="L137" s="5" t="s">
        <v>1</v>
      </c>
      <c r="M137" s="80">
        <f t="shared" si="63"/>
        <v>80</v>
      </c>
      <c r="N137" s="78">
        <f t="shared" si="64"/>
        <v>6000</v>
      </c>
      <c r="O137" s="78">
        <f t="shared" si="65"/>
        <v>6000</v>
      </c>
      <c r="P137" s="4">
        <v>0</v>
      </c>
      <c r="Q137" s="4">
        <v>0</v>
      </c>
      <c r="R137" s="49">
        <v>0</v>
      </c>
    </row>
    <row r="138" spans="1:18" x14ac:dyDescent="0.25">
      <c r="A138" s="31"/>
      <c r="B138" s="4" t="s">
        <v>2129</v>
      </c>
      <c r="C138" s="5">
        <v>1</v>
      </c>
      <c r="D138" s="7">
        <v>0</v>
      </c>
      <c r="E138" s="3">
        <f t="shared" si="60"/>
        <v>1</v>
      </c>
      <c r="F138" s="3" t="s">
        <v>867</v>
      </c>
      <c r="G138" s="77"/>
      <c r="H138" s="5" t="s">
        <v>1</v>
      </c>
      <c r="I138" s="78">
        <f t="shared" si="61"/>
        <v>0</v>
      </c>
      <c r="J138" s="110">
        <f t="shared" si="62"/>
        <v>75</v>
      </c>
      <c r="K138" s="4">
        <v>100</v>
      </c>
      <c r="L138" s="5" t="s">
        <v>1</v>
      </c>
      <c r="M138" s="80">
        <f t="shared" si="63"/>
        <v>100</v>
      </c>
      <c r="N138" s="78">
        <f t="shared" si="64"/>
        <v>7500</v>
      </c>
      <c r="O138" s="78">
        <f t="shared" si="65"/>
        <v>7500</v>
      </c>
      <c r="P138" s="4">
        <v>0</v>
      </c>
      <c r="Q138" s="4">
        <v>0</v>
      </c>
      <c r="R138" s="49">
        <v>0</v>
      </c>
    </row>
    <row r="139" spans="1:18" x14ac:dyDescent="0.25">
      <c r="A139" s="31"/>
      <c r="B139" s="4" t="s">
        <v>2128</v>
      </c>
      <c r="C139" s="5">
        <v>1</v>
      </c>
      <c r="D139" s="7">
        <v>0</v>
      </c>
      <c r="E139" s="3">
        <f t="shared" si="60"/>
        <v>1</v>
      </c>
      <c r="F139" s="3" t="s">
        <v>867</v>
      </c>
      <c r="G139" s="77"/>
      <c r="H139" s="5" t="s">
        <v>1</v>
      </c>
      <c r="I139" s="78">
        <f t="shared" si="61"/>
        <v>0</v>
      </c>
      <c r="J139" s="110">
        <f t="shared" si="62"/>
        <v>75</v>
      </c>
      <c r="K139" s="4">
        <v>120</v>
      </c>
      <c r="L139" s="5" t="s">
        <v>1</v>
      </c>
      <c r="M139" s="80">
        <f t="shared" si="63"/>
        <v>120</v>
      </c>
      <c r="N139" s="78">
        <f t="shared" si="64"/>
        <v>9000</v>
      </c>
      <c r="O139" s="78">
        <f t="shared" si="65"/>
        <v>9000</v>
      </c>
      <c r="P139" s="4">
        <v>0</v>
      </c>
      <c r="Q139" s="4">
        <v>0</v>
      </c>
      <c r="R139" s="49">
        <v>0</v>
      </c>
    </row>
    <row r="140" spans="1:18" x14ac:dyDescent="0.25">
      <c r="A140" s="31"/>
      <c r="B140" s="4" t="s">
        <v>2127</v>
      </c>
      <c r="C140" s="5">
        <v>1</v>
      </c>
      <c r="D140" s="7">
        <v>0</v>
      </c>
      <c r="E140" s="3">
        <f t="shared" si="60"/>
        <v>1</v>
      </c>
      <c r="F140" s="3" t="s">
        <v>867</v>
      </c>
      <c r="G140" s="77"/>
      <c r="H140" s="5" t="s">
        <v>1</v>
      </c>
      <c r="I140" s="78">
        <f t="shared" si="61"/>
        <v>0</v>
      </c>
      <c r="J140" s="110">
        <f t="shared" si="62"/>
        <v>75</v>
      </c>
      <c r="K140" s="4">
        <v>140</v>
      </c>
      <c r="L140" s="5" t="s">
        <v>1</v>
      </c>
      <c r="M140" s="80">
        <f t="shared" si="63"/>
        <v>140</v>
      </c>
      <c r="N140" s="78">
        <f t="shared" si="64"/>
        <v>10500</v>
      </c>
      <c r="O140" s="78">
        <f t="shared" si="65"/>
        <v>10500</v>
      </c>
      <c r="P140" s="4">
        <v>0</v>
      </c>
      <c r="Q140" s="4">
        <v>0</v>
      </c>
      <c r="R140" s="49">
        <v>0</v>
      </c>
    </row>
    <row r="141" spans="1:18" x14ac:dyDescent="0.25">
      <c r="A141" s="31"/>
      <c r="B141" s="4" t="s">
        <v>2126</v>
      </c>
      <c r="C141" s="5">
        <v>1</v>
      </c>
      <c r="D141" s="7">
        <v>0</v>
      </c>
      <c r="E141" s="3">
        <f t="shared" si="60"/>
        <v>1</v>
      </c>
      <c r="F141" s="3" t="s">
        <v>867</v>
      </c>
      <c r="G141" s="77"/>
      <c r="H141" s="5" t="s">
        <v>1</v>
      </c>
      <c r="I141" s="78">
        <f t="shared" si="61"/>
        <v>0</v>
      </c>
      <c r="J141" s="110">
        <f t="shared" si="62"/>
        <v>75</v>
      </c>
      <c r="K141" s="4">
        <v>160</v>
      </c>
      <c r="L141" s="5" t="s">
        <v>1</v>
      </c>
      <c r="M141" s="80">
        <f t="shared" si="63"/>
        <v>160</v>
      </c>
      <c r="N141" s="78">
        <f t="shared" si="64"/>
        <v>12000</v>
      </c>
      <c r="O141" s="78">
        <f t="shared" si="65"/>
        <v>12000</v>
      </c>
      <c r="P141" s="4">
        <v>0</v>
      </c>
      <c r="Q141" s="4">
        <v>0</v>
      </c>
      <c r="R141" s="49">
        <v>0</v>
      </c>
    </row>
    <row r="142" spans="1:18" x14ac:dyDescent="0.25">
      <c r="A142" s="31"/>
      <c r="B142" s="4" t="s">
        <v>2125</v>
      </c>
      <c r="C142" s="5">
        <v>1</v>
      </c>
      <c r="D142" s="7">
        <v>0</v>
      </c>
      <c r="E142" s="3">
        <f t="shared" si="60"/>
        <v>1</v>
      </c>
      <c r="F142" s="3" t="s">
        <v>867</v>
      </c>
      <c r="G142" s="77"/>
      <c r="H142" s="5" t="s">
        <v>1</v>
      </c>
      <c r="I142" s="78">
        <f t="shared" si="61"/>
        <v>0</v>
      </c>
      <c r="J142" s="110">
        <f t="shared" si="62"/>
        <v>75</v>
      </c>
      <c r="K142" s="4">
        <v>180</v>
      </c>
      <c r="L142" s="5" t="s">
        <v>1</v>
      </c>
      <c r="M142" s="80">
        <f t="shared" si="63"/>
        <v>180</v>
      </c>
      <c r="N142" s="78">
        <f t="shared" si="64"/>
        <v>13500</v>
      </c>
      <c r="O142" s="78">
        <f t="shared" si="65"/>
        <v>13500</v>
      </c>
      <c r="P142" s="4">
        <v>0</v>
      </c>
      <c r="Q142" s="4">
        <v>0</v>
      </c>
      <c r="R142" s="49">
        <v>0</v>
      </c>
    </row>
    <row r="143" spans="1:18" x14ac:dyDescent="0.25">
      <c r="A143" s="31"/>
      <c r="B143" s="4" t="s">
        <v>2124</v>
      </c>
      <c r="C143" s="5">
        <v>1</v>
      </c>
      <c r="D143" s="7">
        <v>0</v>
      </c>
      <c r="E143" s="3">
        <f t="shared" si="60"/>
        <v>1</v>
      </c>
      <c r="F143" s="3" t="s">
        <v>867</v>
      </c>
      <c r="G143" s="77"/>
      <c r="H143" s="5" t="s">
        <v>1</v>
      </c>
      <c r="I143" s="78">
        <f t="shared" si="61"/>
        <v>0</v>
      </c>
      <c r="J143" s="110">
        <f t="shared" si="62"/>
        <v>75</v>
      </c>
      <c r="K143" s="4">
        <v>200</v>
      </c>
      <c r="L143" s="5" t="s">
        <v>1</v>
      </c>
      <c r="M143" s="80">
        <f t="shared" si="63"/>
        <v>200</v>
      </c>
      <c r="N143" s="78">
        <f t="shared" si="64"/>
        <v>15000</v>
      </c>
      <c r="O143" s="78">
        <f t="shared" si="65"/>
        <v>15000</v>
      </c>
      <c r="P143" s="4">
        <v>0</v>
      </c>
      <c r="Q143" s="4">
        <v>0</v>
      </c>
      <c r="R143" s="49">
        <v>0</v>
      </c>
    </row>
    <row r="144" spans="1:18" x14ac:dyDescent="0.25">
      <c r="A144" s="31"/>
      <c r="B144" s="4" t="s">
        <v>2123</v>
      </c>
      <c r="C144" s="5">
        <v>1</v>
      </c>
      <c r="D144" s="7">
        <v>0</v>
      </c>
      <c r="E144" s="3">
        <f t="shared" si="60"/>
        <v>1</v>
      </c>
      <c r="F144" s="3" t="s">
        <v>867</v>
      </c>
      <c r="G144" s="77"/>
      <c r="H144" s="5" t="s">
        <v>1</v>
      </c>
      <c r="I144" s="78">
        <f t="shared" si="61"/>
        <v>0</v>
      </c>
      <c r="J144" s="110">
        <f t="shared" si="62"/>
        <v>75</v>
      </c>
      <c r="K144" s="4">
        <v>220</v>
      </c>
      <c r="L144" s="5" t="s">
        <v>1</v>
      </c>
      <c r="M144" s="80">
        <f t="shared" si="63"/>
        <v>220</v>
      </c>
      <c r="N144" s="78">
        <f t="shared" si="64"/>
        <v>16500</v>
      </c>
      <c r="O144" s="78">
        <f t="shared" si="65"/>
        <v>16500</v>
      </c>
      <c r="P144" s="4">
        <v>0</v>
      </c>
      <c r="Q144" s="4">
        <v>0</v>
      </c>
      <c r="R144" s="49">
        <v>0</v>
      </c>
    </row>
    <row r="145" spans="1:18" x14ac:dyDescent="0.25">
      <c r="A145" s="31"/>
      <c r="B145" s="4" t="s">
        <v>2122</v>
      </c>
      <c r="C145" s="5">
        <v>1</v>
      </c>
      <c r="D145" s="7">
        <v>0</v>
      </c>
      <c r="E145" s="3">
        <f t="shared" si="60"/>
        <v>1</v>
      </c>
      <c r="F145" s="3" t="s">
        <v>867</v>
      </c>
      <c r="G145" s="77"/>
      <c r="H145" s="5" t="s">
        <v>1</v>
      </c>
      <c r="I145" s="78">
        <f t="shared" si="61"/>
        <v>0</v>
      </c>
      <c r="J145" s="110">
        <f t="shared" si="62"/>
        <v>75</v>
      </c>
      <c r="K145" s="4">
        <v>240</v>
      </c>
      <c r="L145" s="5" t="s">
        <v>1</v>
      </c>
      <c r="M145" s="80">
        <f t="shared" si="63"/>
        <v>240</v>
      </c>
      <c r="N145" s="78">
        <f t="shared" si="64"/>
        <v>18000</v>
      </c>
      <c r="O145" s="78">
        <f t="shared" si="65"/>
        <v>18000</v>
      </c>
      <c r="P145" s="4">
        <v>0</v>
      </c>
      <c r="Q145" s="4">
        <v>0</v>
      </c>
      <c r="R145" s="49">
        <v>0</v>
      </c>
    </row>
    <row r="146" spans="1:18" x14ac:dyDescent="0.25">
      <c r="A146" s="60"/>
      <c r="B146" s="8" t="s">
        <v>2121</v>
      </c>
      <c r="C146" s="5">
        <v>1</v>
      </c>
      <c r="D146" s="7">
        <v>0</v>
      </c>
      <c r="E146" s="3">
        <f t="shared" si="60"/>
        <v>1</v>
      </c>
      <c r="F146" s="3" t="s">
        <v>867</v>
      </c>
      <c r="G146" s="77"/>
      <c r="H146" s="5" t="s">
        <v>1</v>
      </c>
      <c r="I146" s="78">
        <f t="shared" si="61"/>
        <v>0</v>
      </c>
      <c r="J146" s="110">
        <f t="shared" si="62"/>
        <v>75</v>
      </c>
      <c r="K146" s="4">
        <v>260</v>
      </c>
      <c r="L146" s="5" t="s">
        <v>1</v>
      </c>
      <c r="M146" s="80">
        <f t="shared" si="63"/>
        <v>260</v>
      </c>
      <c r="N146" s="78">
        <f t="shared" si="64"/>
        <v>19500</v>
      </c>
      <c r="O146" s="78">
        <f t="shared" si="65"/>
        <v>19500</v>
      </c>
      <c r="P146" s="4">
        <v>0</v>
      </c>
      <c r="Q146" s="4">
        <v>0</v>
      </c>
      <c r="R146" s="49">
        <v>0</v>
      </c>
    </row>
    <row r="147" spans="1:18" x14ac:dyDescent="0.25">
      <c r="A147" s="31"/>
      <c r="B147" s="4" t="s">
        <v>2120</v>
      </c>
      <c r="C147" s="5">
        <v>1</v>
      </c>
      <c r="D147" s="7">
        <v>0</v>
      </c>
      <c r="E147" s="3">
        <f t="shared" si="60"/>
        <v>1</v>
      </c>
      <c r="F147" s="3" t="s">
        <v>867</v>
      </c>
      <c r="G147" s="77"/>
      <c r="H147" s="5" t="s">
        <v>1</v>
      </c>
      <c r="I147" s="78">
        <f t="shared" si="61"/>
        <v>0</v>
      </c>
      <c r="J147" s="110">
        <f t="shared" si="62"/>
        <v>75</v>
      </c>
      <c r="K147" s="4">
        <v>280</v>
      </c>
      <c r="L147" s="5" t="s">
        <v>1</v>
      </c>
      <c r="M147" s="80">
        <f t="shared" si="63"/>
        <v>280</v>
      </c>
      <c r="N147" s="78">
        <f t="shared" si="64"/>
        <v>21000</v>
      </c>
      <c r="O147" s="78">
        <f t="shared" si="65"/>
        <v>21000</v>
      </c>
      <c r="P147" s="4">
        <v>0</v>
      </c>
      <c r="Q147" s="4">
        <v>0</v>
      </c>
      <c r="R147" s="49">
        <v>0</v>
      </c>
    </row>
    <row r="148" spans="1:18" x14ac:dyDescent="0.25">
      <c r="A148" s="31"/>
      <c r="B148" s="4" t="s">
        <v>2119</v>
      </c>
      <c r="C148" s="5">
        <v>1</v>
      </c>
      <c r="D148" s="7">
        <v>0</v>
      </c>
      <c r="E148" s="3">
        <f t="shared" si="60"/>
        <v>1</v>
      </c>
      <c r="F148" s="3" t="s">
        <v>867</v>
      </c>
      <c r="G148" s="77"/>
      <c r="H148" s="5" t="s">
        <v>1</v>
      </c>
      <c r="I148" s="78">
        <f t="shared" si="61"/>
        <v>0</v>
      </c>
      <c r="J148" s="110">
        <f t="shared" si="62"/>
        <v>75</v>
      </c>
      <c r="K148" s="4">
        <v>300</v>
      </c>
      <c r="L148" s="5" t="s">
        <v>1</v>
      </c>
      <c r="M148" s="80">
        <f t="shared" si="63"/>
        <v>300</v>
      </c>
      <c r="N148" s="78">
        <f t="shared" si="64"/>
        <v>22500</v>
      </c>
      <c r="O148" s="78">
        <f t="shared" si="65"/>
        <v>22500</v>
      </c>
      <c r="P148" s="4">
        <v>0</v>
      </c>
      <c r="Q148" s="4">
        <v>0</v>
      </c>
      <c r="R148" s="49">
        <v>0</v>
      </c>
    </row>
    <row r="149" spans="1:18" x14ac:dyDescent="0.25">
      <c r="A149" s="31"/>
      <c r="B149" s="4" t="s">
        <v>2118</v>
      </c>
      <c r="C149" s="5">
        <v>1</v>
      </c>
      <c r="D149" s="7">
        <v>0</v>
      </c>
      <c r="E149" s="3">
        <f t="shared" si="60"/>
        <v>1</v>
      </c>
      <c r="F149" s="3" t="s">
        <v>867</v>
      </c>
      <c r="G149" s="77"/>
      <c r="H149" s="5" t="s">
        <v>1</v>
      </c>
      <c r="I149" s="78">
        <f t="shared" si="61"/>
        <v>0</v>
      </c>
      <c r="J149" s="110">
        <f t="shared" si="62"/>
        <v>75</v>
      </c>
      <c r="K149" s="4">
        <v>320</v>
      </c>
      <c r="L149" s="5" t="s">
        <v>1</v>
      </c>
      <c r="M149" s="80">
        <f t="shared" si="63"/>
        <v>320</v>
      </c>
      <c r="N149" s="78">
        <f t="shared" si="64"/>
        <v>24000</v>
      </c>
      <c r="O149" s="78">
        <f t="shared" si="65"/>
        <v>24000</v>
      </c>
      <c r="P149" s="4">
        <v>0</v>
      </c>
      <c r="Q149" s="4">
        <v>0</v>
      </c>
      <c r="R149" s="49">
        <v>0</v>
      </c>
    </row>
    <row r="150" spans="1:18" x14ac:dyDescent="0.25">
      <c r="A150" s="31"/>
      <c r="B150" s="4" t="s">
        <v>2117</v>
      </c>
      <c r="C150" s="5">
        <v>1</v>
      </c>
      <c r="D150" s="7">
        <v>0</v>
      </c>
      <c r="E150" s="3">
        <f t="shared" si="60"/>
        <v>1</v>
      </c>
      <c r="F150" s="3" t="s">
        <v>867</v>
      </c>
      <c r="G150" s="77"/>
      <c r="H150" s="5" t="s">
        <v>1</v>
      </c>
      <c r="I150" s="78">
        <f t="shared" si="61"/>
        <v>0</v>
      </c>
      <c r="J150" s="110">
        <f t="shared" si="62"/>
        <v>75</v>
      </c>
      <c r="K150" s="4">
        <v>340</v>
      </c>
      <c r="L150" s="5" t="s">
        <v>1</v>
      </c>
      <c r="M150" s="80">
        <f t="shared" si="63"/>
        <v>340</v>
      </c>
      <c r="N150" s="78">
        <f t="shared" si="64"/>
        <v>25500</v>
      </c>
      <c r="O150" s="78">
        <f t="shared" si="65"/>
        <v>25500</v>
      </c>
      <c r="P150" s="4">
        <v>0</v>
      </c>
      <c r="Q150" s="4">
        <v>0</v>
      </c>
      <c r="R150" s="49">
        <v>0</v>
      </c>
    </row>
    <row r="151" spans="1:18" x14ac:dyDescent="0.25">
      <c r="A151" s="31"/>
      <c r="B151" s="4" t="s">
        <v>2116</v>
      </c>
      <c r="C151" s="5">
        <v>1</v>
      </c>
      <c r="D151" s="7">
        <v>0</v>
      </c>
      <c r="E151" s="3">
        <f t="shared" si="60"/>
        <v>1</v>
      </c>
      <c r="F151" s="3" t="s">
        <v>867</v>
      </c>
      <c r="G151" s="77"/>
      <c r="H151" s="5" t="s">
        <v>1</v>
      </c>
      <c r="I151" s="78">
        <f t="shared" si="61"/>
        <v>0</v>
      </c>
      <c r="J151" s="110">
        <f t="shared" si="62"/>
        <v>75</v>
      </c>
      <c r="K151" s="4">
        <v>360</v>
      </c>
      <c r="L151" s="5" t="s">
        <v>1</v>
      </c>
      <c r="M151" s="80">
        <f t="shared" si="63"/>
        <v>360</v>
      </c>
      <c r="N151" s="78">
        <f t="shared" si="64"/>
        <v>27000</v>
      </c>
      <c r="O151" s="78">
        <f t="shared" si="65"/>
        <v>27000</v>
      </c>
      <c r="P151" s="4">
        <v>0</v>
      </c>
      <c r="Q151" s="4">
        <v>0</v>
      </c>
      <c r="R151" s="49">
        <v>0</v>
      </c>
    </row>
    <row r="152" spans="1:18" x14ac:dyDescent="0.25">
      <c r="A152" s="31"/>
      <c r="B152" s="4" t="s">
        <v>2115</v>
      </c>
      <c r="C152" s="5">
        <v>1</v>
      </c>
      <c r="D152" s="7">
        <v>0</v>
      </c>
      <c r="E152" s="3">
        <f t="shared" si="60"/>
        <v>1</v>
      </c>
      <c r="F152" s="3" t="s">
        <v>867</v>
      </c>
      <c r="G152" s="77"/>
      <c r="H152" s="5" t="s">
        <v>1</v>
      </c>
      <c r="I152" s="78">
        <f t="shared" si="61"/>
        <v>0</v>
      </c>
      <c r="J152" s="110">
        <f t="shared" si="62"/>
        <v>75</v>
      </c>
      <c r="K152" s="4">
        <v>380</v>
      </c>
      <c r="L152" s="5" t="s">
        <v>1</v>
      </c>
      <c r="M152" s="80">
        <f t="shared" si="63"/>
        <v>380</v>
      </c>
      <c r="N152" s="78">
        <f t="shared" si="64"/>
        <v>28500</v>
      </c>
      <c r="O152" s="78">
        <f t="shared" si="65"/>
        <v>28500</v>
      </c>
      <c r="P152" s="4">
        <v>0</v>
      </c>
      <c r="Q152" s="4">
        <v>0</v>
      </c>
      <c r="R152" s="49">
        <v>0</v>
      </c>
    </row>
    <row r="153" spans="1:18" x14ac:dyDescent="0.25">
      <c r="A153" s="31"/>
      <c r="B153" s="4" t="s">
        <v>2114</v>
      </c>
      <c r="C153" s="5">
        <v>1</v>
      </c>
      <c r="D153" s="7">
        <v>0</v>
      </c>
      <c r="E153" s="3">
        <f t="shared" si="60"/>
        <v>1</v>
      </c>
      <c r="F153" s="3" t="s">
        <v>867</v>
      </c>
      <c r="G153" s="77"/>
      <c r="H153" s="5" t="s">
        <v>1</v>
      </c>
      <c r="I153" s="78">
        <f t="shared" si="61"/>
        <v>0</v>
      </c>
      <c r="J153" s="110">
        <f t="shared" si="62"/>
        <v>75</v>
      </c>
      <c r="K153" s="4">
        <v>400</v>
      </c>
      <c r="L153" s="5" t="s">
        <v>1</v>
      </c>
      <c r="M153" s="80">
        <f t="shared" si="63"/>
        <v>400</v>
      </c>
      <c r="N153" s="78">
        <f t="shared" si="64"/>
        <v>30000</v>
      </c>
      <c r="O153" s="78">
        <f t="shared" si="65"/>
        <v>30000</v>
      </c>
      <c r="P153" s="4">
        <v>0</v>
      </c>
      <c r="Q153" s="4">
        <v>0</v>
      </c>
      <c r="R153" s="49">
        <v>0</v>
      </c>
    </row>
    <row r="154" spans="1:18" ht="15.75" thickBot="1" x14ac:dyDescent="0.3">
      <c r="A154" s="31"/>
      <c r="B154" s="258"/>
      <c r="C154" s="259">
        <v>1</v>
      </c>
      <c r="D154" s="259">
        <v>0</v>
      </c>
      <c r="E154" s="259">
        <f t="shared" si="60"/>
        <v>1</v>
      </c>
      <c r="F154" s="259" t="s">
        <v>867</v>
      </c>
      <c r="G154" s="259"/>
      <c r="H154" s="259" t="s">
        <v>1</v>
      </c>
      <c r="I154" s="259">
        <f t="shared" si="61"/>
        <v>0</v>
      </c>
      <c r="J154" s="259">
        <f t="shared" si="62"/>
        <v>75</v>
      </c>
      <c r="K154" s="259"/>
      <c r="L154" s="259" t="s">
        <v>1</v>
      </c>
      <c r="M154" s="259">
        <f t="shared" si="63"/>
        <v>0</v>
      </c>
      <c r="N154" s="259">
        <f t="shared" si="64"/>
        <v>0</v>
      </c>
      <c r="O154" s="259">
        <f t="shared" si="65"/>
        <v>0</v>
      </c>
      <c r="P154" s="259"/>
      <c r="Q154" s="259"/>
      <c r="R154" s="260"/>
    </row>
    <row r="155" spans="1:18" ht="15.75" thickBot="1" x14ac:dyDescent="0.3">
      <c r="A155" s="60"/>
      <c r="B155" s="145" t="s">
        <v>2113</v>
      </c>
      <c r="C155" s="5"/>
      <c r="D155" s="7"/>
      <c r="E155" s="3"/>
      <c r="F155" s="3"/>
      <c r="G155" s="9"/>
      <c r="H155" s="5"/>
      <c r="I155" s="9"/>
      <c r="J155" s="9"/>
      <c r="K155" s="15"/>
      <c r="L155" s="5"/>
      <c r="M155" s="15"/>
      <c r="N155" s="4"/>
      <c r="O155" s="4"/>
      <c r="P155" s="191"/>
      <c r="Q155" s="191"/>
      <c r="R155" s="190"/>
    </row>
    <row r="156" spans="1:18" ht="15" customHeight="1" x14ac:dyDescent="0.25">
      <c r="A156" s="60">
        <v>1</v>
      </c>
      <c r="B156" s="8" t="s">
        <v>2112</v>
      </c>
      <c r="C156" s="5">
        <v>1</v>
      </c>
      <c r="D156" s="7">
        <v>0</v>
      </c>
      <c r="E156" s="3">
        <f t="shared" ref="E156:E175" si="66">C156+(C156*D156)</f>
        <v>1</v>
      </c>
      <c r="F156" s="3" t="s">
        <v>867</v>
      </c>
      <c r="G156" s="77"/>
      <c r="H156" s="5" t="s">
        <v>1</v>
      </c>
      <c r="I156" s="78">
        <f t="shared" ref="I156:I175" si="67">IF(H156="C",(G156/100)*E156,IF(H156="M",(G156/1000)*E156,G156*E156))</f>
        <v>0</v>
      </c>
      <c r="J156" s="110">
        <f t="shared" ref="J156:J175" si="68">$O$4</f>
        <v>75</v>
      </c>
      <c r="K156" s="4">
        <v>22</v>
      </c>
      <c r="L156" s="5" t="s">
        <v>1</v>
      </c>
      <c r="M156" s="80">
        <f t="shared" ref="M156:M175" si="69">IF(L156="C",(K156/100)*E156,IF(L156="M",(K156/1000)*E156,K156*E156))</f>
        <v>22</v>
      </c>
      <c r="N156" s="78">
        <f t="shared" ref="N156:N175" si="70">M156*J156</f>
        <v>1650</v>
      </c>
      <c r="O156" s="78">
        <f t="shared" ref="O156:O175" si="71">N156+I156</f>
        <v>1650</v>
      </c>
      <c r="P156" s="4">
        <v>6</v>
      </c>
      <c r="Q156" s="4">
        <v>7.5</v>
      </c>
      <c r="R156" s="49">
        <v>9</v>
      </c>
    </row>
    <row r="157" spans="1:18" x14ac:dyDescent="0.25">
      <c r="A157" s="31"/>
      <c r="B157" s="4" t="s">
        <v>2111</v>
      </c>
      <c r="C157" s="5">
        <v>1</v>
      </c>
      <c r="D157" s="7">
        <v>0</v>
      </c>
      <c r="E157" s="3">
        <f t="shared" si="66"/>
        <v>1</v>
      </c>
      <c r="F157" s="3" t="s">
        <v>867</v>
      </c>
      <c r="G157" s="77"/>
      <c r="H157" s="5" t="s">
        <v>1</v>
      </c>
      <c r="I157" s="78">
        <f t="shared" si="67"/>
        <v>0</v>
      </c>
      <c r="J157" s="110">
        <f t="shared" si="68"/>
        <v>75</v>
      </c>
      <c r="K157" s="4">
        <v>44</v>
      </c>
      <c r="L157" s="5" t="s">
        <v>1</v>
      </c>
      <c r="M157" s="80">
        <f t="shared" si="69"/>
        <v>44</v>
      </c>
      <c r="N157" s="78">
        <f t="shared" si="70"/>
        <v>3300</v>
      </c>
      <c r="O157" s="78">
        <f t="shared" si="71"/>
        <v>3300</v>
      </c>
      <c r="P157" s="4">
        <v>12</v>
      </c>
      <c r="Q157" s="4">
        <v>15</v>
      </c>
      <c r="R157" s="49">
        <v>18</v>
      </c>
    </row>
    <row r="158" spans="1:18" x14ac:dyDescent="0.25">
      <c r="A158" s="31"/>
      <c r="B158" s="4" t="s">
        <v>2110</v>
      </c>
      <c r="C158" s="5">
        <v>1</v>
      </c>
      <c r="D158" s="7">
        <v>0</v>
      </c>
      <c r="E158" s="3">
        <f t="shared" si="66"/>
        <v>1</v>
      </c>
      <c r="F158" s="3" t="s">
        <v>867</v>
      </c>
      <c r="G158" s="77"/>
      <c r="H158" s="5" t="s">
        <v>1</v>
      </c>
      <c r="I158" s="78">
        <f t="shared" si="67"/>
        <v>0</v>
      </c>
      <c r="J158" s="110">
        <f t="shared" si="68"/>
        <v>75</v>
      </c>
      <c r="K158" s="4">
        <v>66</v>
      </c>
      <c r="L158" s="5" t="s">
        <v>1</v>
      </c>
      <c r="M158" s="80">
        <f t="shared" si="69"/>
        <v>66</v>
      </c>
      <c r="N158" s="78">
        <f t="shared" si="70"/>
        <v>4950</v>
      </c>
      <c r="O158" s="78">
        <f t="shared" si="71"/>
        <v>4950</v>
      </c>
      <c r="P158" s="4">
        <v>18</v>
      </c>
      <c r="Q158" s="4">
        <v>22.5</v>
      </c>
      <c r="R158" s="49">
        <v>27</v>
      </c>
    </row>
    <row r="159" spans="1:18" x14ac:dyDescent="0.25">
      <c r="A159" s="31"/>
      <c r="B159" s="4" t="s">
        <v>2109</v>
      </c>
      <c r="C159" s="5">
        <v>1</v>
      </c>
      <c r="D159" s="7">
        <v>0</v>
      </c>
      <c r="E159" s="3">
        <f t="shared" si="66"/>
        <v>1</v>
      </c>
      <c r="F159" s="3" t="s">
        <v>867</v>
      </c>
      <c r="G159" s="77"/>
      <c r="H159" s="5" t="s">
        <v>1</v>
      </c>
      <c r="I159" s="78">
        <f t="shared" si="67"/>
        <v>0</v>
      </c>
      <c r="J159" s="110">
        <f t="shared" si="68"/>
        <v>75</v>
      </c>
      <c r="K159" s="4">
        <v>88</v>
      </c>
      <c r="L159" s="5" t="s">
        <v>1</v>
      </c>
      <c r="M159" s="80">
        <f t="shared" si="69"/>
        <v>88</v>
      </c>
      <c r="N159" s="78">
        <f t="shared" si="70"/>
        <v>6600</v>
      </c>
      <c r="O159" s="78">
        <f t="shared" si="71"/>
        <v>6600</v>
      </c>
      <c r="P159" s="4">
        <v>0</v>
      </c>
      <c r="Q159" s="4">
        <v>0</v>
      </c>
      <c r="R159" s="49">
        <v>0</v>
      </c>
    </row>
    <row r="160" spans="1:18" x14ac:dyDescent="0.25">
      <c r="A160" s="31"/>
      <c r="B160" s="4" t="s">
        <v>2108</v>
      </c>
      <c r="C160" s="5">
        <v>1</v>
      </c>
      <c r="D160" s="7">
        <v>0</v>
      </c>
      <c r="E160" s="3">
        <f t="shared" si="66"/>
        <v>1</v>
      </c>
      <c r="F160" s="3" t="s">
        <v>867</v>
      </c>
      <c r="G160" s="77"/>
      <c r="H160" s="5" t="s">
        <v>1</v>
      </c>
      <c r="I160" s="78">
        <f t="shared" si="67"/>
        <v>0</v>
      </c>
      <c r="J160" s="110">
        <f t="shared" si="68"/>
        <v>75</v>
      </c>
      <c r="K160" s="4">
        <v>110</v>
      </c>
      <c r="L160" s="5" t="s">
        <v>1</v>
      </c>
      <c r="M160" s="80">
        <f t="shared" si="69"/>
        <v>110</v>
      </c>
      <c r="N160" s="78">
        <f t="shared" si="70"/>
        <v>8250</v>
      </c>
      <c r="O160" s="78">
        <f t="shared" si="71"/>
        <v>8250</v>
      </c>
      <c r="P160" s="4">
        <v>0</v>
      </c>
      <c r="Q160" s="4">
        <v>0</v>
      </c>
      <c r="R160" s="49">
        <v>0</v>
      </c>
    </row>
    <row r="161" spans="1:18" x14ac:dyDescent="0.25">
      <c r="A161" s="31"/>
      <c r="B161" s="4" t="s">
        <v>2107</v>
      </c>
      <c r="C161" s="5">
        <v>1</v>
      </c>
      <c r="D161" s="7">
        <v>0</v>
      </c>
      <c r="E161" s="3">
        <f t="shared" si="66"/>
        <v>1</v>
      </c>
      <c r="F161" s="3" t="s">
        <v>867</v>
      </c>
      <c r="G161" s="77"/>
      <c r="H161" s="5" t="s">
        <v>1</v>
      </c>
      <c r="I161" s="78">
        <f t="shared" si="67"/>
        <v>0</v>
      </c>
      <c r="J161" s="110">
        <f t="shared" si="68"/>
        <v>75</v>
      </c>
      <c r="K161" s="4">
        <v>132</v>
      </c>
      <c r="L161" s="5" t="s">
        <v>1</v>
      </c>
      <c r="M161" s="80">
        <f t="shared" si="69"/>
        <v>132</v>
      </c>
      <c r="N161" s="78">
        <f t="shared" si="70"/>
        <v>9900</v>
      </c>
      <c r="O161" s="78">
        <f t="shared" si="71"/>
        <v>9900</v>
      </c>
      <c r="P161" s="4">
        <v>0</v>
      </c>
      <c r="Q161" s="4">
        <v>0</v>
      </c>
      <c r="R161" s="49">
        <v>0</v>
      </c>
    </row>
    <row r="162" spans="1:18" x14ac:dyDescent="0.25">
      <c r="A162" s="31"/>
      <c r="B162" s="4" t="s">
        <v>2106</v>
      </c>
      <c r="C162" s="5">
        <v>1</v>
      </c>
      <c r="D162" s="7">
        <v>0</v>
      </c>
      <c r="E162" s="3">
        <f t="shared" si="66"/>
        <v>1</v>
      </c>
      <c r="F162" s="3" t="s">
        <v>867</v>
      </c>
      <c r="G162" s="77"/>
      <c r="H162" s="5" t="s">
        <v>1</v>
      </c>
      <c r="I162" s="78">
        <f t="shared" si="67"/>
        <v>0</v>
      </c>
      <c r="J162" s="110">
        <f t="shared" si="68"/>
        <v>75</v>
      </c>
      <c r="K162" s="4">
        <v>154</v>
      </c>
      <c r="L162" s="5" t="s">
        <v>1</v>
      </c>
      <c r="M162" s="80">
        <f t="shared" si="69"/>
        <v>154</v>
      </c>
      <c r="N162" s="78">
        <f t="shared" si="70"/>
        <v>11550</v>
      </c>
      <c r="O162" s="78">
        <f t="shared" si="71"/>
        <v>11550</v>
      </c>
      <c r="P162" s="4">
        <v>0</v>
      </c>
      <c r="Q162" s="4">
        <v>0</v>
      </c>
      <c r="R162" s="49">
        <v>0</v>
      </c>
    </row>
    <row r="163" spans="1:18" x14ac:dyDescent="0.25">
      <c r="A163" s="31"/>
      <c r="B163" s="4" t="s">
        <v>2105</v>
      </c>
      <c r="C163" s="5">
        <v>1</v>
      </c>
      <c r="D163" s="7">
        <v>0</v>
      </c>
      <c r="E163" s="3">
        <f t="shared" si="66"/>
        <v>1</v>
      </c>
      <c r="F163" s="3" t="s">
        <v>867</v>
      </c>
      <c r="G163" s="77"/>
      <c r="H163" s="5" t="s">
        <v>1</v>
      </c>
      <c r="I163" s="78">
        <f t="shared" si="67"/>
        <v>0</v>
      </c>
      <c r="J163" s="110">
        <f t="shared" si="68"/>
        <v>75</v>
      </c>
      <c r="K163" s="4">
        <v>176</v>
      </c>
      <c r="L163" s="5" t="s">
        <v>1</v>
      </c>
      <c r="M163" s="80">
        <f t="shared" si="69"/>
        <v>176</v>
      </c>
      <c r="N163" s="78">
        <f t="shared" si="70"/>
        <v>13200</v>
      </c>
      <c r="O163" s="78">
        <f t="shared" si="71"/>
        <v>13200</v>
      </c>
      <c r="P163" s="4">
        <v>0</v>
      </c>
      <c r="Q163" s="4">
        <v>0</v>
      </c>
      <c r="R163" s="49">
        <v>0</v>
      </c>
    </row>
    <row r="164" spans="1:18" x14ac:dyDescent="0.25">
      <c r="A164" s="31"/>
      <c r="B164" s="4" t="s">
        <v>2104</v>
      </c>
      <c r="C164" s="5">
        <v>1</v>
      </c>
      <c r="D164" s="7">
        <v>0</v>
      </c>
      <c r="E164" s="3">
        <f t="shared" si="66"/>
        <v>1</v>
      </c>
      <c r="F164" s="3" t="s">
        <v>867</v>
      </c>
      <c r="G164" s="77"/>
      <c r="H164" s="5" t="s">
        <v>1</v>
      </c>
      <c r="I164" s="78">
        <f t="shared" si="67"/>
        <v>0</v>
      </c>
      <c r="J164" s="110">
        <f t="shared" si="68"/>
        <v>75</v>
      </c>
      <c r="K164" s="4">
        <v>198</v>
      </c>
      <c r="L164" s="5" t="s">
        <v>1</v>
      </c>
      <c r="M164" s="80">
        <f t="shared" si="69"/>
        <v>198</v>
      </c>
      <c r="N164" s="78">
        <f t="shared" si="70"/>
        <v>14850</v>
      </c>
      <c r="O164" s="78">
        <f t="shared" si="71"/>
        <v>14850</v>
      </c>
      <c r="P164" s="4">
        <v>0</v>
      </c>
      <c r="Q164" s="4">
        <v>0</v>
      </c>
      <c r="R164" s="49">
        <v>0</v>
      </c>
    </row>
    <row r="165" spans="1:18" x14ac:dyDescent="0.25">
      <c r="A165" s="31"/>
      <c r="B165" s="4" t="s">
        <v>2103</v>
      </c>
      <c r="C165" s="5">
        <v>1</v>
      </c>
      <c r="D165" s="7">
        <v>0</v>
      </c>
      <c r="E165" s="3">
        <f t="shared" si="66"/>
        <v>1</v>
      </c>
      <c r="F165" s="3" t="s">
        <v>867</v>
      </c>
      <c r="G165" s="77"/>
      <c r="H165" s="5" t="s">
        <v>1</v>
      </c>
      <c r="I165" s="78">
        <f t="shared" si="67"/>
        <v>0</v>
      </c>
      <c r="J165" s="110">
        <f t="shared" si="68"/>
        <v>75</v>
      </c>
      <c r="K165" s="4">
        <v>220</v>
      </c>
      <c r="L165" s="5" t="s">
        <v>1</v>
      </c>
      <c r="M165" s="80">
        <f t="shared" si="69"/>
        <v>220</v>
      </c>
      <c r="N165" s="78">
        <f t="shared" si="70"/>
        <v>16500</v>
      </c>
      <c r="O165" s="78">
        <f t="shared" si="71"/>
        <v>16500</v>
      </c>
      <c r="P165" s="4">
        <v>0</v>
      </c>
      <c r="Q165" s="4">
        <v>0</v>
      </c>
      <c r="R165" s="49">
        <v>0</v>
      </c>
    </row>
    <row r="166" spans="1:18" x14ac:dyDescent="0.25">
      <c r="A166" s="31"/>
      <c r="B166" s="4" t="s">
        <v>2102</v>
      </c>
      <c r="C166" s="5">
        <v>1</v>
      </c>
      <c r="D166" s="7">
        <v>0</v>
      </c>
      <c r="E166" s="3">
        <f t="shared" si="66"/>
        <v>1</v>
      </c>
      <c r="F166" s="3" t="s">
        <v>867</v>
      </c>
      <c r="G166" s="77"/>
      <c r="H166" s="5" t="s">
        <v>1</v>
      </c>
      <c r="I166" s="78">
        <f t="shared" si="67"/>
        <v>0</v>
      </c>
      <c r="J166" s="110">
        <f t="shared" si="68"/>
        <v>75</v>
      </c>
      <c r="K166" s="4">
        <v>242</v>
      </c>
      <c r="L166" s="5" t="s">
        <v>1</v>
      </c>
      <c r="M166" s="80">
        <f t="shared" si="69"/>
        <v>242</v>
      </c>
      <c r="N166" s="78">
        <f t="shared" si="70"/>
        <v>18150</v>
      </c>
      <c r="O166" s="78">
        <f t="shared" si="71"/>
        <v>18150</v>
      </c>
      <c r="P166" s="4">
        <v>0</v>
      </c>
      <c r="Q166" s="4">
        <v>0</v>
      </c>
      <c r="R166" s="49">
        <v>0</v>
      </c>
    </row>
    <row r="167" spans="1:18" x14ac:dyDescent="0.25">
      <c r="A167" s="31"/>
      <c r="B167" s="4" t="s">
        <v>2101</v>
      </c>
      <c r="C167" s="5">
        <v>1</v>
      </c>
      <c r="D167" s="7">
        <v>0</v>
      </c>
      <c r="E167" s="3">
        <f t="shared" si="66"/>
        <v>1</v>
      </c>
      <c r="F167" s="3" t="s">
        <v>867</v>
      </c>
      <c r="G167" s="77"/>
      <c r="H167" s="5" t="s">
        <v>1</v>
      </c>
      <c r="I167" s="78">
        <f t="shared" si="67"/>
        <v>0</v>
      </c>
      <c r="J167" s="110">
        <f t="shared" si="68"/>
        <v>75</v>
      </c>
      <c r="K167" s="4">
        <v>264</v>
      </c>
      <c r="L167" s="5" t="s">
        <v>1</v>
      </c>
      <c r="M167" s="80">
        <f t="shared" si="69"/>
        <v>264</v>
      </c>
      <c r="N167" s="78">
        <f t="shared" si="70"/>
        <v>19800</v>
      </c>
      <c r="O167" s="78">
        <f t="shared" si="71"/>
        <v>19800</v>
      </c>
      <c r="P167" s="4">
        <v>0</v>
      </c>
      <c r="Q167" s="4">
        <v>0</v>
      </c>
      <c r="R167" s="49">
        <v>0</v>
      </c>
    </row>
    <row r="168" spans="1:18" x14ac:dyDescent="0.25">
      <c r="A168" s="31"/>
      <c r="B168" s="4" t="s">
        <v>2100</v>
      </c>
      <c r="C168" s="5">
        <v>1</v>
      </c>
      <c r="D168" s="7">
        <v>0</v>
      </c>
      <c r="E168" s="3">
        <f t="shared" si="66"/>
        <v>1</v>
      </c>
      <c r="F168" s="3" t="s">
        <v>867</v>
      </c>
      <c r="G168" s="77"/>
      <c r="H168" s="5" t="s">
        <v>1</v>
      </c>
      <c r="I168" s="78">
        <f t="shared" si="67"/>
        <v>0</v>
      </c>
      <c r="J168" s="110">
        <f t="shared" si="68"/>
        <v>75</v>
      </c>
      <c r="K168" s="4">
        <v>286</v>
      </c>
      <c r="L168" s="5" t="s">
        <v>1</v>
      </c>
      <c r="M168" s="80">
        <f t="shared" si="69"/>
        <v>286</v>
      </c>
      <c r="N168" s="78">
        <f t="shared" si="70"/>
        <v>21450</v>
      </c>
      <c r="O168" s="78">
        <f t="shared" si="71"/>
        <v>21450</v>
      </c>
      <c r="P168" s="4">
        <v>0</v>
      </c>
      <c r="Q168" s="4">
        <v>0</v>
      </c>
      <c r="R168" s="49">
        <v>0</v>
      </c>
    </row>
    <row r="169" spans="1:18" x14ac:dyDescent="0.25">
      <c r="A169" s="31"/>
      <c r="B169" s="4" t="s">
        <v>2099</v>
      </c>
      <c r="C169" s="5">
        <v>1</v>
      </c>
      <c r="D169" s="7">
        <v>0</v>
      </c>
      <c r="E169" s="3">
        <f t="shared" si="66"/>
        <v>1</v>
      </c>
      <c r="F169" s="3" t="s">
        <v>867</v>
      </c>
      <c r="G169" s="77"/>
      <c r="H169" s="5" t="s">
        <v>1</v>
      </c>
      <c r="I169" s="78">
        <f t="shared" si="67"/>
        <v>0</v>
      </c>
      <c r="J169" s="110">
        <f t="shared" si="68"/>
        <v>75</v>
      </c>
      <c r="K169" s="4">
        <v>308</v>
      </c>
      <c r="L169" s="5" t="s">
        <v>1</v>
      </c>
      <c r="M169" s="80">
        <f t="shared" si="69"/>
        <v>308</v>
      </c>
      <c r="N169" s="78">
        <f t="shared" si="70"/>
        <v>23100</v>
      </c>
      <c r="O169" s="78">
        <f t="shared" si="71"/>
        <v>23100</v>
      </c>
      <c r="P169" s="4">
        <v>0</v>
      </c>
      <c r="Q169" s="4">
        <v>0</v>
      </c>
      <c r="R169" s="49">
        <v>0</v>
      </c>
    </row>
    <row r="170" spans="1:18" x14ac:dyDescent="0.25">
      <c r="A170" s="31"/>
      <c r="B170" s="4" t="s">
        <v>2098</v>
      </c>
      <c r="C170" s="5">
        <v>1</v>
      </c>
      <c r="D170" s="7">
        <v>0</v>
      </c>
      <c r="E170" s="3">
        <f t="shared" si="66"/>
        <v>1</v>
      </c>
      <c r="F170" s="3" t="s">
        <v>867</v>
      </c>
      <c r="G170" s="77"/>
      <c r="H170" s="5" t="s">
        <v>1</v>
      </c>
      <c r="I170" s="78">
        <f t="shared" si="67"/>
        <v>0</v>
      </c>
      <c r="J170" s="110">
        <f t="shared" si="68"/>
        <v>75</v>
      </c>
      <c r="K170" s="4">
        <v>330</v>
      </c>
      <c r="L170" s="5" t="s">
        <v>1</v>
      </c>
      <c r="M170" s="80">
        <f t="shared" si="69"/>
        <v>330</v>
      </c>
      <c r="N170" s="78">
        <f t="shared" si="70"/>
        <v>24750</v>
      </c>
      <c r="O170" s="78">
        <f t="shared" si="71"/>
        <v>24750</v>
      </c>
      <c r="P170" s="4">
        <v>0</v>
      </c>
      <c r="Q170" s="4">
        <v>0</v>
      </c>
      <c r="R170" s="49">
        <v>0</v>
      </c>
    </row>
    <row r="171" spans="1:18" x14ac:dyDescent="0.25">
      <c r="A171" s="31"/>
      <c r="B171" s="4" t="s">
        <v>2097</v>
      </c>
      <c r="C171" s="5">
        <v>1</v>
      </c>
      <c r="D171" s="7">
        <v>0</v>
      </c>
      <c r="E171" s="3">
        <f t="shared" si="66"/>
        <v>1</v>
      </c>
      <c r="F171" s="3" t="s">
        <v>867</v>
      </c>
      <c r="G171" s="77"/>
      <c r="H171" s="5" t="s">
        <v>1</v>
      </c>
      <c r="I171" s="78">
        <f t="shared" si="67"/>
        <v>0</v>
      </c>
      <c r="J171" s="110">
        <f t="shared" si="68"/>
        <v>75</v>
      </c>
      <c r="K171" s="4">
        <v>352</v>
      </c>
      <c r="L171" s="5" t="s">
        <v>1</v>
      </c>
      <c r="M171" s="80">
        <f t="shared" si="69"/>
        <v>352</v>
      </c>
      <c r="N171" s="78">
        <f t="shared" si="70"/>
        <v>26400</v>
      </c>
      <c r="O171" s="78">
        <f t="shared" si="71"/>
        <v>26400</v>
      </c>
      <c r="P171" s="4">
        <v>0</v>
      </c>
      <c r="Q171" s="4">
        <v>0</v>
      </c>
      <c r="R171" s="49">
        <v>0</v>
      </c>
    </row>
    <row r="172" spans="1:18" x14ac:dyDescent="0.25">
      <c r="A172" s="31"/>
      <c r="B172" s="4" t="s">
        <v>2096</v>
      </c>
      <c r="C172" s="5">
        <v>1</v>
      </c>
      <c r="D172" s="7">
        <v>0</v>
      </c>
      <c r="E172" s="3">
        <f t="shared" si="66"/>
        <v>1</v>
      </c>
      <c r="F172" s="3" t="s">
        <v>867</v>
      </c>
      <c r="G172" s="77"/>
      <c r="H172" s="5" t="s">
        <v>1</v>
      </c>
      <c r="I172" s="78">
        <f t="shared" si="67"/>
        <v>0</v>
      </c>
      <c r="J172" s="110">
        <f t="shared" si="68"/>
        <v>75</v>
      </c>
      <c r="K172" s="4">
        <v>374</v>
      </c>
      <c r="L172" s="5" t="s">
        <v>1</v>
      </c>
      <c r="M172" s="80">
        <f t="shared" si="69"/>
        <v>374</v>
      </c>
      <c r="N172" s="78">
        <f t="shared" si="70"/>
        <v>28050</v>
      </c>
      <c r="O172" s="78">
        <f t="shared" si="71"/>
        <v>28050</v>
      </c>
      <c r="P172" s="4">
        <v>0</v>
      </c>
      <c r="Q172" s="4">
        <v>0</v>
      </c>
      <c r="R172" s="49">
        <v>0</v>
      </c>
    </row>
    <row r="173" spans="1:18" x14ac:dyDescent="0.25">
      <c r="A173" s="31"/>
      <c r="B173" s="4" t="s">
        <v>2095</v>
      </c>
      <c r="C173" s="5">
        <v>1</v>
      </c>
      <c r="D173" s="7">
        <v>0</v>
      </c>
      <c r="E173" s="3">
        <f t="shared" si="66"/>
        <v>1</v>
      </c>
      <c r="F173" s="3" t="s">
        <v>867</v>
      </c>
      <c r="G173" s="77"/>
      <c r="H173" s="5" t="s">
        <v>1</v>
      </c>
      <c r="I173" s="78">
        <f t="shared" si="67"/>
        <v>0</v>
      </c>
      <c r="J173" s="110">
        <f t="shared" si="68"/>
        <v>75</v>
      </c>
      <c r="K173" s="4">
        <v>396</v>
      </c>
      <c r="L173" s="5" t="s">
        <v>1</v>
      </c>
      <c r="M173" s="80">
        <f t="shared" si="69"/>
        <v>396</v>
      </c>
      <c r="N173" s="78">
        <f t="shared" si="70"/>
        <v>29700</v>
      </c>
      <c r="O173" s="78">
        <f t="shared" si="71"/>
        <v>29700</v>
      </c>
      <c r="P173" s="4">
        <v>0</v>
      </c>
      <c r="Q173" s="4">
        <v>0</v>
      </c>
      <c r="R173" s="49">
        <v>0</v>
      </c>
    </row>
    <row r="174" spans="1:18" x14ac:dyDescent="0.25">
      <c r="A174" s="31"/>
      <c r="B174" s="4" t="s">
        <v>2094</v>
      </c>
      <c r="C174" s="5">
        <v>1</v>
      </c>
      <c r="D174" s="7">
        <v>0</v>
      </c>
      <c r="E174" s="3">
        <f t="shared" si="66"/>
        <v>1</v>
      </c>
      <c r="F174" s="3" t="s">
        <v>867</v>
      </c>
      <c r="G174" s="77"/>
      <c r="H174" s="5" t="s">
        <v>1</v>
      </c>
      <c r="I174" s="78">
        <f t="shared" si="67"/>
        <v>0</v>
      </c>
      <c r="J174" s="110">
        <f t="shared" si="68"/>
        <v>75</v>
      </c>
      <c r="K174" s="4">
        <v>418</v>
      </c>
      <c r="L174" s="5" t="s">
        <v>1</v>
      </c>
      <c r="M174" s="80">
        <f t="shared" si="69"/>
        <v>418</v>
      </c>
      <c r="N174" s="78">
        <f t="shared" si="70"/>
        <v>31350</v>
      </c>
      <c r="O174" s="78">
        <f t="shared" si="71"/>
        <v>31350</v>
      </c>
      <c r="P174" s="4">
        <v>0</v>
      </c>
      <c r="Q174" s="4">
        <v>0</v>
      </c>
      <c r="R174" s="49">
        <v>0</v>
      </c>
    </row>
    <row r="175" spans="1:18" x14ac:dyDescent="0.25">
      <c r="A175" s="31"/>
      <c r="B175" s="4" t="s">
        <v>2093</v>
      </c>
      <c r="C175" s="5">
        <v>1</v>
      </c>
      <c r="D175" s="7">
        <v>0</v>
      </c>
      <c r="E175" s="3">
        <f t="shared" si="66"/>
        <v>1</v>
      </c>
      <c r="F175" s="3" t="s">
        <v>867</v>
      </c>
      <c r="G175" s="77"/>
      <c r="H175" s="5" t="s">
        <v>1</v>
      </c>
      <c r="I175" s="78">
        <f t="shared" si="67"/>
        <v>0</v>
      </c>
      <c r="J175" s="110">
        <f t="shared" si="68"/>
        <v>75</v>
      </c>
      <c r="K175" s="4">
        <v>440</v>
      </c>
      <c r="L175" s="5" t="s">
        <v>1</v>
      </c>
      <c r="M175" s="80">
        <f t="shared" si="69"/>
        <v>440</v>
      </c>
      <c r="N175" s="78">
        <f t="shared" si="70"/>
        <v>33000</v>
      </c>
      <c r="O175" s="78">
        <f t="shared" si="71"/>
        <v>33000</v>
      </c>
      <c r="P175" s="4">
        <v>0</v>
      </c>
      <c r="Q175" s="4">
        <v>0</v>
      </c>
      <c r="R175" s="49">
        <v>0</v>
      </c>
    </row>
    <row r="176" spans="1:18" ht="15.75" thickBot="1" x14ac:dyDescent="0.3">
      <c r="A176" s="33"/>
      <c r="B176" s="28"/>
      <c r="C176" s="29"/>
      <c r="D176" s="61"/>
      <c r="E176" s="62"/>
      <c r="F176" s="62"/>
      <c r="G176" s="34"/>
      <c r="H176" s="29"/>
      <c r="I176" s="34"/>
      <c r="J176" s="34"/>
      <c r="K176" s="45"/>
      <c r="L176" s="29"/>
      <c r="M176" s="45"/>
      <c r="N176" s="28"/>
      <c r="O176" s="28"/>
      <c r="P176" s="28"/>
      <c r="Q176" s="28"/>
      <c r="R176" s="52"/>
    </row>
  </sheetData>
  <mergeCells count="12">
    <mergeCell ref="B110:R110"/>
    <mergeCell ref="B132:R132"/>
    <mergeCell ref="B154:R154"/>
    <mergeCell ref="M4:N4"/>
    <mergeCell ref="B14:R14"/>
    <mergeCell ref="B22:R22"/>
    <mergeCell ref="B30:R30"/>
    <mergeCell ref="B38:R38"/>
    <mergeCell ref="B46:R46"/>
    <mergeCell ref="B60:R60"/>
    <mergeCell ref="B74:R74"/>
    <mergeCell ref="B88:R88"/>
  </mergeCells>
  <pageMargins left="0.7" right="0.7" top="0.75" bottom="0.75" header="0.3" footer="0.3"/>
  <pageSetup scale="4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1799-CAA1-49A0-9A88-BA7D6B71A6CC}">
  <sheetPr>
    <pageSetUpPr fitToPage="1"/>
  </sheetPr>
  <dimension ref="A3:O198"/>
  <sheetViews>
    <sheetView view="pageBreakPreview" topLeftCell="A148" zoomScale="90" zoomScaleNormal="85" zoomScaleSheetLayoutView="90" workbookViewId="0">
      <selection activeCell="A8" sqref="A8"/>
    </sheetView>
  </sheetViews>
  <sheetFormatPr defaultColWidth="9.140625" defaultRowHeight="15" x14ac:dyDescent="0.25"/>
  <cols>
    <col min="1" max="1" width="5.7109375" style="2" customWidth="1"/>
    <col min="2" max="2" width="60.28515625" style="1" customWidth="1"/>
    <col min="3" max="3" width="10" style="2" bestFit="1" customWidth="1"/>
    <col min="4" max="5" width="9.85546875" style="2" bestFit="1" customWidth="1"/>
    <col min="6" max="6" width="5.42578125" style="2" bestFit="1" customWidth="1"/>
    <col min="7" max="7" width="9.140625" style="10" bestFit="1" customWidth="1"/>
    <col min="8" max="8" width="5.28515625" style="2" bestFit="1" customWidth="1"/>
    <col min="9" max="9" width="10.42578125" style="10" bestFit="1" customWidth="1"/>
    <col min="10" max="10" width="7.42578125" style="10" bestFit="1" customWidth="1"/>
    <col min="11" max="11" width="7.42578125" style="46" bestFit="1" customWidth="1"/>
    <col min="12" max="12" width="5.85546875" style="2" bestFit="1" customWidth="1"/>
    <col min="13" max="13" width="7.28515625" style="46" bestFit="1" customWidth="1"/>
    <col min="14" max="15" width="9.28515625" style="1" bestFit="1" customWidth="1"/>
    <col min="16" max="16384" width="9.140625" style="1"/>
  </cols>
  <sheetData>
    <row r="3" spans="1:15" ht="15.75" thickBot="1" x14ac:dyDescent="0.3"/>
    <row r="4" spans="1:15" ht="16.5" thickBot="1" x14ac:dyDescent="0.3">
      <c r="D4" s="1"/>
      <c r="E4" s="1"/>
      <c r="F4" s="1"/>
      <c r="I4" s="43"/>
      <c r="J4" s="1"/>
      <c r="K4" s="1"/>
      <c r="M4" s="253" t="s">
        <v>1199</v>
      </c>
      <c r="N4" s="254"/>
      <c r="O4" s="108">
        <v>75</v>
      </c>
    </row>
    <row r="5" spans="1:15" ht="41.1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285</v>
      </c>
      <c r="L5" s="82" t="s">
        <v>284</v>
      </c>
      <c r="M5" s="81" t="s">
        <v>286</v>
      </c>
      <c r="N5" s="83" t="s">
        <v>871</v>
      </c>
      <c r="O5" s="84" t="s">
        <v>872</v>
      </c>
    </row>
    <row r="6" spans="1:15" ht="15.75" thickBot="1" x14ac:dyDescent="0.3">
      <c r="A6" s="53"/>
      <c r="B6" s="54"/>
      <c r="C6" s="55"/>
      <c r="D6" s="55"/>
      <c r="E6" s="55"/>
      <c r="F6" s="55"/>
      <c r="G6" s="56"/>
      <c r="H6" s="56"/>
      <c r="I6" s="56"/>
      <c r="J6" s="56"/>
      <c r="K6" s="57"/>
      <c r="L6" s="55"/>
      <c r="M6" s="57"/>
      <c r="N6" s="56"/>
      <c r="O6" s="95"/>
    </row>
    <row r="7" spans="1:15" ht="15.75" thickBot="1" x14ac:dyDescent="0.3">
      <c r="A7" s="60"/>
      <c r="B7" s="145" t="s">
        <v>2430</v>
      </c>
      <c r="C7" s="5"/>
      <c r="D7" s="7"/>
      <c r="E7" s="3"/>
      <c r="F7" s="3"/>
      <c r="G7" s="9"/>
      <c r="H7" s="5"/>
      <c r="I7" s="9"/>
      <c r="J7" s="9"/>
      <c r="K7" s="15"/>
      <c r="L7" s="5"/>
      <c r="M7" s="15"/>
      <c r="N7" s="4"/>
      <c r="O7" s="4"/>
    </row>
    <row r="8" spans="1:15" x14ac:dyDescent="0.25">
      <c r="A8" s="31">
        <v>1</v>
      </c>
      <c r="B8" s="4" t="s">
        <v>2429</v>
      </c>
      <c r="C8" s="5">
        <v>1</v>
      </c>
      <c r="D8" s="7">
        <v>0</v>
      </c>
      <c r="E8" s="3">
        <f t="shared" ref="E8:E14" si="0">C8+(C8*D8)</f>
        <v>1</v>
      </c>
      <c r="F8" s="3" t="s">
        <v>867</v>
      </c>
      <c r="G8" s="77"/>
      <c r="H8" s="5" t="s">
        <v>1</v>
      </c>
      <c r="I8" s="78">
        <f t="shared" ref="I8:I14" si="1">IF(H8="C",(G8/100)*E8,IF(H8="M",(G8/1000)*E8,G8*E8))</f>
        <v>0</v>
      </c>
      <c r="J8" s="110">
        <f t="shared" ref="J8:J14" si="2">$O$4</f>
        <v>75</v>
      </c>
      <c r="K8" s="4">
        <v>6</v>
      </c>
      <c r="L8" s="5" t="s">
        <v>1</v>
      </c>
      <c r="M8" s="80">
        <f t="shared" ref="M8:M14" si="3">IF(L8="C",(K8/100)*E8,IF(L8="M",(K8/1000)*E8,K8*E8))</f>
        <v>6</v>
      </c>
      <c r="N8" s="78">
        <f t="shared" ref="N8:N14" si="4">M8*J8</f>
        <v>450</v>
      </c>
      <c r="O8" s="78">
        <f t="shared" ref="O8:O14" si="5">N8+I8</f>
        <v>450</v>
      </c>
    </row>
    <row r="9" spans="1:15" x14ac:dyDescent="0.25">
      <c r="A9" s="31"/>
      <c r="B9" s="4" t="s">
        <v>2428</v>
      </c>
      <c r="C9" s="5">
        <v>1</v>
      </c>
      <c r="D9" s="7">
        <v>0</v>
      </c>
      <c r="E9" s="3">
        <f t="shared" si="0"/>
        <v>1</v>
      </c>
      <c r="F9" s="3" t="s">
        <v>867</v>
      </c>
      <c r="G9" s="77"/>
      <c r="H9" s="5" t="s">
        <v>1</v>
      </c>
      <c r="I9" s="78">
        <f t="shared" si="1"/>
        <v>0</v>
      </c>
      <c r="J9" s="110">
        <f t="shared" si="2"/>
        <v>75</v>
      </c>
      <c r="K9" s="4">
        <v>12</v>
      </c>
      <c r="L9" s="5" t="s">
        <v>1</v>
      </c>
      <c r="M9" s="80">
        <f t="shared" si="3"/>
        <v>12</v>
      </c>
      <c r="N9" s="78">
        <f t="shared" si="4"/>
        <v>900</v>
      </c>
      <c r="O9" s="78">
        <f t="shared" si="5"/>
        <v>900</v>
      </c>
    </row>
    <row r="10" spans="1:15" x14ac:dyDescent="0.25">
      <c r="A10" s="31"/>
      <c r="B10" s="4" t="s">
        <v>2427</v>
      </c>
      <c r="C10" s="5">
        <v>1</v>
      </c>
      <c r="D10" s="7">
        <v>0</v>
      </c>
      <c r="E10" s="3">
        <f t="shared" si="0"/>
        <v>1</v>
      </c>
      <c r="F10" s="3" t="s">
        <v>867</v>
      </c>
      <c r="G10" s="77"/>
      <c r="H10" s="5" t="s">
        <v>1</v>
      </c>
      <c r="I10" s="78">
        <f t="shared" si="1"/>
        <v>0</v>
      </c>
      <c r="J10" s="110">
        <f t="shared" si="2"/>
        <v>75</v>
      </c>
      <c r="K10" s="4">
        <v>18</v>
      </c>
      <c r="L10" s="5" t="s">
        <v>1</v>
      </c>
      <c r="M10" s="80">
        <f t="shared" si="3"/>
        <v>18</v>
      </c>
      <c r="N10" s="78">
        <f t="shared" si="4"/>
        <v>1350</v>
      </c>
      <c r="O10" s="78">
        <f t="shared" si="5"/>
        <v>1350</v>
      </c>
    </row>
    <row r="11" spans="1:15" x14ac:dyDescent="0.25">
      <c r="A11" s="31"/>
      <c r="B11" s="4" t="s">
        <v>2426</v>
      </c>
      <c r="C11" s="5">
        <v>1</v>
      </c>
      <c r="D11" s="7">
        <v>0</v>
      </c>
      <c r="E11" s="3">
        <f t="shared" si="0"/>
        <v>1</v>
      </c>
      <c r="F11" s="3" t="s">
        <v>867</v>
      </c>
      <c r="G11" s="77"/>
      <c r="H11" s="5" t="s">
        <v>1</v>
      </c>
      <c r="I11" s="78">
        <f t="shared" si="1"/>
        <v>0</v>
      </c>
      <c r="J11" s="110">
        <f t="shared" si="2"/>
        <v>75</v>
      </c>
      <c r="K11" s="4">
        <v>24</v>
      </c>
      <c r="L11" s="5" t="s">
        <v>1</v>
      </c>
      <c r="M11" s="80">
        <f t="shared" si="3"/>
        <v>24</v>
      </c>
      <c r="N11" s="78">
        <f t="shared" si="4"/>
        <v>1800</v>
      </c>
      <c r="O11" s="78">
        <f t="shared" si="5"/>
        <v>1800</v>
      </c>
    </row>
    <row r="12" spans="1:15" x14ac:dyDescent="0.25">
      <c r="A12" s="31"/>
      <c r="B12" s="4" t="s">
        <v>2425</v>
      </c>
      <c r="C12" s="5">
        <v>1</v>
      </c>
      <c r="D12" s="7">
        <v>0</v>
      </c>
      <c r="E12" s="3">
        <f t="shared" si="0"/>
        <v>1</v>
      </c>
      <c r="F12" s="3" t="s">
        <v>867</v>
      </c>
      <c r="G12" s="77"/>
      <c r="H12" s="5" t="s">
        <v>1</v>
      </c>
      <c r="I12" s="78">
        <f t="shared" si="1"/>
        <v>0</v>
      </c>
      <c r="J12" s="110">
        <f t="shared" si="2"/>
        <v>75</v>
      </c>
      <c r="K12" s="4">
        <v>30</v>
      </c>
      <c r="L12" s="5" t="s">
        <v>1</v>
      </c>
      <c r="M12" s="80">
        <f t="shared" si="3"/>
        <v>30</v>
      </c>
      <c r="N12" s="78">
        <f t="shared" si="4"/>
        <v>2250</v>
      </c>
      <c r="O12" s="78">
        <f t="shared" si="5"/>
        <v>2250</v>
      </c>
    </row>
    <row r="13" spans="1:15" x14ac:dyDescent="0.25">
      <c r="A13" s="31"/>
      <c r="B13" s="4" t="s">
        <v>2424</v>
      </c>
      <c r="C13" s="5">
        <v>1</v>
      </c>
      <c r="D13" s="7">
        <v>0</v>
      </c>
      <c r="E13" s="3">
        <f t="shared" si="0"/>
        <v>1</v>
      </c>
      <c r="F13" s="3" t="s">
        <v>867</v>
      </c>
      <c r="G13" s="77"/>
      <c r="H13" s="5" t="s">
        <v>1</v>
      </c>
      <c r="I13" s="78">
        <f t="shared" si="1"/>
        <v>0</v>
      </c>
      <c r="J13" s="110">
        <f t="shared" si="2"/>
        <v>75</v>
      </c>
      <c r="K13" s="4">
        <v>36</v>
      </c>
      <c r="L13" s="5" t="s">
        <v>1</v>
      </c>
      <c r="M13" s="80">
        <f t="shared" si="3"/>
        <v>36</v>
      </c>
      <c r="N13" s="78">
        <f t="shared" si="4"/>
        <v>2700</v>
      </c>
      <c r="O13" s="78">
        <f t="shared" si="5"/>
        <v>2700</v>
      </c>
    </row>
    <row r="14" spans="1:15" ht="15.75" thickBot="1" x14ac:dyDescent="0.3">
      <c r="A14" s="31"/>
      <c r="B14" s="258"/>
      <c r="C14" s="259">
        <v>1</v>
      </c>
      <c r="D14" s="259">
        <v>0</v>
      </c>
      <c r="E14" s="259">
        <f t="shared" si="0"/>
        <v>1</v>
      </c>
      <c r="F14" s="259" t="s">
        <v>867</v>
      </c>
      <c r="G14" s="259"/>
      <c r="H14" s="259" t="s">
        <v>1</v>
      </c>
      <c r="I14" s="259">
        <f t="shared" si="1"/>
        <v>0</v>
      </c>
      <c r="J14" s="259">
        <f t="shared" si="2"/>
        <v>75</v>
      </c>
      <c r="K14" s="259"/>
      <c r="L14" s="259" t="s">
        <v>1</v>
      </c>
      <c r="M14" s="259">
        <f t="shared" si="3"/>
        <v>0</v>
      </c>
      <c r="N14" s="259">
        <f t="shared" si="4"/>
        <v>0</v>
      </c>
      <c r="O14" s="259">
        <f t="shared" si="5"/>
        <v>0</v>
      </c>
    </row>
    <row r="15" spans="1:15" ht="15.75" thickBot="1" x14ac:dyDescent="0.3">
      <c r="A15" s="60"/>
      <c r="B15" s="145" t="s">
        <v>2423</v>
      </c>
      <c r="C15" s="5"/>
      <c r="D15" s="7"/>
      <c r="E15" s="3"/>
      <c r="F15" s="3"/>
      <c r="G15" s="9"/>
      <c r="H15" s="5"/>
      <c r="I15" s="9"/>
      <c r="J15" s="9"/>
      <c r="K15" s="15"/>
      <c r="L15" s="5"/>
      <c r="M15" s="15"/>
      <c r="N15" s="4"/>
      <c r="O15" s="4"/>
    </row>
    <row r="16" spans="1:15" x14ac:dyDescent="0.25">
      <c r="A16" s="31">
        <v>1</v>
      </c>
      <c r="B16" s="4" t="s">
        <v>2422</v>
      </c>
      <c r="C16" s="5">
        <v>1</v>
      </c>
      <c r="D16" s="7">
        <v>0</v>
      </c>
      <c r="E16" s="3">
        <f t="shared" ref="E16:E22" si="6">C16+(C16*D16)</f>
        <v>1</v>
      </c>
      <c r="F16" s="3" t="s">
        <v>867</v>
      </c>
      <c r="G16" s="77"/>
      <c r="H16" s="5" t="s">
        <v>1</v>
      </c>
      <c r="I16" s="78">
        <f t="shared" ref="I16:I22" si="7">IF(H16="C",(G16/100)*E16,IF(H16="M",(G16/1000)*E16,G16*E16))</f>
        <v>0</v>
      </c>
      <c r="J16" s="110">
        <f t="shared" ref="J16:J22" si="8">$O$4</f>
        <v>75</v>
      </c>
      <c r="K16" s="4">
        <v>7</v>
      </c>
      <c r="L16" s="5" t="s">
        <v>1</v>
      </c>
      <c r="M16" s="80">
        <f t="shared" ref="M16:M22" si="9">IF(L16="C",(K16/100)*E16,IF(L16="M",(K16/1000)*E16,K16*E16))</f>
        <v>7</v>
      </c>
      <c r="N16" s="78">
        <f t="shared" ref="N16:N22" si="10">M16*J16</f>
        <v>525</v>
      </c>
      <c r="O16" s="78">
        <f t="shared" ref="O16:O22" si="11">N16+I16</f>
        <v>525</v>
      </c>
    </row>
    <row r="17" spans="1:15" x14ac:dyDescent="0.25">
      <c r="A17" s="31"/>
      <c r="B17" s="4" t="s">
        <v>2421</v>
      </c>
      <c r="C17" s="5">
        <v>1</v>
      </c>
      <c r="D17" s="7">
        <v>0</v>
      </c>
      <c r="E17" s="3">
        <f t="shared" si="6"/>
        <v>1</v>
      </c>
      <c r="F17" s="3" t="s">
        <v>867</v>
      </c>
      <c r="G17" s="77"/>
      <c r="H17" s="5" t="s">
        <v>1</v>
      </c>
      <c r="I17" s="78">
        <f t="shared" si="7"/>
        <v>0</v>
      </c>
      <c r="J17" s="110">
        <f t="shared" si="8"/>
        <v>75</v>
      </c>
      <c r="K17" s="4">
        <v>14</v>
      </c>
      <c r="L17" s="5" t="s">
        <v>1</v>
      </c>
      <c r="M17" s="80">
        <f t="shared" si="9"/>
        <v>14</v>
      </c>
      <c r="N17" s="78">
        <f t="shared" si="10"/>
        <v>1050</v>
      </c>
      <c r="O17" s="78">
        <f t="shared" si="11"/>
        <v>1050</v>
      </c>
    </row>
    <row r="18" spans="1:15" x14ac:dyDescent="0.25">
      <c r="A18" s="31"/>
      <c r="B18" s="4" t="s">
        <v>2420</v>
      </c>
      <c r="C18" s="5">
        <v>1</v>
      </c>
      <c r="D18" s="7">
        <v>0</v>
      </c>
      <c r="E18" s="3">
        <f t="shared" si="6"/>
        <v>1</v>
      </c>
      <c r="F18" s="3" t="s">
        <v>867</v>
      </c>
      <c r="G18" s="77"/>
      <c r="H18" s="5" t="s">
        <v>1</v>
      </c>
      <c r="I18" s="78">
        <f t="shared" si="7"/>
        <v>0</v>
      </c>
      <c r="J18" s="110">
        <f t="shared" si="8"/>
        <v>75</v>
      </c>
      <c r="K18" s="4">
        <v>21</v>
      </c>
      <c r="L18" s="5" t="s">
        <v>1</v>
      </c>
      <c r="M18" s="80">
        <f t="shared" si="9"/>
        <v>21</v>
      </c>
      <c r="N18" s="78">
        <f t="shared" si="10"/>
        <v>1575</v>
      </c>
      <c r="O18" s="78">
        <f t="shared" si="11"/>
        <v>1575</v>
      </c>
    </row>
    <row r="19" spans="1:15" x14ac:dyDescent="0.25">
      <c r="A19" s="31"/>
      <c r="B19" s="4" t="s">
        <v>2419</v>
      </c>
      <c r="C19" s="5">
        <v>1</v>
      </c>
      <c r="D19" s="7">
        <v>0</v>
      </c>
      <c r="E19" s="3">
        <f t="shared" si="6"/>
        <v>1</v>
      </c>
      <c r="F19" s="3" t="s">
        <v>867</v>
      </c>
      <c r="G19" s="77"/>
      <c r="H19" s="5" t="s">
        <v>1</v>
      </c>
      <c r="I19" s="78">
        <f t="shared" si="7"/>
        <v>0</v>
      </c>
      <c r="J19" s="110">
        <f t="shared" si="8"/>
        <v>75</v>
      </c>
      <c r="K19" s="4">
        <v>28</v>
      </c>
      <c r="L19" s="5" t="s">
        <v>1</v>
      </c>
      <c r="M19" s="80">
        <f t="shared" si="9"/>
        <v>28</v>
      </c>
      <c r="N19" s="78">
        <f t="shared" si="10"/>
        <v>2100</v>
      </c>
      <c r="O19" s="78">
        <f t="shared" si="11"/>
        <v>2100</v>
      </c>
    </row>
    <row r="20" spans="1:15" x14ac:dyDescent="0.25">
      <c r="A20" s="31"/>
      <c r="B20" s="4" t="s">
        <v>2418</v>
      </c>
      <c r="C20" s="5">
        <v>1</v>
      </c>
      <c r="D20" s="7">
        <v>0</v>
      </c>
      <c r="E20" s="3">
        <f t="shared" si="6"/>
        <v>1</v>
      </c>
      <c r="F20" s="3" t="s">
        <v>867</v>
      </c>
      <c r="G20" s="77"/>
      <c r="H20" s="5" t="s">
        <v>1</v>
      </c>
      <c r="I20" s="78">
        <f t="shared" si="7"/>
        <v>0</v>
      </c>
      <c r="J20" s="110">
        <f t="shared" si="8"/>
        <v>75</v>
      </c>
      <c r="K20" s="4">
        <v>35</v>
      </c>
      <c r="L20" s="5" t="s">
        <v>1</v>
      </c>
      <c r="M20" s="80">
        <f t="shared" si="9"/>
        <v>35</v>
      </c>
      <c r="N20" s="78">
        <f t="shared" si="10"/>
        <v>2625</v>
      </c>
      <c r="O20" s="78">
        <f t="shared" si="11"/>
        <v>2625</v>
      </c>
    </row>
    <row r="21" spans="1:15" x14ac:dyDescent="0.25">
      <c r="A21" s="31"/>
      <c r="B21" s="4" t="s">
        <v>2417</v>
      </c>
      <c r="C21" s="5">
        <v>1</v>
      </c>
      <c r="D21" s="7">
        <v>0</v>
      </c>
      <c r="E21" s="3">
        <f t="shared" si="6"/>
        <v>1</v>
      </c>
      <c r="F21" s="3" t="s">
        <v>867</v>
      </c>
      <c r="G21" s="77"/>
      <c r="H21" s="5" t="s">
        <v>1</v>
      </c>
      <c r="I21" s="78">
        <f t="shared" si="7"/>
        <v>0</v>
      </c>
      <c r="J21" s="110">
        <f t="shared" si="8"/>
        <v>75</v>
      </c>
      <c r="K21" s="4">
        <v>42</v>
      </c>
      <c r="L21" s="5" t="s">
        <v>1</v>
      </c>
      <c r="M21" s="80">
        <f t="shared" si="9"/>
        <v>42</v>
      </c>
      <c r="N21" s="78">
        <f t="shared" si="10"/>
        <v>3150</v>
      </c>
      <c r="O21" s="78">
        <f t="shared" si="11"/>
        <v>3150</v>
      </c>
    </row>
    <row r="22" spans="1:15" ht="15.75" thickBot="1" x14ac:dyDescent="0.3">
      <c r="A22" s="31"/>
      <c r="B22" s="258"/>
      <c r="C22" s="259">
        <v>1</v>
      </c>
      <c r="D22" s="259">
        <v>0</v>
      </c>
      <c r="E22" s="259">
        <f t="shared" si="6"/>
        <v>1</v>
      </c>
      <c r="F22" s="259" t="s">
        <v>867</v>
      </c>
      <c r="G22" s="259"/>
      <c r="H22" s="259" t="s">
        <v>1</v>
      </c>
      <c r="I22" s="259">
        <f t="shared" si="7"/>
        <v>0</v>
      </c>
      <c r="J22" s="259">
        <f t="shared" si="8"/>
        <v>75</v>
      </c>
      <c r="K22" s="259"/>
      <c r="L22" s="259" t="s">
        <v>1</v>
      </c>
      <c r="M22" s="259">
        <f t="shared" si="9"/>
        <v>0</v>
      </c>
      <c r="N22" s="259">
        <f t="shared" si="10"/>
        <v>0</v>
      </c>
      <c r="O22" s="259">
        <f t="shared" si="11"/>
        <v>0</v>
      </c>
    </row>
    <row r="23" spans="1:15" ht="15.75" thickBot="1" x14ac:dyDescent="0.3">
      <c r="A23" s="60"/>
      <c r="B23" s="145" t="s">
        <v>2416</v>
      </c>
      <c r="C23" s="5"/>
      <c r="D23" s="7"/>
      <c r="E23" s="3"/>
      <c r="F23" s="3"/>
      <c r="G23" s="9"/>
      <c r="H23" s="5"/>
      <c r="I23" s="9"/>
      <c r="J23" s="9"/>
      <c r="K23" s="15"/>
      <c r="L23" s="5"/>
      <c r="M23" s="15"/>
      <c r="N23" s="4"/>
      <c r="O23" s="4"/>
    </row>
    <row r="24" spans="1:15" x14ac:dyDescent="0.25">
      <c r="A24" s="31">
        <v>1</v>
      </c>
      <c r="B24" s="4" t="s">
        <v>2415</v>
      </c>
      <c r="C24" s="5">
        <v>1</v>
      </c>
      <c r="D24" s="7">
        <v>0</v>
      </c>
      <c r="E24" s="3">
        <f t="shared" ref="E24:E30" si="12">C24+(C24*D24)</f>
        <v>1</v>
      </c>
      <c r="F24" s="3" t="s">
        <v>867</v>
      </c>
      <c r="G24" s="77"/>
      <c r="H24" s="5" t="s">
        <v>1</v>
      </c>
      <c r="I24" s="78">
        <f t="shared" ref="I24:I30" si="13">IF(H24="C",(G24/100)*E24,IF(H24="M",(G24/1000)*E24,G24*E24))</f>
        <v>0</v>
      </c>
      <c r="J24" s="110">
        <f t="shared" ref="J24:J30" si="14">$O$4</f>
        <v>75</v>
      </c>
      <c r="K24" s="4">
        <v>8</v>
      </c>
      <c r="L24" s="5" t="s">
        <v>1</v>
      </c>
      <c r="M24" s="80">
        <f t="shared" ref="M24:M30" si="15">IF(L24="C",(K24/100)*E24,IF(L24="M",(K24/1000)*E24,K24*E24))</f>
        <v>8</v>
      </c>
      <c r="N24" s="78">
        <f t="shared" ref="N24:N30" si="16">M24*J24</f>
        <v>600</v>
      </c>
      <c r="O24" s="78">
        <f t="shared" ref="O24:O30" si="17">N24+I24</f>
        <v>600</v>
      </c>
    </row>
    <row r="25" spans="1:15" x14ac:dyDescent="0.25">
      <c r="A25" s="31"/>
      <c r="B25" s="4" t="s">
        <v>2414</v>
      </c>
      <c r="C25" s="5">
        <v>1</v>
      </c>
      <c r="D25" s="7">
        <v>0</v>
      </c>
      <c r="E25" s="3">
        <f t="shared" si="12"/>
        <v>1</v>
      </c>
      <c r="F25" s="3" t="s">
        <v>867</v>
      </c>
      <c r="G25" s="77"/>
      <c r="H25" s="5" t="s">
        <v>1</v>
      </c>
      <c r="I25" s="78">
        <f t="shared" si="13"/>
        <v>0</v>
      </c>
      <c r="J25" s="110">
        <f t="shared" si="14"/>
        <v>75</v>
      </c>
      <c r="K25" s="4">
        <v>16</v>
      </c>
      <c r="L25" s="5" t="s">
        <v>1</v>
      </c>
      <c r="M25" s="80">
        <f t="shared" si="15"/>
        <v>16</v>
      </c>
      <c r="N25" s="78">
        <f t="shared" si="16"/>
        <v>1200</v>
      </c>
      <c r="O25" s="78">
        <f t="shared" si="17"/>
        <v>1200</v>
      </c>
    </row>
    <row r="26" spans="1:15" x14ac:dyDescent="0.25">
      <c r="A26" s="31"/>
      <c r="B26" s="4" t="s">
        <v>2413</v>
      </c>
      <c r="C26" s="5">
        <v>1</v>
      </c>
      <c r="D26" s="7">
        <v>0</v>
      </c>
      <c r="E26" s="3">
        <f t="shared" si="12"/>
        <v>1</v>
      </c>
      <c r="F26" s="3" t="s">
        <v>867</v>
      </c>
      <c r="G26" s="77"/>
      <c r="H26" s="5" t="s">
        <v>1</v>
      </c>
      <c r="I26" s="78">
        <f t="shared" si="13"/>
        <v>0</v>
      </c>
      <c r="J26" s="110">
        <f t="shared" si="14"/>
        <v>75</v>
      </c>
      <c r="K26" s="4">
        <v>24</v>
      </c>
      <c r="L26" s="5" t="s">
        <v>1</v>
      </c>
      <c r="M26" s="80">
        <f t="shared" si="15"/>
        <v>24</v>
      </c>
      <c r="N26" s="78">
        <f t="shared" si="16"/>
        <v>1800</v>
      </c>
      <c r="O26" s="78">
        <f t="shared" si="17"/>
        <v>1800</v>
      </c>
    </row>
    <row r="27" spans="1:15" x14ac:dyDescent="0.25">
      <c r="A27" s="31"/>
      <c r="B27" s="4" t="s">
        <v>2412</v>
      </c>
      <c r="C27" s="5">
        <v>1</v>
      </c>
      <c r="D27" s="7">
        <v>0</v>
      </c>
      <c r="E27" s="3">
        <f t="shared" si="12"/>
        <v>1</v>
      </c>
      <c r="F27" s="3" t="s">
        <v>867</v>
      </c>
      <c r="G27" s="77"/>
      <c r="H27" s="5" t="s">
        <v>1</v>
      </c>
      <c r="I27" s="78">
        <f t="shared" si="13"/>
        <v>0</v>
      </c>
      <c r="J27" s="110">
        <f t="shared" si="14"/>
        <v>75</v>
      </c>
      <c r="K27" s="4">
        <v>32</v>
      </c>
      <c r="L27" s="5" t="s">
        <v>1</v>
      </c>
      <c r="M27" s="80">
        <f t="shared" si="15"/>
        <v>32</v>
      </c>
      <c r="N27" s="78">
        <f t="shared" si="16"/>
        <v>2400</v>
      </c>
      <c r="O27" s="78">
        <f t="shared" si="17"/>
        <v>2400</v>
      </c>
    </row>
    <row r="28" spans="1:15" x14ac:dyDescent="0.25">
      <c r="A28" s="31"/>
      <c r="B28" s="4" t="s">
        <v>2411</v>
      </c>
      <c r="C28" s="5">
        <v>1</v>
      </c>
      <c r="D28" s="7">
        <v>0</v>
      </c>
      <c r="E28" s="3">
        <f t="shared" si="12"/>
        <v>1</v>
      </c>
      <c r="F28" s="3" t="s">
        <v>867</v>
      </c>
      <c r="G28" s="77"/>
      <c r="H28" s="5" t="s">
        <v>1</v>
      </c>
      <c r="I28" s="78">
        <f t="shared" si="13"/>
        <v>0</v>
      </c>
      <c r="J28" s="110">
        <f t="shared" si="14"/>
        <v>75</v>
      </c>
      <c r="K28" s="4">
        <v>40</v>
      </c>
      <c r="L28" s="5" t="s">
        <v>1</v>
      </c>
      <c r="M28" s="80">
        <f t="shared" si="15"/>
        <v>40</v>
      </c>
      <c r="N28" s="78">
        <f t="shared" si="16"/>
        <v>3000</v>
      </c>
      <c r="O28" s="78">
        <f t="shared" si="17"/>
        <v>3000</v>
      </c>
    </row>
    <row r="29" spans="1:15" x14ac:dyDescent="0.25">
      <c r="A29" s="31"/>
      <c r="B29" s="4" t="s">
        <v>2410</v>
      </c>
      <c r="C29" s="5">
        <v>1</v>
      </c>
      <c r="D29" s="7">
        <v>0</v>
      </c>
      <c r="E29" s="3">
        <f t="shared" si="12"/>
        <v>1</v>
      </c>
      <c r="F29" s="3" t="s">
        <v>867</v>
      </c>
      <c r="G29" s="77"/>
      <c r="H29" s="5" t="s">
        <v>1</v>
      </c>
      <c r="I29" s="78">
        <f t="shared" si="13"/>
        <v>0</v>
      </c>
      <c r="J29" s="110">
        <f t="shared" si="14"/>
        <v>75</v>
      </c>
      <c r="K29" s="4">
        <v>48</v>
      </c>
      <c r="L29" s="5" t="s">
        <v>1</v>
      </c>
      <c r="M29" s="80">
        <f t="shared" si="15"/>
        <v>48</v>
      </c>
      <c r="N29" s="78">
        <f t="shared" si="16"/>
        <v>3600</v>
      </c>
      <c r="O29" s="78">
        <f t="shared" si="17"/>
        <v>3600</v>
      </c>
    </row>
    <row r="30" spans="1:15" ht="15.75" thickBot="1" x14ac:dyDescent="0.3">
      <c r="A30" s="31"/>
      <c r="B30" s="258"/>
      <c r="C30" s="259">
        <v>1</v>
      </c>
      <c r="D30" s="259">
        <v>0</v>
      </c>
      <c r="E30" s="259">
        <f t="shared" si="12"/>
        <v>1</v>
      </c>
      <c r="F30" s="259" t="s">
        <v>867</v>
      </c>
      <c r="G30" s="259"/>
      <c r="H30" s="259" t="s">
        <v>1</v>
      </c>
      <c r="I30" s="259">
        <f t="shared" si="13"/>
        <v>0</v>
      </c>
      <c r="J30" s="259">
        <f t="shared" si="14"/>
        <v>75</v>
      </c>
      <c r="K30" s="259"/>
      <c r="L30" s="259" t="s">
        <v>1</v>
      </c>
      <c r="M30" s="259">
        <f t="shared" si="15"/>
        <v>0</v>
      </c>
      <c r="N30" s="259">
        <f t="shared" si="16"/>
        <v>0</v>
      </c>
      <c r="O30" s="259">
        <f t="shared" si="17"/>
        <v>0</v>
      </c>
    </row>
    <row r="31" spans="1:15" ht="15.75" thickBot="1" x14ac:dyDescent="0.3">
      <c r="A31" s="60"/>
      <c r="B31" s="145" t="s">
        <v>2409</v>
      </c>
      <c r="C31" s="5"/>
      <c r="D31" s="7"/>
      <c r="E31" s="3"/>
      <c r="F31" s="3"/>
      <c r="G31" s="9"/>
      <c r="H31" s="5"/>
      <c r="I31" s="9"/>
      <c r="J31" s="9"/>
      <c r="K31" s="15"/>
      <c r="L31" s="5"/>
      <c r="M31" s="15"/>
      <c r="N31" s="4"/>
      <c r="O31" s="4"/>
    </row>
    <row r="32" spans="1:15" x14ac:dyDescent="0.25">
      <c r="A32" s="31">
        <v>1</v>
      </c>
      <c r="B32" s="4" t="s">
        <v>2408</v>
      </c>
      <c r="C32" s="5">
        <v>1</v>
      </c>
      <c r="D32" s="7">
        <v>0</v>
      </c>
      <c r="E32" s="3">
        <f t="shared" ref="E32:E38" si="18">C32+(C32*D32)</f>
        <v>1</v>
      </c>
      <c r="F32" s="3" t="s">
        <v>867</v>
      </c>
      <c r="G32" s="77"/>
      <c r="H32" s="5" t="s">
        <v>1</v>
      </c>
      <c r="I32" s="78">
        <f t="shared" ref="I32:I38" si="19">IF(H32="C",(G32/100)*E32,IF(H32="M",(G32/1000)*E32,G32*E32))</f>
        <v>0</v>
      </c>
      <c r="J32" s="110">
        <f t="shared" ref="J32:J38" si="20">$O$4</f>
        <v>75</v>
      </c>
      <c r="K32" s="4">
        <v>10</v>
      </c>
      <c r="L32" s="5" t="s">
        <v>1</v>
      </c>
      <c r="M32" s="80">
        <f t="shared" ref="M32:M38" si="21">IF(L32="C",(K32/100)*E32,IF(L32="M",(K32/1000)*E32,K32*E32))</f>
        <v>10</v>
      </c>
      <c r="N32" s="78">
        <f t="shared" ref="N32:N38" si="22">M32*J32</f>
        <v>750</v>
      </c>
      <c r="O32" s="78">
        <f t="shared" ref="O32:O38" si="23">N32+I32</f>
        <v>750</v>
      </c>
    </row>
    <row r="33" spans="1:15" ht="15" customHeight="1" x14ac:dyDescent="0.25">
      <c r="A33" s="60"/>
      <c r="B33" s="8" t="s">
        <v>2407</v>
      </c>
      <c r="C33" s="5">
        <v>1</v>
      </c>
      <c r="D33" s="7">
        <v>0</v>
      </c>
      <c r="E33" s="3">
        <f t="shared" si="18"/>
        <v>1</v>
      </c>
      <c r="F33" s="3" t="s">
        <v>867</v>
      </c>
      <c r="G33" s="77"/>
      <c r="H33" s="5" t="s">
        <v>1</v>
      </c>
      <c r="I33" s="78">
        <f t="shared" si="19"/>
        <v>0</v>
      </c>
      <c r="J33" s="110">
        <f t="shared" si="20"/>
        <v>75</v>
      </c>
      <c r="K33" s="4">
        <v>20</v>
      </c>
      <c r="L33" s="5" t="s">
        <v>1</v>
      </c>
      <c r="M33" s="80">
        <f t="shared" si="21"/>
        <v>20</v>
      </c>
      <c r="N33" s="78">
        <f t="shared" si="22"/>
        <v>1500</v>
      </c>
      <c r="O33" s="78">
        <f t="shared" si="23"/>
        <v>1500</v>
      </c>
    </row>
    <row r="34" spans="1:15" x14ac:dyDescent="0.25">
      <c r="A34" s="31"/>
      <c r="B34" s="4" t="s">
        <v>2406</v>
      </c>
      <c r="C34" s="5">
        <v>1</v>
      </c>
      <c r="D34" s="7">
        <v>0</v>
      </c>
      <c r="E34" s="3">
        <f t="shared" si="18"/>
        <v>1</v>
      </c>
      <c r="F34" s="3" t="s">
        <v>867</v>
      </c>
      <c r="G34" s="77"/>
      <c r="H34" s="5" t="s">
        <v>1</v>
      </c>
      <c r="I34" s="78">
        <f t="shared" si="19"/>
        <v>0</v>
      </c>
      <c r="J34" s="110">
        <f t="shared" si="20"/>
        <v>75</v>
      </c>
      <c r="K34" s="4">
        <v>30</v>
      </c>
      <c r="L34" s="5" t="s">
        <v>1</v>
      </c>
      <c r="M34" s="80">
        <f t="shared" si="21"/>
        <v>30</v>
      </c>
      <c r="N34" s="78">
        <f t="shared" si="22"/>
        <v>2250</v>
      </c>
      <c r="O34" s="78">
        <f t="shared" si="23"/>
        <v>2250</v>
      </c>
    </row>
    <row r="35" spans="1:15" x14ac:dyDescent="0.25">
      <c r="A35" s="31"/>
      <c r="B35" s="4" t="s">
        <v>2405</v>
      </c>
      <c r="C35" s="5">
        <v>1</v>
      </c>
      <c r="D35" s="7">
        <v>0</v>
      </c>
      <c r="E35" s="3">
        <f t="shared" si="18"/>
        <v>1</v>
      </c>
      <c r="F35" s="3" t="s">
        <v>867</v>
      </c>
      <c r="G35" s="77"/>
      <c r="H35" s="5" t="s">
        <v>1</v>
      </c>
      <c r="I35" s="78">
        <f t="shared" si="19"/>
        <v>0</v>
      </c>
      <c r="J35" s="110">
        <f t="shared" si="20"/>
        <v>75</v>
      </c>
      <c r="K35" s="4">
        <v>40</v>
      </c>
      <c r="L35" s="5" t="s">
        <v>1</v>
      </c>
      <c r="M35" s="80">
        <f t="shared" si="21"/>
        <v>40</v>
      </c>
      <c r="N35" s="78">
        <f t="shared" si="22"/>
        <v>3000</v>
      </c>
      <c r="O35" s="78">
        <f t="shared" si="23"/>
        <v>3000</v>
      </c>
    </row>
    <row r="36" spans="1:15" x14ac:dyDescent="0.25">
      <c r="A36" s="31"/>
      <c r="B36" s="4" t="s">
        <v>2404</v>
      </c>
      <c r="C36" s="5">
        <v>1</v>
      </c>
      <c r="D36" s="7">
        <v>0</v>
      </c>
      <c r="E36" s="3">
        <f t="shared" si="18"/>
        <v>1</v>
      </c>
      <c r="F36" s="3" t="s">
        <v>867</v>
      </c>
      <c r="G36" s="77"/>
      <c r="H36" s="5" t="s">
        <v>1</v>
      </c>
      <c r="I36" s="78">
        <f t="shared" si="19"/>
        <v>0</v>
      </c>
      <c r="J36" s="110">
        <f t="shared" si="20"/>
        <v>75</v>
      </c>
      <c r="K36" s="4">
        <v>50</v>
      </c>
      <c r="L36" s="5" t="s">
        <v>1</v>
      </c>
      <c r="M36" s="80">
        <f t="shared" si="21"/>
        <v>50</v>
      </c>
      <c r="N36" s="78">
        <f t="shared" si="22"/>
        <v>3750</v>
      </c>
      <c r="O36" s="78">
        <f t="shared" si="23"/>
        <v>3750</v>
      </c>
    </row>
    <row r="37" spans="1:15" x14ac:dyDescent="0.25">
      <c r="A37" s="31"/>
      <c r="B37" s="4" t="s">
        <v>2403</v>
      </c>
      <c r="C37" s="5">
        <v>1</v>
      </c>
      <c r="D37" s="7">
        <v>0</v>
      </c>
      <c r="E37" s="3">
        <f t="shared" si="18"/>
        <v>1</v>
      </c>
      <c r="F37" s="3" t="s">
        <v>867</v>
      </c>
      <c r="G37" s="77"/>
      <c r="H37" s="5" t="s">
        <v>1</v>
      </c>
      <c r="I37" s="78">
        <f t="shared" si="19"/>
        <v>0</v>
      </c>
      <c r="J37" s="110">
        <f t="shared" si="20"/>
        <v>75</v>
      </c>
      <c r="K37" s="4">
        <v>60</v>
      </c>
      <c r="L37" s="5" t="s">
        <v>1</v>
      </c>
      <c r="M37" s="80">
        <f t="shared" si="21"/>
        <v>60</v>
      </c>
      <c r="N37" s="78">
        <f t="shared" si="22"/>
        <v>4500</v>
      </c>
      <c r="O37" s="78">
        <f t="shared" si="23"/>
        <v>4500</v>
      </c>
    </row>
    <row r="38" spans="1:15" ht="15.75" thickBot="1" x14ac:dyDescent="0.3">
      <c r="A38" s="31"/>
      <c r="B38" s="258"/>
      <c r="C38" s="259">
        <v>1</v>
      </c>
      <c r="D38" s="259">
        <v>0</v>
      </c>
      <c r="E38" s="259">
        <f t="shared" si="18"/>
        <v>1</v>
      </c>
      <c r="F38" s="259" t="s">
        <v>867</v>
      </c>
      <c r="G38" s="259"/>
      <c r="H38" s="259" t="s">
        <v>1</v>
      </c>
      <c r="I38" s="259">
        <f t="shared" si="19"/>
        <v>0</v>
      </c>
      <c r="J38" s="259">
        <f t="shared" si="20"/>
        <v>75</v>
      </c>
      <c r="K38" s="259"/>
      <c r="L38" s="259" t="s">
        <v>1</v>
      </c>
      <c r="M38" s="259">
        <f t="shared" si="21"/>
        <v>0</v>
      </c>
      <c r="N38" s="259">
        <f t="shared" si="22"/>
        <v>0</v>
      </c>
      <c r="O38" s="259">
        <f t="shared" si="23"/>
        <v>0</v>
      </c>
    </row>
    <row r="39" spans="1:15" ht="15.75" thickBot="1" x14ac:dyDescent="0.3">
      <c r="A39" s="60"/>
      <c r="B39" s="145" t="s">
        <v>2402</v>
      </c>
      <c r="C39" s="5"/>
      <c r="D39" s="7"/>
      <c r="E39" s="3"/>
      <c r="F39" s="3"/>
      <c r="G39" s="9"/>
      <c r="H39" s="5"/>
      <c r="I39" s="9"/>
      <c r="J39" s="9"/>
      <c r="K39" s="15"/>
      <c r="L39" s="5"/>
      <c r="M39" s="15"/>
      <c r="N39" s="4"/>
      <c r="O39" s="4"/>
    </row>
    <row r="40" spans="1:15" x14ac:dyDescent="0.25">
      <c r="A40" s="31">
        <v>1</v>
      </c>
      <c r="B40" s="4" t="s">
        <v>2401</v>
      </c>
      <c r="C40" s="5">
        <v>1</v>
      </c>
      <c r="D40" s="7">
        <v>0</v>
      </c>
      <c r="E40" s="3">
        <f t="shared" ref="E40:E52" si="24">C40+(C40*D40)</f>
        <v>1</v>
      </c>
      <c r="F40" s="3" t="s">
        <v>867</v>
      </c>
      <c r="G40" s="77"/>
      <c r="H40" s="5" t="s">
        <v>1</v>
      </c>
      <c r="I40" s="78">
        <f t="shared" ref="I40:I52" si="25">IF(H40="C",(G40/100)*E40,IF(H40="M",(G40/1000)*E40,G40*E40))</f>
        <v>0</v>
      </c>
      <c r="J40" s="110">
        <f t="shared" ref="J40:J52" si="26">$O$4</f>
        <v>75</v>
      </c>
      <c r="K40" s="4">
        <v>12</v>
      </c>
      <c r="L40" s="5" t="s">
        <v>1</v>
      </c>
      <c r="M40" s="80">
        <f t="shared" ref="M40:M52" si="27">IF(L40="C",(K40/100)*E40,IF(L40="M",(K40/1000)*E40,K40*E40))</f>
        <v>12</v>
      </c>
      <c r="N40" s="78">
        <f t="shared" ref="N40:N52" si="28">M40*J40</f>
        <v>900</v>
      </c>
      <c r="O40" s="78">
        <f t="shared" ref="O40:O52" si="29">N40+I40</f>
        <v>900</v>
      </c>
    </row>
    <row r="41" spans="1:15" x14ac:dyDescent="0.25">
      <c r="A41" s="31"/>
      <c r="B41" s="4" t="s">
        <v>2400</v>
      </c>
      <c r="C41" s="5">
        <v>1</v>
      </c>
      <c r="D41" s="7">
        <v>0</v>
      </c>
      <c r="E41" s="3">
        <f t="shared" si="24"/>
        <v>1</v>
      </c>
      <c r="F41" s="3" t="s">
        <v>867</v>
      </c>
      <c r="G41" s="77"/>
      <c r="H41" s="5" t="s">
        <v>1</v>
      </c>
      <c r="I41" s="78">
        <f t="shared" si="25"/>
        <v>0</v>
      </c>
      <c r="J41" s="110">
        <f t="shared" si="26"/>
        <v>75</v>
      </c>
      <c r="K41" s="4">
        <v>24</v>
      </c>
      <c r="L41" s="5" t="s">
        <v>1</v>
      </c>
      <c r="M41" s="80">
        <f t="shared" si="27"/>
        <v>24</v>
      </c>
      <c r="N41" s="78">
        <f t="shared" si="28"/>
        <v>1800</v>
      </c>
      <c r="O41" s="78">
        <f t="shared" si="29"/>
        <v>1800</v>
      </c>
    </row>
    <row r="42" spans="1:15" x14ac:dyDescent="0.25">
      <c r="A42" s="31"/>
      <c r="B42" s="4" t="s">
        <v>2399</v>
      </c>
      <c r="C42" s="5">
        <v>1</v>
      </c>
      <c r="D42" s="7">
        <v>0</v>
      </c>
      <c r="E42" s="3">
        <f t="shared" si="24"/>
        <v>1</v>
      </c>
      <c r="F42" s="3" t="s">
        <v>867</v>
      </c>
      <c r="G42" s="77"/>
      <c r="H42" s="5" t="s">
        <v>1</v>
      </c>
      <c r="I42" s="78">
        <f t="shared" si="25"/>
        <v>0</v>
      </c>
      <c r="J42" s="110">
        <f t="shared" si="26"/>
        <v>75</v>
      </c>
      <c r="K42" s="4">
        <v>36</v>
      </c>
      <c r="L42" s="5" t="s">
        <v>1</v>
      </c>
      <c r="M42" s="80">
        <f t="shared" si="27"/>
        <v>36</v>
      </c>
      <c r="N42" s="78">
        <f t="shared" si="28"/>
        <v>2700</v>
      </c>
      <c r="O42" s="78">
        <f t="shared" si="29"/>
        <v>2700</v>
      </c>
    </row>
    <row r="43" spans="1:15" x14ac:dyDescent="0.25">
      <c r="A43" s="31"/>
      <c r="B43" s="4" t="s">
        <v>2398</v>
      </c>
      <c r="C43" s="5">
        <v>1</v>
      </c>
      <c r="D43" s="7">
        <v>0</v>
      </c>
      <c r="E43" s="3">
        <f t="shared" si="24"/>
        <v>1</v>
      </c>
      <c r="F43" s="3" t="s">
        <v>867</v>
      </c>
      <c r="G43" s="77"/>
      <c r="H43" s="5" t="s">
        <v>1</v>
      </c>
      <c r="I43" s="78">
        <f t="shared" si="25"/>
        <v>0</v>
      </c>
      <c r="J43" s="110">
        <f t="shared" si="26"/>
        <v>75</v>
      </c>
      <c r="K43" s="4">
        <v>48</v>
      </c>
      <c r="L43" s="5" t="s">
        <v>1</v>
      </c>
      <c r="M43" s="80">
        <f t="shared" si="27"/>
        <v>48</v>
      </c>
      <c r="N43" s="78">
        <f t="shared" si="28"/>
        <v>3600</v>
      </c>
      <c r="O43" s="78">
        <f t="shared" si="29"/>
        <v>3600</v>
      </c>
    </row>
    <row r="44" spans="1:15" x14ac:dyDescent="0.25">
      <c r="A44" s="31"/>
      <c r="B44" s="4" t="s">
        <v>2397</v>
      </c>
      <c r="C44" s="5">
        <v>1</v>
      </c>
      <c r="D44" s="7">
        <v>0</v>
      </c>
      <c r="E44" s="3">
        <f t="shared" si="24"/>
        <v>1</v>
      </c>
      <c r="F44" s="3" t="s">
        <v>867</v>
      </c>
      <c r="G44" s="77"/>
      <c r="H44" s="5" t="s">
        <v>1</v>
      </c>
      <c r="I44" s="78">
        <f t="shared" si="25"/>
        <v>0</v>
      </c>
      <c r="J44" s="110">
        <f t="shared" si="26"/>
        <v>75</v>
      </c>
      <c r="K44" s="4">
        <v>60</v>
      </c>
      <c r="L44" s="5" t="s">
        <v>1</v>
      </c>
      <c r="M44" s="80">
        <f t="shared" si="27"/>
        <v>60</v>
      </c>
      <c r="N44" s="78">
        <f t="shared" si="28"/>
        <v>4500</v>
      </c>
      <c r="O44" s="78">
        <f t="shared" si="29"/>
        <v>4500</v>
      </c>
    </row>
    <row r="45" spans="1:15" x14ac:dyDescent="0.25">
      <c r="A45" s="31"/>
      <c r="B45" s="4" t="s">
        <v>2396</v>
      </c>
      <c r="C45" s="5">
        <v>1</v>
      </c>
      <c r="D45" s="7">
        <v>0</v>
      </c>
      <c r="E45" s="3">
        <f t="shared" si="24"/>
        <v>1</v>
      </c>
      <c r="F45" s="3" t="s">
        <v>867</v>
      </c>
      <c r="G45" s="77"/>
      <c r="H45" s="5" t="s">
        <v>1</v>
      </c>
      <c r="I45" s="78">
        <f t="shared" si="25"/>
        <v>0</v>
      </c>
      <c r="J45" s="110">
        <f t="shared" si="26"/>
        <v>75</v>
      </c>
      <c r="K45" s="4">
        <v>72</v>
      </c>
      <c r="L45" s="5" t="s">
        <v>1</v>
      </c>
      <c r="M45" s="80">
        <f t="shared" si="27"/>
        <v>72</v>
      </c>
      <c r="N45" s="78">
        <f t="shared" si="28"/>
        <v>5400</v>
      </c>
      <c r="O45" s="78">
        <f t="shared" si="29"/>
        <v>5400</v>
      </c>
    </row>
    <row r="46" spans="1:15" x14ac:dyDescent="0.25">
      <c r="A46" s="31"/>
      <c r="B46" s="4" t="s">
        <v>2395</v>
      </c>
      <c r="C46" s="5">
        <v>1</v>
      </c>
      <c r="D46" s="7">
        <v>0</v>
      </c>
      <c r="E46" s="3">
        <f t="shared" si="24"/>
        <v>1</v>
      </c>
      <c r="F46" s="3" t="s">
        <v>867</v>
      </c>
      <c r="G46" s="77"/>
      <c r="H46" s="5" t="s">
        <v>1</v>
      </c>
      <c r="I46" s="78">
        <f t="shared" si="25"/>
        <v>0</v>
      </c>
      <c r="J46" s="110">
        <f t="shared" si="26"/>
        <v>75</v>
      </c>
      <c r="K46" s="4">
        <v>84</v>
      </c>
      <c r="L46" s="5" t="s">
        <v>1</v>
      </c>
      <c r="M46" s="80">
        <f t="shared" si="27"/>
        <v>84</v>
      </c>
      <c r="N46" s="78">
        <f t="shared" si="28"/>
        <v>6300</v>
      </c>
      <c r="O46" s="78">
        <f t="shared" si="29"/>
        <v>6300</v>
      </c>
    </row>
    <row r="47" spans="1:15" x14ac:dyDescent="0.25">
      <c r="A47" s="31"/>
      <c r="B47" s="4" t="s">
        <v>2394</v>
      </c>
      <c r="C47" s="5">
        <v>1</v>
      </c>
      <c r="D47" s="7">
        <v>0</v>
      </c>
      <c r="E47" s="3">
        <f t="shared" si="24"/>
        <v>1</v>
      </c>
      <c r="F47" s="3" t="s">
        <v>867</v>
      </c>
      <c r="G47" s="77"/>
      <c r="H47" s="5" t="s">
        <v>1</v>
      </c>
      <c r="I47" s="78">
        <f t="shared" si="25"/>
        <v>0</v>
      </c>
      <c r="J47" s="110">
        <f t="shared" si="26"/>
        <v>75</v>
      </c>
      <c r="K47" s="4">
        <v>96</v>
      </c>
      <c r="L47" s="5" t="s">
        <v>1</v>
      </c>
      <c r="M47" s="80">
        <f t="shared" si="27"/>
        <v>96</v>
      </c>
      <c r="N47" s="78">
        <f t="shared" si="28"/>
        <v>7200</v>
      </c>
      <c r="O47" s="78">
        <f t="shared" si="29"/>
        <v>7200</v>
      </c>
    </row>
    <row r="48" spans="1:15" x14ac:dyDescent="0.25">
      <c r="A48" s="31"/>
      <c r="B48" s="4" t="s">
        <v>2393</v>
      </c>
      <c r="C48" s="5">
        <v>1</v>
      </c>
      <c r="D48" s="7">
        <v>0</v>
      </c>
      <c r="E48" s="3">
        <f t="shared" si="24"/>
        <v>1</v>
      </c>
      <c r="F48" s="3" t="s">
        <v>867</v>
      </c>
      <c r="G48" s="77"/>
      <c r="H48" s="5" t="s">
        <v>1</v>
      </c>
      <c r="I48" s="78">
        <f t="shared" si="25"/>
        <v>0</v>
      </c>
      <c r="J48" s="110">
        <f t="shared" si="26"/>
        <v>75</v>
      </c>
      <c r="K48" s="4">
        <v>108</v>
      </c>
      <c r="L48" s="5" t="s">
        <v>1</v>
      </c>
      <c r="M48" s="80">
        <f t="shared" si="27"/>
        <v>108</v>
      </c>
      <c r="N48" s="78">
        <f t="shared" si="28"/>
        <v>8100</v>
      </c>
      <c r="O48" s="78">
        <f t="shared" si="29"/>
        <v>8100</v>
      </c>
    </row>
    <row r="49" spans="1:15" x14ac:dyDescent="0.25">
      <c r="A49" s="31"/>
      <c r="B49" s="4" t="s">
        <v>2392</v>
      </c>
      <c r="C49" s="5">
        <v>1</v>
      </c>
      <c r="D49" s="7">
        <v>0</v>
      </c>
      <c r="E49" s="3">
        <f t="shared" si="24"/>
        <v>1</v>
      </c>
      <c r="F49" s="3" t="s">
        <v>867</v>
      </c>
      <c r="G49" s="77"/>
      <c r="H49" s="5" t="s">
        <v>1</v>
      </c>
      <c r="I49" s="78">
        <f t="shared" si="25"/>
        <v>0</v>
      </c>
      <c r="J49" s="110">
        <f t="shared" si="26"/>
        <v>75</v>
      </c>
      <c r="K49" s="4">
        <v>120</v>
      </c>
      <c r="L49" s="5" t="s">
        <v>1</v>
      </c>
      <c r="M49" s="80">
        <f t="shared" si="27"/>
        <v>120</v>
      </c>
      <c r="N49" s="78">
        <f t="shared" si="28"/>
        <v>9000</v>
      </c>
      <c r="O49" s="78">
        <f t="shared" si="29"/>
        <v>9000</v>
      </c>
    </row>
    <row r="50" spans="1:15" x14ac:dyDescent="0.25">
      <c r="A50" s="31"/>
      <c r="B50" s="4" t="s">
        <v>2391</v>
      </c>
      <c r="C50" s="5">
        <v>1</v>
      </c>
      <c r="D50" s="7">
        <v>0</v>
      </c>
      <c r="E50" s="3">
        <f t="shared" si="24"/>
        <v>1</v>
      </c>
      <c r="F50" s="3" t="s">
        <v>867</v>
      </c>
      <c r="G50" s="77"/>
      <c r="H50" s="5" t="s">
        <v>1</v>
      </c>
      <c r="I50" s="78">
        <f t="shared" si="25"/>
        <v>0</v>
      </c>
      <c r="J50" s="110">
        <f t="shared" si="26"/>
        <v>75</v>
      </c>
      <c r="K50" s="4">
        <v>132</v>
      </c>
      <c r="L50" s="5" t="s">
        <v>1</v>
      </c>
      <c r="M50" s="80">
        <f t="shared" si="27"/>
        <v>132</v>
      </c>
      <c r="N50" s="78">
        <f t="shared" si="28"/>
        <v>9900</v>
      </c>
      <c r="O50" s="78">
        <f t="shared" si="29"/>
        <v>9900</v>
      </c>
    </row>
    <row r="51" spans="1:15" x14ac:dyDescent="0.25">
      <c r="A51" s="31"/>
      <c r="B51" s="4" t="s">
        <v>2390</v>
      </c>
      <c r="C51" s="5">
        <v>1</v>
      </c>
      <c r="D51" s="7">
        <v>0</v>
      </c>
      <c r="E51" s="3">
        <f t="shared" si="24"/>
        <v>1</v>
      </c>
      <c r="F51" s="3" t="s">
        <v>867</v>
      </c>
      <c r="G51" s="77"/>
      <c r="H51" s="5" t="s">
        <v>1</v>
      </c>
      <c r="I51" s="78">
        <f t="shared" si="25"/>
        <v>0</v>
      </c>
      <c r="J51" s="110">
        <f t="shared" si="26"/>
        <v>75</v>
      </c>
      <c r="K51" s="4">
        <v>144</v>
      </c>
      <c r="L51" s="5" t="s">
        <v>1</v>
      </c>
      <c r="M51" s="80">
        <f t="shared" si="27"/>
        <v>144</v>
      </c>
      <c r="N51" s="78">
        <f t="shared" si="28"/>
        <v>10800</v>
      </c>
      <c r="O51" s="78">
        <f t="shared" si="29"/>
        <v>10800</v>
      </c>
    </row>
    <row r="52" spans="1:15" ht="15.75" thickBot="1" x14ac:dyDescent="0.3">
      <c r="A52" s="31"/>
      <c r="B52" s="258"/>
      <c r="C52" s="259">
        <v>1</v>
      </c>
      <c r="D52" s="259">
        <v>0</v>
      </c>
      <c r="E52" s="259">
        <f t="shared" si="24"/>
        <v>1</v>
      </c>
      <c r="F52" s="259" t="s">
        <v>867</v>
      </c>
      <c r="G52" s="259"/>
      <c r="H52" s="259" t="s">
        <v>1</v>
      </c>
      <c r="I52" s="259">
        <f t="shared" si="25"/>
        <v>0</v>
      </c>
      <c r="J52" s="259">
        <f t="shared" si="26"/>
        <v>75</v>
      </c>
      <c r="K52" s="259"/>
      <c r="L52" s="259" t="s">
        <v>1</v>
      </c>
      <c r="M52" s="259">
        <f t="shared" si="27"/>
        <v>0</v>
      </c>
      <c r="N52" s="259">
        <f t="shared" si="28"/>
        <v>0</v>
      </c>
      <c r="O52" s="259">
        <f t="shared" si="29"/>
        <v>0</v>
      </c>
    </row>
    <row r="53" spans="1:15" ht="15.75" thickBot="1" x14ac:dyDescent="0.3">
      <c r="A53" s="60"/>
      <c r="B53" s="145" t="s">
        <v>2389</v>
      </c>
      <c r="C53" s="5"/>
      <c r="D53" s="7"/>
      <c r="E53" s="3"/>
      <c r="F53" s="3"/>
      <c r="G53" s="9"/>
      <c r="H53" s="5"/>
      <c r="I53" s="9"/>
      <c r="J53" s="9"/>
      <c r="K53" s="15"/>
      <c r="L53" s="5"/>
      <c r="M53" s="15"/>
      <c r="N53" s="4"/>
      <c r="O53" s="4"/>
    </row>
    <row r="54" spans="1:15" x14ac:dyDescent="0.25">
      <c r="A54" s="31">
        <v>1</v>
      </c>
      <c r="B54" s="4" t="s">
        <v>2388</v>
      </c>
      <c r="C54" s="5">
        <v>1</v>
      </c>
      <c r="D54" s="7">
        <v>0</v>
      </c>
      <c r="E54" s="3">
        <f t="shared" ref="E54:E66" si="30">C54+(C54*D54)</f>
        <v>1</v>
      </c>
      <c r="F54" s="3" t="s">
        <v>867</v>
      </c>
      <c r="G54" s="77"/>
      <c r="H54" s="5" t="s">
        <v>1</v>
      </c>
      <c r="I54" s="78">
        <f t="shared" ref="I54:I66" si="31">IF(H54="C",(G54/100)*E54,IF(H54="M",(G54/1000)*E54,G54*E54))</f>
        <v>0</v>
      </c>
      <c r="J54" s="110">
        <f t="shared" ref="J54:J66" si="32">$O$4</f>
        <v>75</v>
      </c>
      <c r="K54" s="4">
        <v>14</v>
      </c>
      <c r="L54" s="5" t="s">
        <v>1</v>
      </c>
      <c r="M54" s="80">
        <f t="shared" ref="M54:M66" si="33">IF(L54="C",(K54/100)*E54,IF(L54="M",(K54/1000)*E54,K54*E54))</f>
        <v>14</v>
      </c>
      <c r="N54" s="78">
        <f t="shared" ref="N54:N66" si="34">M54*J54</f>
        <v>1050</v>
      </c>
      <c r="O54" s="78">
        <f t="shared" ref="O54:O66" si="35">N54+I54</f>
        <v>1050</v>
      </c>
    </row>
    <row r="55" spans="1:15" x14ac:dyDescent="0.25">
      <c r="A55" s="31"/>
      <c r="B55" s="4" t="s">
        <v>2387</v>
      </c>
      <c r="C55" s="5">
        <v>1</v>
      </c>
      <c r="D55" s="7">
        <v>0</v>
      </c>
      <c r="E55" s="3">
        <f t="shared" si="30"/>
        <v>1</v>
      </c>
      <c r="F55" s="3" t="s">
        <v>867</v>
      </c>
      <c r="G55" s="77"/>
      <c r="H55" s="5" t="s">
        <v>1</v>
      </c>
      <c r="I55" s="78">
        <f t="shared" si="31"/>
        <v>0</v>
      </c>
      <c r="J55" s="110">
        <f t="shared" si="32"/>
        <v>75</v>
      </c>
      <c r="K55" s="4">
        <v>28</v>
      </c>
      <c r="L55" s="5" t="s">
        <v>1</v>
      </c>
      <c r="M55" s="80">
        <f t="shared" si="33"/>
        <v>28</v>
      </c>
      <c r="N55" s="78">
        <f t="shared" si="34"/>
        <v>2100</v>
      </c>
      <c r="O55" s="78">
        <f t="shared" si="35"/>
        <v>2100</v>
      </c>
    </row>
    <row r="56" spans="1:15" x14ac:dyDescent="0.25">
      <c r="A56" s="31"/>
      <c r="B56" s="4" t="s">
        <v>2386</v>
      </c>
      <c r="C56" s="5">
        <v>1</v>
      </c>
      <c r="D56" s="7">
        <v>0</v>
      </c>
      <c r="E56" s="3">
        <f t="shared" si="30"/>
        <v>1</v>
      </c>
      <c r="F56" s="3" t="s">
        <v>867</v>
      </c>
      <c r="G56" s="77"/>
      <c r="H56" s="5" t="s">
        <v>1</v>
      </c>
      <c r="I56" s="78">
        <f t="shared" si="31"/>
        <v>0</v>
      </c>
      <c r="J56" s="110">
        <f t="shared" si="32"/>
        <v>75</v>
      </c>
      <c r="K56" s="4">
        <v>42</v>
      </c>
      <c r="L56" s="5" t="s">
        <v>1</v>
      </c>
      <c r="M56" s="80">
        <f t="shared" si="33"/>
        <v>42</v>
      </c>
      <c r="N56" s="78">
        <f t="shared" si="34"/>
        <v>3150</v>
      </c>
      <c r="O56" s="78">
        <f t="shared" si="35"/>
        <v>3150</v>
      </c>
    </row>
    <row r="57" spans="1:15" x14ac:dyDescent="0.25">
      <c r="A57" s="31"/>
      <c r="B57" s="4" t="s">
        <v>2385</v>
      </c>
      <c r="C57" s="5">
        <v>1</v>
      </c>
      <c r="D57" s="7">
        <v>0</v>
      </c>
      <c r="E57" s="3">
        <f t="shared" si="30"/>
        <v>1</v>
      </c>
      <c r="F57" s="3" t="s">
        <v>867</v>
      </c>
      <c r="G57" s="77"/>
      <c r="H57" s="5" t="s">
        <v>1</v>
      </c>
      <c r="I57" s="78">
        <f t="shared" si="31"/>
        <v>0</v>
      </c>
      <c r="J57" s="110">
        <f t="shared" si="32"/>
        <v>75</v>
      </c>
      <c r="K57" s="4">
        <v>56</v>
      </c>
      <c r="L57" s="5" t="s">
        <v>1</v>
      </c>
      <c r="M57" s="80">
        <f t="shared" si="33"/>
        <v>56</v>
      </c>
      <c r="N57" s="78">
        <f t="shared" si="34"/>
        <v>4200</v>
      </c>
      <c r="O57" s="78">
        <f t="shared" si="35"/>
        <v>4200</v>
      </c>
    </row>
    <row r="58" spans="1:15" x14ac:dyDescent="0.25">
      <c r="A58" s="31"/>
      <c r="B58" s="4" t="s">
        <v>2384</v>
      </c>
      <c r="C58" s="5">
        <v>1</v>
      </c>
      <c r="D58" s="7">
        <v>0</v>
      </c>
      <c r="E58" s="3">
        <f t="shared" si="30"/>
        <v>1</v>
      </c>
      <c r="F58" s="3" t="s">
        <v>867</v>
      </c>
      <c r="G58" s="77"/>
      <c r="H58" s="5" t="s">
        <v>1</v>
      </c>
      <c r="I58" s="78">
        <f t="shared" si="31"/>
        <v>0</v>
      </c>
      <c r="J58" s="110">
        <f t="shared" si="32"/>
        <v>75</v>
      </c>
      <c r="K58" s="4">
        <v>70</v>
      </c>
      <c r="L58" s="5" t="s">
        <v>1</v>
      </c>
      <c r="M58" s="80">
        <f t="shared" si="33"/>
        <v>70</v>
      </c>
      <c r="N58" s="78">
        <f t="shared" si="34"/>
        <v>5250</v>
      </c>
      <c r="O58" s="78">
        <f t="shared" si="35"/>
        <v>5250</v>
      </c>
    </row>
    <row r="59" spans="1:15" x14ac:dyDescent="0.25">
      <c r="A59" s="31"/>
      <c r="B59" s="4" t="s">
        <v>2383</v>
      </c>
      <c r="C59" s="5">
        <v>1</v>
      </c>
      <c r="D59" s="7">
        <v>0</v>
      </c>
      <c r="E59" s="3">
        <f t="shared" si="30"/>
        <v>1</v>
      </c>
      <c r="F59" s="3" t="s">
        <v>867</v>
      </c>
      <c r="G59" s="77"/>
      <c r="H59" s="5" t="s">
        <v>1</v>
      </c>
      <c r="I59" s="78">
        <f t="shared" si="31"/>
        <v>0</v>
      </c>
      <c r="J59" s="110">
        <f t="shared" si="32"/>
        <v>75</v>
      </c>
      <c r="K59" s="4">
        <v>84</v>
      </c>
      <c r="L59" s="5" t="s">
        <v>1</v>
      </c>
      <c r="M59" s="80">
        <f t="shared" si="33"/>
        <v>84</v>
      </c>
      <c r="N59" s="78">
        <f t="shared" si="34"/>
        <v>6300</v>
      </c>
      <c r="O59" s="78">
        <f t="shared" si="35"/>
        <v>6300</v>
      </c>
    </row>
    <row r="60" spans="1:15" x14ac:dyDescent="0.25">
      <c r="A60" s="31"/>
      <c r="B60" s="4" t="s">
        <v>2382</v>
      </c>
      <c r="C60" s="5">
        <v>1</v>
      </c>
      <c r="D60" s="7">
        <v>0</v>
      </c>
      <c r="E60" s="3">
        <f t="shared" si="30"/>
        <v>1</v>
      </c>
      <c r="F60" s="3" t="s">
        <v>867</v>
      </c>
      <c r="G60" s="77"/>
      <c r="H60" s="5" t="s">
        <v>1</v>
      </c>
      <c r="I60" s="78">
        <f t="shared" si="31"/>
        <v>0</v>
      </c>
      <c r="J60" s="110">
        <f t="shared" si="32"/>
        <v>75</v>
      </c>
      <c r="K60" s="4">
        <v>98</v>
      </c>
      <c r="L60" s="5" t="s">
        <v>1</v>
      </c>
      <c r="M60" s="80">
        <f t="shared" si="33"/>
        <v>98</v>
      </c>
      <c r="N60" s="78">
        <f t="shared" si="34"/>
        <v>7350</v>
      </c>
      <c r="O60" s="78">
        <f t="shared" si="35"/>
        <v>7350</v>
      </c>
    </row>
    <row r="61" spans="1:15" x14ac:dyDescent="0.25">
      <c r="A61" s="31"/>
      <c r="B61" s="4" t="s">
        <v>2381</v>
      </c>
      <c r="C61" s="5">
        <v>1</v>
      </c>
      <c r="D61" s="7">
        <v>0</v>
      </c>
      <c r="E61" s="3">
        <f t="shared" si="30"/>
        <v>1</v>
      </c>
      <c r="F61" s="3" t="s">
        <v>867</v>
      </c>
      <c r="G61" s="77"/>
      <c r="H61" s="5" t="s">
        <v>1</v>
      </c>
      <c r="I61" s="78">
        <f t="shared" si="31"/>
        <v>0</v>
      </c>
      <c r="J61" s="110">
        <f t="shared" si="32"/>
        <v>75</v>
      </c>
      <c r="K61" s="4">
        <v>112</v>
      </c>
      <c r="L61" s="5" t="s">
        <v>1</v>
      </c>
      <c r="M61" s="80">
        <f t="shared" si="33"/>
        <v>112</v>
      </c>
      <c r="N61" s="78">
        <f t="shared" si="34"/>
        <v>8400</v>
      </c>
      <c r="O61" s="78">
        <f t="shared" si="35"/>
        <v>8400</v>
      </c>
    </row>
    <row r="62" spans="1:15" x14ac:dyDescent="0.25">
      <c r="A62" s="31"/>
      <c r="B62" s="4" t="s">
        <v>2380</v>
      </c>
      <c r="C62" s="5">
        <v>1</v>
      </c>
      <c r="D62" s="7">
        <v>0</v>
      </c>
      <c r="E62" s="3">
        <f t="shared" si="30"/>
        <v>1</v>
      </c>
      <c r="F62" s="3" t="s">
        <v>867</v>
      </c>
      <c r="G62" s="77"/>
      <c r="H62" s="5" t="s">
        <v>1</v>
      </c>
      <c r="I62" s="78">
        <f t="shared" si="31"/>
        <v>0</v>
      </c>
      <c r="J62" s="110">
        <f t="shared" si="32"/>
        <v>75</v>
      </c>
      <c r="K62" s="4">
        <v>126</v>
      </c>
      <c r="L62" s="5" t="s">
        <v>1</v>
      </c>
      <c r="M62" s="80">
        <f t="shared" si="33"/>
        <v>126</v>
      </c>
      <c r="N62" s="78">
        <f t="shared" si="34"/>
        <v>9450</v>
      </c>
      <c r="O62" s="78">
        <f t="shared" si="35"/>
        <v>9450</v>
      </c>
    </row>
    <row r="63" spans="1:15" x14ac:dyDescent="0.25">
      <c r="A63" s="31"/>
      <c r="B63" s="4" t="s">
        <v>2379</v>
      </c>
      <c r="C63" s="5">
        <v>1</v>
      </c>
      <c r="D63" s="7">
        <v>0</v>
      </c>
      <c r="E63" s="3">
        <f t="shared" si="30"/>
        <v>1</v>
      </c>
      <c r="F63" s="3" t="s">
        <v>867</v>
      </c>
      <c r="G63" s="77"/>
      <c r="H63" s="5" t="s">
        <v>1</v>
      </c>
      <c r="I63" s="78">
        <f t="shared" si="31"/>
        <v>0</v>
      </c>
      <c r="J63" s="110">
        <f t="shared" si="32"/>
        <v>75</v>
      </c>
      <c r="K63" s="4">
        <v>140</v>
      </c>
      <c r="L63" s="5" t="s">
        <v>1</v>
      </c>
      <c r="M63" s="80">
        <f t="shared" si="33"/>
        <v>140</v>
      </c>
      <c r="N63" s="78">
        <f t="shared" si="34"/>
        <v>10500</v>
      </c>
      <c r="O63" s="78">
        <f t="shared" si="35"/>
        <v>10500</v>
      </c>
    </row>
    <row r="64" spans="1:15" x14ac:dyDescent="0.25">
      <c r="A64" s="31"/>
      <c r="B64" s="4" t="s">
        <v>2378</v>
      </c>
      <c r="C64" s="5">
        <v>1</v>
      </c>
      <c r="D64" s="7">
        <v>0</v>
      </c>
      <c r="E64" s="3">
        <f t="shared" si="30"/>
        <v>1</v>
      </c>
      <c r="F64" s="3" t="s">
        <v>867</v>
      </c>
      <c r="G64" s="77"/>
      <c r="H64" s="5" t="s">
        <v>1</v>
      </c>
      <c r="I64" s="78">
        <f t="shared" si="31"/>
        <v>0</v>
      </c>
      <c r="J64" s="110">
        <f t="shared" si="32"/>
        <v>75</v>
      </c>
      <c r="K64" s="4">
        <v>154</v>
      </c>
      <c r="L64" s="5" t="s">
        <v>1</v>
      </c>
      <c r="M64" s="80">
        <f t="shared" si="33"/>
        <v>154</v>
      </c>
      <c r="N64" s="78">
        <f t="shared" si="34"/>
        <v>11550</v>
      </c>
      <c r="O64" s="78">
        <f t="shared" si="35"/>
        <v>11550</v>
      </c>
    </row>
    <row r="65" spans="1:15" x14ac:dyDescent="0.25">
      <c r="A65" s="31"/>
      <c r="B65" s="4" t="s">
        <v>2377</v>
      </c>
      <c r="C65" s="5">
        <v>1</v>
      </c>
      <c r="D65" s="7">
        <v>0</v>
      </c>
      <c r="E65" s="3">
        <f t="shared" si="30"/>
        <v>1</v>
      </c>
      <c r="F65" s="3" t="s">
        <v>867</v>
      </c>
      <c r="G65" s="77"/>
      <c r="H65" s="5" t="s">
        <v>1</v>
      </c>
      <c r="I65" s="78">
        <f t="shared" si="31"/>
        <v>0</v>
      </c>
      <c r="J65" s="110">
        <f t="shared" si="32"/>
        <v>75</v>
      </c>
      <c r="K65" s="4">
        <v>168</v>
      </c>
      <c r="L65" s="5" t="s">
        <v>1</v>
      </c>
      <c r="M65" s="80">
        <f t="shared" si="33"/>
        <v>168</v>
      </c>
      <c r="N65" s="78">
        <f t="shared" si="34"/>
        <v>12600</v>
      </c>
      <c r="O65" s="78">
        <f t="shared" si="35"/>
        <v>12600</v>
      </c>
    </row>
    <row r="66" spans="1:15" ht="15.75" thickBot="1" x14ac:dyDescent="0.3">
      <c r="A66" s="31"/>
      <c r="B66" s="258"/>
      <c r="C66" s="259">
        <v>1</v>
      </c>
      <c r="D66" s="259">
        <v>0</v>
      </c>
      <c r="E66" s="259">
        <f t="shared" si="30"/>
        <v>1</v>
      </c>
      <c r="F66" s="259" t="s">
        <v>867</v>
      </c>
      <c r="G66" s="259"/>
      <c r="H66" s="259" t="s">
        <v>1</v>
      </c>
      <c r="I66" s="259">
        <f t="shared" si="31"/>
        <v>0</v>
      </c>
      <c r="J66" s="259">
        <f t="shared" si="32"/>
        <v>75</v>
      </c>
      <c r="K66" s="259"/>
      <c r="L66" s="259" t="s">
        <v>1</v>
      </c>
      <c r="M66" s="259">
        <f t="shared" si="33"/>
        <v>0</v>
      </c>
      <c r="N66" s="259">
        <f t="shared" si="34"/>
        <v>0</v>
      </c>
      <c r="O66" s="259">
        <f t="shared" si="35"/>
        <v>0</v>
      </c>
    </row>
    <row r="67" spans="1:15" ht="15.75" thickBot="1" x14ac:dyDescent="0.3">
      <c r="A67" s="60"/>
      <c r="B67" s="145" t="s">
        <v>2376</v>
      </c>
      <c r="C67" s="5"/>
      <c r="D67" s="7"/>
      <c r="E67" s="3"/>
      <c r="F67" s="3"/>
      <c r="G67" s="9"/>
      <c r="H67" s="5"/>
      <c r="I67" s="9"/>
      <c r="J67" s="9"/>
      <c r="K67" s="15"/>
      <c r="L67" s="5"/>
      <c r="M67" s="15"/>
      <c r="N67" s="4"/>
      <c r="O67" s="4"/>
    </row>
    <row r="68" spans="1:15" x14ac:dyDescent="0.25">
      <c r="A68" s="31">
        <v>1</v>
      </c>
      <c r="B68" s="4" t="s">
        <v>2375</v>
      </c>
      <c r="C68" s="5"/>
      <c r="D68" s="7">
        <v>0</v>
      </c>
      <c r="E68" s="3"/>
      <c r="F68" s="3" t="s">
        <v>867</v>
      </c>
      <c r="G68" s="77"/>
      <c r="H68" s="5" t="s">
        <v>1</v>
      </c>
      <c r="I68" s="78">
        <f t="shared" ref="I68:I88" si="36">IF(H68="C",(G68/100)*E68,IF(H68="M",(G68/1000)*E68,G68*E68))</f>
        <v>0</v>
      </c>
      <c r="J68" s="110">
        <f t="shared" ref="J68:J88" si="37">$O$4</f>
        <v>75</v>
      </c>
      <c r="K68" s="4">
        <v>16</v>
      </c>
      <c r="L68" s="5" t="s">
        <v>1</v>
      </c>
      <c r="M68" s="80">
        <f t="shared" ref="M68:M88" si="38">IF(L68="C",(K68/100)*E68,IF(L68="M",(K68/1000)*E68,K68*E68))</f>
        <v>0</v>
      </c>
      <c r="N68" s="78">
        <f t="shared" ref="N68:N88" si="39">M68*J68</f>
        <v>0</v>
      </c>
      <c r="O68" s="78">
        <f t="shared" ref="O68:O88" si="40">N68+I68</f>
        <v>0</v>
      </c>
    </row>
    <row r="69" spans="1:15" x14ac:dyDescent="0.25">
      <c r="A69" s="60"/>
      <c r="B69" s="8" t="s">
        <v>2374</v>
      </c>
      <c r="C69" s="5">
        <v>1</v>
      </c>
      <c r="D69" s="7">
        <v>0</v>
      </c>
      <c r="E69" s="3">
        <f t="shared" ref="E69:E88" si="41">C69+(C69*D69)</f>
        <v>1</v>
      </c>
      <c r="F69" s="3" t="s">
        <v>867</v>
      </c>
      <c r="G69" s="77"/>
      <c r="H69" s="5" t="s">
        <v>1</v>
      </c>
      <c r="I69" s="78">
        <f t="shared" si="36"/>
        <v>0</v>
      </c>
      <c r="J69" s="110">
        <f t="shared" si="37"/>
        <v>75</v>
      </c>
      <c r="K69" s="4">
        <v>32</v>
      </c>
      <c r="L69" s="5" t="s">
        <v>1</v>
      </c>
      <c r="M69" s="80">
        <f t="shared" si="38"/>
        <v>32</v>
      </c>
      <c r="N69" s="78">
        <f t="shared" si="39"/>
        <v>2400</v>
      </c>
      <c r="O69" s="78">
        <f t="shared" si="40"/>
        <v>2400</v>
      </c>
    </row>
    <row r="70" spans="1:15" x14ac:dyDescent="0.25">
      <c r="A70" s="31"/>
      <c r="B70" s="4" t="s">
        <v>2373</v>
      </c>
      <c r="C70" s="5">
        <v>1</v>
      </c>
      <c r="D70" s="7">
        <v>0</v>
      </c>
      <c r="E70" s="3">
        <f t="shared" si="41"/>
        <v>1</v>
      </c>
      <c r="F70" s="3" t="s">
        <v>867</v>
      </c>
      <c r="G70" s="77"/>
      <c r="H70" s="5" t="s">
        <v>1</v>
      </c>
      <c r="I70" s="78">
        <f t="shared" si="36"/>
        <v>0</v>
      </c>
      <c r="J70" s="110">
        <f t="shared" si="37"/>
        <v>75</v>
      </c>
      <c r="K70" s="4">
        <v>48</v>
      </c>
      <c r="L70" s="5" t="s">
        <v>1</v>
      </c>
      <c r="M70" s="80">
        <f t="shared" si="38"/>
        <v>48</v>
      </c>
      <c r="N70" s="78">
        <f t="shared" si="39"/>
        <v>3600</v>
      </c>
      <c r="O70" s="78">
        <f t="shared" si="40"/>
        <v>3600</v>
      </c>
    </row>
    <row r="71" spans="1:15" x14ac:dyDescent="0.25">
      <c r="A71" s="31"/>
      <c r="B71" s="4" t="s">
        <v>2372</v>
      </c>
      <c r="C71" s="5">
        <v>1</v>
      </c>
      <c r="D71" s="7">
        <v>0</v>
      </c>
      <c r="E71" s="3">
        <f t="shared" si="41"/>
        <v>1</v>
      </c>
      <c r="F71" s="3" t="s">
        <v>867</v>
      </c>
      <c r="G71" s="77"/>
      <c r="H71" s="5" t="s">
        <v>1</v>
      </c>
      <c r="I71" s="78">
        <f t="shared" si="36"/>
        <v>0</v>
      </c>
      <c r="J71" s="110">
        <f t="shared" si="37"/>
        <v>75</v>
      </c>
      <c r="K71" s="4">
        <v>64</v>
      </c>
      <c r="L71" s="5" t="s">
        <v>1</v>
      </c>
      <c r="M71" s="80">
        <f t="shared" si="38"/>
        <v>64</v>
      </c>
      <c r="N71" s="78">
        <f t="shared" si="39"/>
        <v>4800</v>
      </c>
      <c r="O71" s="78">
        <f t="shared" si="40"/>
        <v>4800</v>
      </c>
    </row>
    <row r="72" spans="1:15" x14ac:dyDescent="0.25">
      <c r="A72" s="31"/>
      <c r="B72" s="4" t="s">
        <v>2371</v>
      </c>
      <c r="C72" s="5">
        <v>1</v>
      </c>
      <c r="D72" s="7">
        <v>0</v>
      </c>
      <c r="E72" s="3">
        <f t="shared" si="41"/>
        <v>1</v>
      </c>
      <c r="F72" s="3" t="s">
        <v>867</v>
      </c>
      <c r="G72" s="77"/>
      <c r="H72" s="5" t="s">
        <v>1</v>
      </c>
      <c r="I72" s="78">
        <f t="shared" si="36"/>
        <v>0</v>
      </c>
      <c r="J72" s="110">
        <f t="shared" si="37"/>
        <v>75</v>
      </c>
      <c r="K72" s="4">
        <v>80</v>
      </c>
      <c r="L72" s="5" t="s">
        <v>1</v>
      </c>
      <c r="M72" s="80">
        <f t="shared" si="38"/>
        <v>80</v>
      </c>
      <c r="N72" s="78">
        <f t="shared" si="39"/>
        <v>6000</v>
      </c>
      <c r="O72" s="78">
        <f t="shared" si="40"/>
        <v>6000</v>
      </c>
    </row>
    <row r="73" spans="1:15" x14ac:dyDescent="0.25">
      <c r="A73" s="31"/>
      <c r="B73" s="4" t="s">
        <v>2370</v>
      </c>
      <c r="C73" s="5">
        <v>1</v>
      </c>
      <c r="D73" s="7">
        <v>0</v>
      </c>
      <c r="E73" s="3">
        <f t="shared" si="41"/>
        <v>1</v>
      </c>
      <c r="F73" s="3" t="s">
        <v>867</v>
      </c>
      <c r="G73" s="77"/>
      <c r="H73" s="5" t="s">
        <v>1</v>
      </c>
      <c r="I73" s="78">
        <f t="shared" si="36"/>
        <v>0</v>
      </c>
      <c r="J73" s="110">
        <f t="shared" si="37"/>
        <v>75</v>
      </c>
      <c r="K73" s="4">
        <v>96</v>
      </c>
      <c r="L73" s="5" t="s">
        <v>1</v>
      </c>
      <c r="M73" s="80">
        <f t="shared" si="38"/>
        <v>96</v>
      </c>
      <c r="N73" s="78">
        <f t="shared" si="39"/>
        <v>7200</v>
      </c>
      <c r="O73" s="78">
        <f t="shared" si="40"/>
        <v>7200</v>
      </c>
    </row>
    <row r="74" spans="1:15" x14ac:dyDescent="0.25">
      <c r="A74" s="31"/>
      <c r="B74" s="4" t="s">
        <v>2369</v>
      </c>
      <c r="C74" s="5">
        <v>1</v>
      </c>
      <c r="D74" s="7">
        <v>0</v>
      </c>
      <c r="E74" s="3">
        <f t="shared" si="41"/>
        <v>1</v>
      </c>
      <c r="F74" s="3" t="s">
        <v>867</v>
      </c>
      <c r="G74" s="77"/>
      <c r="H74" s="5" t="s">
        <v>1</v>
      </c>
      <c r="I74" s="78">
        <f t="shared" si="36"/>
        <v>0</v>
      </c>
      <c r="J74" s="110">
        <f t="shared" si="37"/>
        <v>75</v>
      </c>
      <c r="K74" s="4">
        <v>112</v>
      </c>
      <c r="L74" s="5" t="s">
        <v>1</v>
      </c>
      <c r="M74" s="80">
        <f t="shared" si="38"/>
        <v>112</v>
      </c>
      <c r="N74" s="78">
        <f t="shared" si="39"/>
        <v>8400</v>
      </c>
      <c r="O74" s="78">
        <f t="shared" si="40"/>
        <v>8400</v>
      </c>
    </row>
    <row r="75" spans="1:15" x14ac:dyDescent="0.25">
      <c r="A75" s="31"/>
      <c r="B75" s="4" t="s">
        <v>2368</v>
      </c>
      <c r="C75" s="5">
        <v>1</v>
      </c>
      <c r="D75" s="7">
        <v>0</v>
      </c>
      <c r="E75" s="3">
        <f t="shared" si="41"/>
        <v>1</v>
      </c>
      <c r="F75" s="3" t="s">
        <v>867</v>
      </c>
      <c r="G75" s="77"/>
      <c r="H75" s="5" t="s">
        <v>1</v>
      </c>
      <c r="I75" s="78">
        <f t="shared" si="36"/>
        <v>0</v>
      </c>
      <c r="J75" s="110">
        <f t="shared" si="37"/>
        <v>75</v>
      </c>
      <c r="K75" s="4">
        <v>128</v>
      </c>
      <c r="L75" s="5" t="s">
        <v>1</v>
      </c>
      <c r="M75" s="80">
        <f t="shared" si="38"/>
        <v>128</v>
      </c>
      <c r="N75" s="78">
        <f t="shared" si="39"/>
        <v>9600</v>
      </c>
      <c r="O75" s="78">
        <f t="shared" si="40"/>
        <v>9600</v>
      </c>
    </row>
    <row r="76" spans="1:15" x14ac:dyDescent="0.25">
      <c r="A76" s="31"/>
      <c r="B76" s="4" t="s">
        <v>2367</v>
      </c>
      <c r="C76" s="5">
        <v>1</v>
      </c>
      <c r="D76" s="7">
        <v>0</v>
      </c>
      <c r="E76" s="3">
        <f t="shared" si="41"/>
        <v>1</v>
      </c>
      <c r="F76" s="3" t="s">
        <v>867</v>
      </c>
      <c r="G76" s="77"/>
      <c r="H76" s="5" t="s">
        <v>1</v>
      </c>
      <c r="I76" s="78">
        <f t="shared" si="36"/>
        <v>0</v>
      </c>
      <c r="J76" s="110">
        <f t="shared" si="37"/>
        <v>75</v>
      </c>
      <c r="K76" s="4">
        <v>144</v>
      </c>
      <c r="L76" s="5" t="s">
        <v>1</v>
      </c>
      <c r="M76" s="80">
        <f t="shared" si="38"/>
        <v>144</v>
      </c>
      <c r="N76" s="78">
        <f t="shared" si="39"/>
        <v>10800</v>
      </c>
      <c r="O76" s="78">
        <f t="shared" si="40"/>
        <v>10800</v>
      </c>
    </row>
    <row r="77" spans="1:15" x14ac:dyDescent="0.25">
      <c r="A77" s="31"/>
      <c r="B77" s="4" t="s">
        <v>2366</v>
      </c>
      <c r="C77" s="5">
        <v>1</v>
      </c>
      <c r="D77" s="7">
        <v>0</v>
      </c>
      <c r="E77" s="3">
        <f t="shared" si="41"/>
        <v>1</v>
      </c>
      <c r="F77" s="3" t="s">
        <v>867</v>
      </c>
      <c r="G77" s="77"/>
      <c r="H77" s="5" t="s">
        <v>1</v>
      </c>
      <c r="I77" s="78">
        <f t="shared" si="36"/>
        <v>0</v>
      </c>
      <c r="J77" s="110">
        <f t="shared" si="37"/>
        <v>75</v>
      </c>
      <c r="K77" s="4">
        <v>160</v>
      </c>
      <c r="L77" s="5" t="s">
        <v>1</v>
      </c>
      <c r="M77" s="80">
        <f t="shared" si="38"/>
        <v>160</v>
      </c>
      <c r="N77" s="78">
        <f t="shared" si="39"/>
        <v>12000</v>
      </c>
      <c r="O77" s="78">
        <f t="shared" si="40"/>
        <v>12000</v>
      </c>
    </row>
    <row r="78" spans="1:15" x14ac:dyDescent="0.25">
      <c r="A78" s="31"/>
      <c r="B78" s="4" t="s">
        <v>2365</v>
      </c>
      <c r="C78" s="5">
        <v>1</v>
      </c>
      <c r="D78" s="7">
        <v>0</v>
      </c>
      <c r="E78" s="3">
        <f t="shared" si="41"/>
        <v>1</v>
      </c>
      <c r="F78" s="3" t="s">
        <v>867</v>
      </c>
      <c r="G78" s="77"/>
      <c r="H78" s="5" t="s">
        <v>1</v>
      </c>
      <c r="I78" s="78">
        <f t="shared" si="36"/>
        <v>0</v>
      </c>
      <c r="J78" s="110">
        <f t="shared" si="37"/>
        <v>75</v>
      </c>
      <c r="K78" s="4">
        <v>176</v>
      </c>
      <c r="L78" s="5" t="s">
        <v>1</v>
      </c>
      <c r="M78" s="80">
        <f t="shared" si="38"/>
        <v>176</v>
      </c>
      <c r="N78" s="78">
        <f t="shared" si="39"/>
        <v>13200</v>
      </c>
      <c r="O78" s="78">
        <f t="shared" si="40"/>
        <v>13200</v>
      </c>
    </row>
    <row r="79" spans="1:15" x14ac:dyDescent="0.25">
      <c r="A79" s="31"/>
      <c r="B79" s="4" t="s">
        <v>2364</v>
      </c>
      <c r="C79" s="5">
        <v>1</v>
      </c>
      <c r="D79" s="7">
        <v>0</v>
      </c>
      <c r="E79" s="3">
        <f t="shared" si="41"/>
        <v>1</v>
      </c>
      <c r="F79" s="3" t="s">
        <v>867</v>
      </c>
      <c r="G79" s="77"/>
      <c r="H79" s="5" t="s">
        <v>1</v>
      </c>
      <c r="I79" s="78">
        <f t="shared" si="36"/>
        <v>0</v>
      </c>
      <c r="J79" s="110">
        <f t="shared" si="37"/>
        <v>75</v>
      </c>
      <c r="K79" s="4">
        <v>192</v>
      </c>
      <c r="L79" s="5" t="s">
        <v>1</v>
      </c>
      <c r="M79" s="80">
        <f t="shared" si="38"/>
        <v>192</v>
      </c>
      <c r="N79" s="78">
        <f t="shared" si="39"/>
        <v>14400</v>
      </c>
      <c r="O79" s="78">
        <f t="shared" si="40"/>
        <v>14400</v>
      </c>
    </row>
    <row r="80" spans="1:15" x14ac:dyDescent="0.25">
      <c r="A80" s="31"/>
      <c r="B80" s="4" t="s">
        <v>2363</v>
      </c>
      <c r="C80" s="5">
        <v>1</v>
      </c>
      <c r="D80" s="7">
        <v>0</v>
      </c>
      <c r="E80" s="3">
        <f t="shared" si="41"/>
        <v>1</v>
      </c>
      <c r="F80" s="3" t="s">
        <v>867</v>
      </c>
      <c r="G80" s="77"/>
      <c r="H80" s="5" t="s">
        <v>1</v>
      </c>
      <c r="I80" s="78">
        <f t="shared" si="36"/>
        <v>0</v>
      </c>
      <c r="J80" s="110">
        <f t="shared" si="37"/>
        <v>75</v>
      </c>
      <c r="K80" s="4">
        <v>208</v>
      </c>
      <c r="L80" s="5" t="s">
        <v>1</v>
      </c>
      <c r="M80" s="80">
        <f t="shared" si="38"/>
        <v>208</v>
      </c>
      <c r="N80" s="78">
        <f t="shared" si="39"/>
        <v>15600</v>
      </c>
      <c r="O80" s="78">
        <f t="shared" si="40"/>
        <v>15600</v>
      </c>
    </row>
    <row r="81" spans="1:15" x14ac:dyDescent="0.25">
      <c r="A81" s="31"/>
      <c r="B81" s="4" t="s">
        <v>2362</v>
      </c>
      <c r="C81" s="5">
        <v>1</v>
      </c>
      <c r="D81" s="7">
        <v>0</v>
      </c>
      <c r="E81" s="3">
        <f t="shared" si="41"/>
        <v>1</v>
      </c>
      <c r="F81" s="3" t="s">
        <v>867</v>
      </c>
      <c r="G81" s="77"/>
      <c r="H81" s="5" t="s">
        <v>1</v>
      </c>
      <c r="I81" s="78">
        <f t="shared" si="36"/>
        <v>0</v>
      </c>
      <c r="J81" s="110">
        <f t="shared" si="37"/>
        <v>75</v>
      </c>
      <c r="K81" s="4">
        <v>224</v>
      </c>
      <c r="L81" s="5" t="s">
        <v>1</v>
      </c>
      <c r="M81" s="80">
        <f t="shared" si="38"/>
        <v>224</v>
      </c>
      <c r="N81" s="78">
        <f t="shared" si="39"/>
        <v>16800</v>
      </c>
      <c r="O81" s="78">
        <f t="shared" si="40"/>
        <v>16800</v>
      </c>
    </row>
    <row r="82" spans="1:15" x14ac:dyDescent="0.25">
      <c r="A82" s="31"/>
      <c r="B82" s="4" t="s">
        <v>2361</v>
      </c>
      <c r="C82" s="5">
        <v>1</v>
      </c>
      <c r="D82" s="7">
        <v>0</v>
      </c>
      <c r="E82" s="3">
        <f t="shared" si="41"/>
        <v>1</v>
      </c>
      <c r="F82" s="3" t="s">
        <v>867</v>
      </c>
      <c r="G82" s="77"/>
      <c r="H82" s="5" t="s">
        <v>1</v>
      </c>
      <c r="I82" s="78">
        <f t="shared" si="36"/>
        <v>0</v>
      </c>
      <c r="J82" s="110">
        <f t="shared" si="37"/>
        <v>75</v>
      </c>
      <c r="K82" s="4">
        <v>240</v>
      </c>
      <c r="L82" s="5" t="s">
        <v>1</v>
      </c>
      <c r="M82" s="80">
        <f t="shared" si="38"/>
        <v>240</v>
      </c>
      <c r="N82" s="78">
        <f t="shared" si="39"/>
        <v>18000</v>
      </c>
      <c r="O82" s="78">
        <f t="shared" si="40"/>
        <v>18000</v>
      </c>
    </row>
    <row r="83" spans="1:15" x14ac:dyDescent="0.25">
      <c r="A83" s="60"/>
      <c r="B83" s="8" t="s">
        <v>2360</v>
      </c>
      <c r="C83" s="5">
        <v>1</v>
      </c>
      <c r="D83" s="7">
        <v>0</v>
      </c>
      <c r="E83" s="3">
        <f t="shared" si="41"/>
        <v>1</v>
      </c>
      <c r="F83" s="3" t="s">
        <v>867</v>
      </c>
      <c r="G83" s="77"/>
      <c r="H83" s="5" t="s">
        <v>1</v>
      </c>
      <c r="I83" s="78">
        <f t="shared" si="36"/>
        <v>0</v>
      </c>
      <c r="J83" s="110">
        <f t="shared" si="37"/>
        <v>75</v>
      </c>
      <c r="K83" s="4">
        <v>256</v>
      </c>
      <c r="L83" s="5" t="s">
        <v>1</v>
      </c>
      <c r="M83" s="80">
        <f t="shared" si="38"/>
        <v>256</v>
      </c>
      <c r="N83" s="78">
        <f t="shared" si="39"/>
        <v>19200</v>
      </c>
      <c r="O83" s="78">
        <f t="shared" si="40"/>
        <v>19200</v>
      </c>
    </row>
    <row r="84" spans="1:15" x14ac:dyDescent="0.25">
      <c r="A84" s="31"/>
      <c r="B84" s="4" t="s">
        <v>2359</v>
      </c>
      <c r="C84" s="5">
        <v>1</v>
      </c>
      <c r="D84" s="7">
        <v>0</v>
      </c>
      <c r="E84" s="3">
        <f t="shared" si="41"/>
        <v>1</v>
      </c>
      <c r="F84" s="3" t="s">
        <v>867</v>
      </c>
      <c r="G84" s="77"/>
      <c r="H84" s="5" t="s">
        <v>1</v>
      </c>
      <c r="I84" s="78">
        <f t="shared" si="36"/>
        <v>0</v>
      </c>
      <c r="J84" s="110">
        <f t="shared" si="37"/>
        <v>75</v>
      </c>
      <c r="K84" s="4">
        <v>272</v>
      </c>
      <c r="L84" s="5" t="s">
        <v>1</v>
      </c>
      <c r="M84" s="80">
        <f t="shared" si="38"/>
        <v>272</v>
      </c>
      <c r="N84" s="78">
        <f t="shared" si="39"/>
        <v>20400</v>
      </c>
      <c r="O84" s="78">
        <f t="shared" si="40"/>
        <v>20400</v>
      </c>
    </row>
    <row r="85" spans="1:15" x14ac:dyDescent="0.25">
      <c r="A85" s="31"/>
      <c r="B85" s="4" t="s">
        <v>2358</v>
      </c>
      <c r="C85" s="5">
        <v>1</v>
      </c>
      <c r="D85" s="7">
        <v>0</v>
      </c>
      <c r="E85" s="3">
        <f t="shared" si="41"/>
        <v>1</v>
      </c>
      <c r="F85" s="3" t="s">
        <v>867</v>
      </c>
      <c r="G85" s="77"/>
      <c r="H85" s="5" t="s">
        <v>1</v>
      </c>
      <c r="I85" s="78">
        <f t="shared" si="36"/>
        <v>0</v>
      </c>
      <c r="J85" s="110">
        <f t="shared" si="37"/>
        <v>75</v>
      </c>
      <c r="K85" s="4">
        <v>288</v>
      </c>
      <c r="L85" s="5" t="s">
        <v>1</v>
      </c>
      <c r="M85" s="80">
        <f t="shared" si="38"/>
        <v>288</v>
      </c>
      <c r="N85" s="78">
        <f t="shared" si="39"/>
        <v>21600</v>
      </c>
      <c r="O85" s="78">
        <f t="shared" si="40"/>
        <v>21600</v>
      </c>
    </row>
    <row r="86" spans="1:15" x14ac:dyDescent="0.25">
      <c r="A86" s="31"/>
      <c r="B86" s="4" t="s">
        <v>2357</v>
      </c>
      <c r="C86" s="5">
        <v>1</v>
      </c>
      <c r="D86" s="7">
        <v>0</v>
      </c>
      <c r="E86" s="3">
        <f t="shared" si="41"/>
        <v>1</v>
      </c>
      <c r="F86" s="3" t="s">
        <v>867</v>
      </c>
      <c r="G86" s="77"/>
      <c r="H86" s="5" t="s">
        <v>1</v>
      </c>
      <c r="I86" s="78">
        <f t="shared" si="36"/>
        <v>0</v>
      </c>
      <c r="J86" s="110">
        <f t="shared" si="37"/>
        <v>75</v>
      </c>
      <c r="K86" s="4">
        <v>304</v>
      </c>
      <c r="L86" s="5" t="s">
        <v>1</v>
      </c>
      <c r="M86" s="80">
        <f t="shared" si="38"/>
        <v>304</v>
      </c>
      <c r="N86" s="78">
        <f t="shared" si="39"/>
        <v>22800</v>
      </c>
      <c r="O86" s="78">
        <f t="shared" si="40"/>
        <v>22800</v>
      </c>
    </row>
    <row r="87" spans="1:15" x14ac:dyDescent="0.25">
      <c r="A87" s="31"/>
      <c r="B87" s="4" t="s">
        <v>2356</v>
      </c>
      <c r="C87" s="5">
        <v>1</v>
      </c>
      <c r="D87" s="7">
        <v>0</v>
      </c>
      <c r="E87" s="3">
        <f t="shared" si="41"/>
        <v>1</v>
      </c>
      <c r="F87" s="3" t="s">
        <v>867</v>
      </c>
      <c r="G87" s="77"/>
      <c r="H87" s="5" t="s">
        <v>1</v>
      </c>
      <c r="I87" s="78">
        <f t="shared" si="36"/>
        <v>0</v>
      </c>
      <c r="J87" s="110">
        <f t="shared" si="37"/>
        <v>75</v>
      </c>
      <c r="K87" s="4">
        <v>320</v>
      </c>
      <c r="L87" s="5" t="s">
        <v>1</v>
      </c>
      <c r="M87" s="80">
        <f t="shared" si="38"/>
        <v>320</v>
      </c>
      <c r="N87" s="78">
        <f t="shared" si="39"/>
        <v>24000</v>
      </c>
      <c r="O87" s="78">
        <f t="shared" si="40"/>
        <v>24000</v>
      </c>
    </row>
    <row r="88" spans="1:15" ht="15.75" thickBot="1" x14ac:dyDescent="0.3">
      <c r="A88" s="31"/>
      <c r="B88" s="258"/>
      <c r="C88" s="259">
        <v>1</v>
      </c>
      <c r="D88" s="259">
        <v>0</v>
      </c>
      <c r="E88" s="259">
        <f t="shared" si="41"/>
        <v>1</v>
      </c>
      <c r="F88" s="259" t="s">
        <v>867</v>
      </c>
      <c r="G88" s="259"/>
      <c r="H88" s="259" t="s">
        <v>1</v>
      </c>
      <c r="I88" s="259">
        <f t="shared" si="36"/>
        <v>0</v>
      </c>
      <c r="J88" s="259">
        <f t="shared" si="37"/>
        <v>75</v>
      </c>
      <c r="K88" s="259"/>
      <c r="L88" s="259" t="s">
        <v>1</v>
      </c>
      <c r="M88" s="259">
        <f t="shared" si="38"/>
        <v>0</v>
      </c>
      <c r="N88" s="259">
        <f t="shared" si="39"/>
        <v>0</v>
      </c>
      <c r="O88" s="259">
        <f t="shared" si="40"/>
        <v>0</v>
      </c>
    </row>
    <row r="89" spans="1:15" ht="15.75" thickBot="1" x14ac:dyDescent="0.3">
      <c r="A89" s="60"/>
      <c r="B89" s="145" t="s">
        <v>2355</v>
      </c>
      <c r="C89" s="5"/>
      <c r="D89" s="7"/>
      <c r="E89" s="3"/>
      <c r="F89" s="3"/>
      <c r="G89" s="9"/>
      <c r="H89" s="5"/>
      <c r="I89" s="9"/>
      <c r="J89" s="9"/>
      <c r="K89" s="15"/>
      <c r="L89" s="5"/>
      <c r="M89" s="15"/>
      <c r="N89" s="4"/>
      <c r="O89" s="4"/>
    </row>
    <row r="90" spans="1:15" x14ac:dyDescent="0.25">
      <c r="A90" s="31">
        <v>1</v>
      </c>
      <c r="B90" s="4" t="s">
        <v>2354</v>
      </c>
      <c r="C90" s="5">
        <v>1</v>
      </c>
      <c r="D90" s="7">
        <v>0</v>
      </c>
      <c r="E90" s="3">
        <f t="shared" ref="E90:E110" si="42">C90+(C90*D90)</f>
        <v>1</v>
      </c>
      <c r="F90" s="3" t="s">
        <v>867</v>
      </c>
      <c r="G90" s="77"/>
      <c r="H90" s="5" t="s">
        <v>1</v>
      </c>
      <c r="I90" s="78">
        <f t="shared" ref="I90:I110" si="43">IF(H90="C",(G90/100)*E90,IF(H90="M",(G90/1000)*E90,G90*E90))</f>
        <v>0</v>
      </c>
      <c r="J90" s="110">
        <f t="shared" ref="J90:J110" si="44">$O$4</f>
        <v>75</v>
      </c>
      <c r="K90" s="4">
        <v>18</v>
      </c>
      <c r="L90" s="5" t="s">
        <v>1</v>
      </c>
      <c r="M90" s="80">
        <f t="shared" ref="M90:M110" si="45">IF(L90="C",(K90/100)*E90,IF(L90="M",(K90/1000)*E90,K90*E90))</f>
        <v>18</v>
      </c>
      <c r="N90" s="78">
        <f t="shared" ref="N90:N110" si="46">M90*J90</f>
        <v>1350</v>
      </c>
      <c r="O90" s="78">
        <f t="shared" ref="O90:O110" si="47">N90+I90</f>
        <v>1350</v>
      </c>
    </row>
    <row r="91" spans="1:15" x14ac:dyDescent="0.25">
      <c r="A91" s="31"/>
      <c r="B91" s="4" t="s">
        <v>2353</v>
      </c>
      <c r="C91" s="5">
        <v>1</v>
      </c>
      <c r="D91" s="7">
        <v>0</v>
      </c>
      <c r="E91" s="3">
        <f t="shared" si="42"/>
        <v>1</v>
      </c>
      <c r="F91" s="3" t="s">
        <v>867</v>
      </c>
      <c r="G91" s="77"/>
      <c r="H91" s="5" t="s">
        <v>1</v>
      </c>
      <c r="I91" s="78">
        <f t="shared" si="43"/>
        <v>0</v>
      </c>
      <c r="J91" s="110">
        <f t="shared" si="44"/>
        <v>75</v>
      </c>
      <c r="K91" s="4">
        <v>36</v>
      </c>
      <c r="L91" s="5" t="s">
        <v>1</v>
      </c>
      <c r="M91" s="80">
        <f t="shared" si="45"/>
        <v>36</v>
      </c>
      <c r="N91" s="78">
        <f t="shared" si="46"/>
        <v>2700</v>
      </c>
      <c r="O91" s="78">
        <f t="shared" si="47"/>
        <v>2700</v>
      </c>
    </row>
    <row r="92" spans="1:15" x14ac:dyDescent="0.25">
      <c r="A92" s="31"/>
      <c r="B92" s="4" t="s">
        <v>2352</v>
      </c>
      <c r="C92" s="5">
        <v>1</v>
      </c>
      <c r="D92" s="7">
        <v>0</v>
      </c>
      <c r="E92" s="3">
        <f t="shared" si="42"/>
        <v>1</v>
      </c>
      <c r="F92" s="3" t="s">
        <v>867</v>
      </c>
      <c r="G92" s="77"/>
      <c r="H92" s="5" t="s">
        <v>1</v>
      </c>
      <c r="I92" s="78">
        <f t="shared" si="43"/>
        <v>0</v>
      </c>
      <c r="J92" s="110">
        <f t="shared" si="44"/>
        <v>75</v>
      </c>
      <c r="K92" s="4">
        <v>54</v>
      </c>
      <c r="L92" s="5" t="s">
        <v>1</v>
      </c>
      <c r="M92" s="80">
        <f t="shared" si="45"/>
        <v>54</v>
      </c>
      <c r="N92" s="78">
        <f t="shared" si="46"/>
        <v>4050</v>
      </c>
      <c r="O92" s="78">
        <f t="shared" si="47"/>
        <v>4050</v>
      </c>
    </row>
    <row r="93" spans="1:15" ht="15" customHeight="1" x14ac:dyDescent="0.25">
      <c r="A93" s="60"/>
      <c r="B93" s="8" t="s">
        <v>2351</v>
      </c>
      <c r="C93" s="5">
        <v>1</v>
      </c>
      <c r="D93" s="7">
        <v>0</v>
      </c>
      <c r="E93" s="3">
        <f t="shared" si="42"/>
        <v>1</v>
      </c>
      <c r="F93" s="3" t="s">
        <v>867</v>
      </c>
      <c r="G93" s="77"/>
      <c r="H93" s="5" t="s">
        <v>1</v>
      </c>
      <c r="I93" s="78">
        <f t="shared" si="43"/>
        <v>0</v>
      </c>
      <c r="J93" s="110">
        <f t="shared" si="44"/>
        <v>75</v>
      </c>
      <c r="K93" s="4">
        <v>72</v>
      </c>
      <c r="L93" s="5" t="s">
        <v>1</v>
      </c>
      <c r="M93" s="80">
        <f t="shared" si="45"/>
        <v>72</v>
      </c>
      <c r="N93" s="78">
        <f t="shared" si="46"/>
        <v>5400</v>
      </c>
      <c r="O93" s="78">
        <f t="shared" si="47"/>
        <v>5400</v>
      </c>
    </row>
    <row r="94" spans="1:15" x14ac:dyDescent="0.25">
      <c r="A94" s="31"/>
      <c r="B94" s="4" t="s">
        <v>2350</v>
      </c>
      <c r="C94" s="5">
        <v>1</v>
      </c>
      <c r="D94" s="7">
        <v>0</v>
      </c>
      <c r="E94" s="3">
        <f t="shared" si="42"/>
        <v>1</v>
      </c>
      <c r="F94" s="3" t="s">
        <v>867</v>
      </c>
      <c r="G94" s="77"/>
      <c r="H94" s="5" t="s">
        <v>1</v>
      </c>
      <c r="I94" s="78">
        <f t="shared" si="43"/>
        <v>0</v>
      </c>
      <c r="J94" s="110">
        <f t="shared" si="44"/>
        <v>75</v>
      </c>
      <c r="K94" s="4">
        <v>90</v>
      </c>
      <c r="L94" s="5" t="s">
        <v>1</v>
      </c>
      <c r="M94" s="80">
        <f t="shared" si="45"/>
        <v>90</v>
      </c>
      <c r="N94" s="78">
        <f t="shared" si="46"/>
        <v>6750</v>
      </c>
      <c r="O94" s="78">
        <f t="shared" si="47"/>
        <v>6750</v>
      </c>
    </row>
    <row r="95" spans="1:15" x14ac:dyDescent="0.25">
      <c r="A95" s="31"/>
      <c r="B95" s="4" t="s">
        <v>2349</v>
      </c>
      <c r="C95" s="5">
        <v>1</v>
      </c>
      <c r="D95" s="7">
        <v>0</v>
      </c>
      <c r="E95" s="3">
        <f t="shared" si="42"/>
        <v>1</v>
      </c>
      <c r="F95" s="3" t="s">
        <v>867</v>
      </c>
      <c r="G95" s="77"/>
      <c r="H95" s="5" t="s">
        <v>1</v>
      </c>
      <c r="I95" s="78">
        <f t="shared" si="43"/>
        <v>0</v>
      </c>
      <c r="J95" s="110">
        <f t="shared" si="44"/>
        <v>75</v>
      </c>
      <c r="K95" s="4">
        <v>108</v>
      </c>
      <c r="L95" s="5" t="s">
        <v>1</v>
      </c>
      <c r="M95" s="80">
        <f t="shared" si="45"/>
        <v>108</v>
      </c>
      <c r="N95" s="78">
        <f t="shared" si="46"/>
        <v>8100</v>
      </c>
      <c r="O95" s="78">
        <f t="shared" si="47"/>
        <v>8100</v>
      </c>
    </row>
    <row r="96" spans="1:15" x14ac:dyDescent="0.25">
      <c r="A96" s="31"/>
      <c r="B96" s="4" t="s">
        <v>2348</v>
      </c>
      <c r="C96" s="5">
        <v>1</v>
      </c>
      <c r="D96" s="7">
        <v>0</v>
      </c>
      <c r="E96" s="3">
        <f t="shared" si="42"/>
        <v>1</v>
      </c>
      <c r="F96" s="3" t="s">
        <v>867</v>
      </c>
      <c r="G96" s="77"/>
      <c r="H96" s="5" t="s">
        <v>1</v>
      </c>
      <c r="I96" s="78">
        <f t="shared" si="43"/>
        <v>0</v>
      </c>
      <c r="J96" s="110">
        <f t="shared" si="44"/>
        <v>75</v>
      </c>
      <c r="K96" s="4">
        <v>126</v>
      </c>
      <c r="L96" s="5" t="s">
        <v>1</v>
      </c>
      <c r="M96" s="80">
        <f t="shared" si="45"/>
        <v>126</v>
      </c>
      <c r="N96" s="78">
        <f t="shared" si="46"/>
        <v>9450</v>
      </c>
      <c r="O96" s="78">
        <f t="shared" si="47"/>
        <v>9450</v>
      </c>
    </row>
    <row r="97" spans="1:15" x14ac:dyDescent="0.25">
      <c r="A97" s="31"/>
      <c r="B97" s="4" t="s">
        <v>2347</v>
      </c>
      <c r="C97" s="5">
        <v>1</v>
      </c>
      <c r="D97" s="7">
        <v>0</v>
      </c>
      <c r="E97" s="3">
        <f t="shared" si="42"/>
        <v>1</v>
      </c>
      <c r="F97" s="3" t="s">
        <v>867</v>
      </c>
      <c r="G97" s="77"/>
      <c r="H97" s="5" t="s">
        <v>1</v>
      </c>
      <c r="I97" s="78">
        <f t="shared" si="43"/>
        <v>0</v>
      </c>
      <c r="J97" s="110">
        <f t="shared" si="44"/>
        <v>75</v>
      </c>
      <c r="K97" s="4">
        <v>144</v>
      </c>
      <c r="L97" s="5" t="s">
        <v>1</v>
      </c>
      <c r="M97" s="80">
        <f t="shared" si="45"/>
        <v>144</v>
      </c>
      <c r="N97" s="78">
        <f t="shared" si="46"/>
        <v>10800</v>
      </c>
      <c r="O97" s="78">
        <f t="shared" si="47"/>
        <v>10800</v>
      </c>
    </row>
    <row r="98" spans="1:15" x14ac:dyDescent="0.25">
      <c r="A98" s="31"/>
      <c r="B98" s="4" t="s">
        <v>2346</v>
      </c>
      <c r="C98" s="5">
        <v>1</v>
      </c>
      <c r="D98" s="7">
        <v>0</v>
      </c>
      <c r="E98" s="3">
        <f t="shared" si="42"/>
        <v>1</v>
      </c>
      <c r="F98" s="3" t="s">
        <v>867</v>
      </c>
      <c r="G98" s="77"/>
      <c r="H98" s="5" t="s">
        <v>1</v>
      </c>
      <c r="I98" s="78">
        <f t="shared" si="43"/>
        <v>0</v>
      </c>
      <c r="J98" s="110">
        <f t="shared" si="44"/>
        <v>75</v>
      </c>
      <c r="K98" s="4">
        <v>162</v>
      </c>
      <c r="L98" s="5" t="s">
        <v>1</v>
      </c>
      <c r="M98" s="80">
        <f t="shared" si="45"/>
        <v>162</v>
      </c>
      <c r="N98" s="78">
        <f t="shared" si="46"/>
        <v>12150</v>
      </c>
      <c r="O98" s="78">
        <f t="shared" si="47"/>
        <v>12150</v>
      </c>
    </row>
    <row r="99" spans="1:15" x14ac:dyDescent="0.25">
      <c r="A99" s="31"/>
      <c r="B99" s="4" t="s">
        <v>2345</v>
      </c>
      <c r="C99" s="5">
        <v>1</v>
      </c>
      <c r="D99" s="7">
        <v>0</v>
      </c>
      <c r="E99" s="3">
        <f t="shared" si="42"/>
        <v>1</v>
      </c>
      <c r="F99" s="3" t="s">
        <v>867</v>
      </c>
      <c r="G99" s="77"/>
      <c r="H99" s="5" t="s">
        <v>1</v>
      </c>
      <c r="I99" s="78">
        <f t="shared" si="43"/>
        <v>0</v>
      </c>
      <c r="J99" s="110">
        <f t="shared" si="44"/>
        <v>75</v>
      </c>
      <c r="K99" s="4">
        <v>180</v>
      </c>
      <c r="L99" s="5" t="s">
        <v>1</v>
      </c>
      <c r="M99" s="80">
        <f t="shared" si="45"/>
        <v>180</v>
      </c>
      <c r="N99" s="78">
        <f t="shared" si="46"/>
        <v>13500</v>
      </c>
      <c r="O99" s="78">
        <f t="shared" si="47"/>
        <v>13500</v>
      </c>
    </row>
    <row r="100" spans="1:15" x14ac:dyDescent="0.25">
      <c r="A100" s="31"/>
      <c r="B100" s="4" t="s">
        <v>2344</v>
      </c>
      <c r="C100" s="5">
        <v>1</v>
      </c>
      <c r="D100" s="7">
        <v>0</v>
      </c>
      <c r="E100" s="3">
        <f t="shared" si="42"/>
        <v>1</v>
      </c>
      <c r="F100" s="3" t="s">
        <v>867</v>
      </c>
      <c r="G100" s="77"/>
      <c r="H100" s="5" t="s">
        <v>1</v>
      </c>
      <c r="I100" s="78">
        <f t="shared" si="43"/>
        <v>0</v>
      </c>
      <c r="J100" s="110">
        <f t="shared" si="44"/>
        <v>75</v>
      </c>
      <c r="K100" s="4">
        <v>198</v>
      </c>
      <c r="L100" s="5" t="s">
        <v>1</v>
      </c>
      <c r="M100" s="80">
        <f t="shared" si="45"/>
        <v>198</v>
      </c>
      <c r="N100" s="78">
        <f t="shared" si="46"/>
        <v>14850</v>
      </c>
      <c r="O100" s="78">
        <f t="shared" si="47"/>
        <v>14850</v>
      </c>
    </row>
    <row r="101" spans="1:15" x14ac:dyDescent="0.25">
      <c r="A101" s="31"/>
      <c r="B101" s="4" t="s">
        <v>2343</v>
      </c>
      <c r="C101" s="5">
        <v>1</v>
      </c>
      <c r="D101" s="7">
        <v>0</v>
      </c>
      <c r="E101" s="3">
        <f t="shared" si="42"/>
        <v>1</v>
      </c>
      <c r="F101" s="3" t="s">
        <v>867</v>
      </c>
      <c r="G101" s="77"/>
      <c r="H101" s="5" t="s">
        <v>1</v>
      </c>
      <c r="I101" s="78">
        <f t="shared" si="43"/>
        <v>0</v>
      </c>
      <c r="J101" s="110">
        <f t="shared" si="44"/>
        <v>75</v>
      </c>
      <c r="K101" s="4">
        <v>216</v>
      </c>
      <c r="L101" s="5" t="s">
        <v>1</v>
      </c>
      <c r="M101" s="80">
        <f t="shared" si="45"/>
        <v>216</v>
      </c>
      <c r="N101" s="78">
        <f t="shared" si="46"/>
        <v>16200</v>
      </c>
      <c r="O101" s="78">
        <f t="shared" si="47"/>
        <v>16200</v>
      </c>
    </row>
    <row r="102" spans="1:15" x14ac:dyDescent="0.25">
      <c r="A102" s="31"/>
      <c r="B102" s="4" t="s">
        <v>2342</v>
      </c>
      <c r="C102" s="5">
        <v>1</v>
      </c>
      <c r="D102" s="7">
        <v>0</v>
      </c>
      <c r="E102" s="3">
        <f t="shared" si="42"/>
        <v>1</v>
      </c>
      <c r="F102" s="3" t="s">
        <v>867</v>
      </c>
      <c r="G102" s="77"/>
      <c r="H102" s="5" t="s">
        <v>1</v>
      </c>
      <c r="I102" s="78">
        <f t="shared" si="43"/>
        <v>0</v>
      </c>
      <c r="J102" s="110">
        <f t="shared" si="44"/>
        <v>75</v>
      </c>
      <c r="K102" s="4">
        <v>234</v>
      </c>
      <c r="L102" s="5" t="s">
        <v>1</v>
      </c>
      <c r="M102" s="80">
        <f t="shared" si="45"/>
        <v>234</v>
      </c>
      <c r="N102" s="78">
        <f t="shared" si="46"/>
        <v>17550</v>
      </c>
      <c r="O102" s="78">
        <f t="shared" si="47"/>
        <v>17550</v>
      </c>
    </row>
    <row r="103" spans="1:15" x14ac:dyDescent="0.25">
      <c r="A103" s="31"/>
      <c r="B103" s="4" t="s">
        <v>2341</v>
      </c>
      <c r="C103" s="5">
        <v>1</v>
      </c>
      <c r="D103" s="7">
        <v>0</v>
      </c>
      <c r="E103" s="3">
        <f t="shared" si="42"/>
        <v>1</v>
      </c>
      <c r="F103" s="3" t="s">
        <v>867</v>
      </c>
      <c r="G103" s="77"/>
      <c r="H103" s="5" t="s">
        <v>1</v>
      </c>
      <c r="I103" s="78">
        <f t="shared" si="43"/>
        <v>0</v>
      </c>
      <c r="J103" s="110">
        <f t="shared" si="44"/>
        <v>75</v>
      </c>
      <c r="K103" s="4">
        <v>252</v>
      </c>
      <c r="L103" s="5" t="s">
        <v>1</v>
      </c>
      <c r="M103" s="80">
        <f t="shared" si="45"/>
        <v>252</v>
      </c>
      <c r="N103" s="78">
        <f t="shared" si="46"/>
        <v>18900</v>
      </c>
      <c r="O103" s="78">
        <f t="shared" si="47"/>
        <v>18900</v>
      </c>
    </row>
    <row r="104" spans="1:15" x14ac:dyDescent="0.25">
      <c r="A104" s="31"/>
      <c r="B104" s="4" t="s">
        <v>2340</v>
      </c>
      <c r="C104" s="5">
        <v>1</v>
      </c>
      <c r="D104" s="7">
        <v>0</v>
      </c>
      <c r="E104" s="3">
        <f t="shared" si="42"/>
        <v>1</v>
      </c>
      <c r="F104" s="3" t="s">
        <v>867</v>
      </c>
      <c r="G104" s="77"/>
      <c r="H104" s="5" t="s">
        <v>1</v>
      </c>
      <c r="I104" s="78">
        <f t="shared" si="43"/>
        <v>0</v>
      </c>
      <c r="J104" s="110">
        <f t="shared" si="44"/>
        <v>75</v>
      </c>
      <c r="K104" s="4">
        <v>270</v>
      </c>
      <c r="L104" s="5" t="s">
        <v>1</v>
      </c>
      <c r="M104" s="80">
        <f t="shared" si="45"/>
        <v>270</v>
      </c>
      <c r="N104" s="78">
        <f t="shared" si="46"/>
        <v>20250</v>
      </c>
      <c r="O104" s="78">
        <f t="shared" si="47"/>
        <v>20250</v>
      </c>
    </row>
    <row r="105" spans="1:15" x14ac:dyDescent="0.25">
      <c r="A105" s="31"/>
      <c r="B105" s="4" t="s">
        <v>2339</v>
      </c>
      <c r="C105" s="5">
        <v>1</v>
      </c>
      <c r="D105" s="7">
        <v>0</v>
      </c>
      <c r="E105" s="3">
        <f t="shared" si="42"/>
        <v>1</v>
      </c>
      <c r="F105" s="3" t="s">
        <v>867</v>
      </c>
      <c r="G105" s="77"/>
      <c r="H105" s="5" t="s">
        <v>1</v>
      </c>
      <c r="I105" s="78">
        <f t="shared" si="43"/>
        <v>0</v>
      </c>
      <c r="J105" s="110">
        <f t="shared" si="44"/>
        <v>75</v>
      </c>
      <c r="K105" s="4">
        <v>288</v>
      </c>
      <c r="L105" s="5" t="s">
        <v>1</v>
      </c>
      <c r="M105" s="80">
        <f t="shared" si="45"/>
        <v>288</v>
      </c>
      <c r="N105" s="78">
        <f t="shared" si="46"/>
        <v>21600</v>
      </c>
      <c r="O105" s="78">
        <f t="shared" si="47"/>
        <v>21600</v>
      </c>
    </row>
    <row r="106" spans="1:15" x14ac:dyDescent="0.25">
      <c r="A106" s="31"/>
      <c r="B106" s="4" t="s">
        <v>2338</v>
      </c>
      <c r="C106" s="5">
        <v>1</v>
      </c>
      <c r="D106" s="7">
        <v>0</v>
      </c>
      <c r="E106" s="3">
        <f t="shared" si="42"/>
        <v>1</v>
      </c>
      <c r="F106" s="3" t="s">
        <v>867</v>
      </c>
      <c r="G106" s="77"/>
      <c r="H106" s="5" t="s">
        <v>1</v>
      </c>
      <c r="I106" s="78">
        <f t="shared" si="43"/>
        <v>0</v>
      </c>
      <c r="J106" s="110">
        <f t="shared" si="44"/>
        <v>75</v>
      </c>
      <c r="K106" s="4">
        <v>306</v>
      </c>
      <c r="L106" s="5" t="s">
        <v>1</v>
      </c>
      <c r="M106" s="80">
        <f t="shared" si="45"/>
        <v>306</v>
      </c>
      <c r="N106" s="78">
        <f t="shared" si="46"/>
        <v>22950</v>
      </c>
      <c r="O106" s="78">
        <f t="shared" si="47"/>
        <v>22950</v>
      </c>
    </row>
    <row r="107" spans="1:15" x14ac:dyDescent="0.25">
      <c r="A107" s="31"/>
      <c r="B107" s="4" t="s">
        <v>2337</v>
      </c>
      <c r="C107" s="5">
        <v>1</v>
      </c>
      <c r="D107" s="7">
        <v>0</v>
      </c>
      <c r="E107" s="3">
        <f t="shared" si="42"/>
        <v>1</v>
      </c>
      <c r="F107" s="3" t="s">
        <v>867</v>
      </c>
      <c r="G107" s="77"/>
      <c r="H107" s="5" t="s">
        <v>1</v>
      </c>
      <c r="I107" s="78">
        <f t="shared" si="43"/>
        <v>0</v>
      </c>
      <c r="J107" s="110">
        <f t="shared" si="44"/>
        <v>75</v>
      </c>
      <c r="K107" s="4">
        <v>306</v>
      </c>
      <c r="L107" s="5" t="s">
        <v>1</v>
      </c>
      <c r="M107" s="80">
        <f t="shared" si="45"/>
        <v>306</v>
      </c>
      <c r="N107" s="78">
        <f t="shared" si="46"/>
        <v>22950</v>
      </c>
      <c r="O107" s="78">
        <f t="shared" si="47"/>
        <v>22950</v>
      </c>
    </row>
    <row r="108" spans="1:15" x14ac:dyDescent="0.25">
      <c r="A108" s="31"/>
      <c r="B108" s="4" t="s">
        <v>2336</v>
      </c>
      <c r="C108" s="5">
        <v>1</v>
      </c>
      <c r="D108" s="7">
        <v>0</v>
      </c>
      <c r="E108" s="3">
        <f t="shared" si="42"/>
        <v>1</v>
      </c>
      <c r="F108" s="3" t="s">
        <v>867</v>
      </c>
      <c r="G108" s="77"/>
      <c r="H108" s="5" t="s">
        <v>1</v>
      </c>
      <c r="I108" s="78">
        <f t="shared" si="43"/>
        <v>0</v>
      </c>
      <c r="J108" s="110">
        <f t="shared" si="44"/>
        <v>75</v>
      </c>
      <c r="K108" s="4">
        <v>342</v>
      </c>
      <c r="L108" s="5" t="s">
        <v>1</v>
      </c>
      <c r="M108" s="80">
        <f t="shared" si="45"/>
        <v>342</v>
      </c>
      <c r="N108" s="78">
        <f t="shared" si="46"/>
        <v>25650</v>
      </c>
      <c r="O108" s="78">
        <f t="shared" si="47"/>
        <v>25650</v>
      </c>
    </row>
    <row r="109" spans="1:15" x14ac:dyDescent="0.25">
      <c r="A109" s="31"/>
      <c r="B109" s="4" t="s">
        <v>2335</v>
      </c>
      <c r="C109" s="5">
        <v>1</v>
      </c>
      <c r="D109" s="7">
        <v>0</v>
      </c>
      <c r="E109" s="3">
        <f t="shared" si="42"/>
        <v>1</v>
      </c>
      <c r="F109" s="3" t="s">
        <v>867</v>
      </c>
      <c r="G109" s="77"/>
      <c r="H109" s="5" t="s">
        <v>1</v>
      </c>
      <c r="I109" s="78">
        <f t="shared" si="43"/>
        <v>0</v>
      </c>
      <c r="J109" s="110">
        <f t="shared" si="44"/>
        <v>75</v>
      </c>
      <c r="K109" s="4">
        <v>360</v>
      </c>
      <c r="L109" s="5" t="s">
        <v>1</v>
      </c>
      <c r="M109" s="80">
        <f t="shared" si="45"/>
        <v>360</v>
      </c>
      <c r="N109" s="78">
        <f t="shared" si="46"/>
        <v>27000</v>
      </c>
      <c r="O109" s="78">
        <f t="shared" si="47"/>
        <v>27000</v>
      </c>
    </row>
    <row r="110" spans="1:15" ht="15.75" thickBot="1" x14ac:dyDescent="0.3">
      <c r="A110" s="31"/>
      <c r="B110" s="258"/>
      <c r="C110" s="259">
        <v>1</v>
      </c>
      <c r="D110" s="259">
        <v>0</v>
      </c>
      <c r="E110" s="259">
        <f t="shared" si="42"/>
        <v>1</v>
      </c>
      <c r="F110" s="259" t="s">
        <v>867</v>
      </c>
      <c r="G110" s="259"/>
      <c r="H110" s="259" t="s">
        <v>1</v>
      </c>
      <c r="I110" s="259">
        <f t="shared" si="43"/>
        <v>0</v>
      </c>
      <c r="J110" s="259">
        <f t="shared" si="44"/>
        <v>75</v>
      </c>
      <c r="K110" s="259"/>
      <c r="L110" s="259" t="s">
        <v>1</v>
      </c>
      <c r="M110" s="259">
        <f t="shared" si="45"/>
        <v>0</v>
      </c>
      <c r="N110" s="259">
        <f t="shared" si="46"/>
        <v>0</v>
      </c>
      <c r="O110" s="259">
        <f t="shared" si="47"/>
        <v>0</v>
      </c>
    </row>
    <row r="111" spans="1:15" ht="15.75" thickBot="1" x14ac:dyDescent="0.3">
      <c r="A111" s="60"/>
      <c r="B111" s="145" t="s">
        <v>2334</v>
      </c>
      <c r="C111" s="5"/>
      <c r="D111" s="7"/>
      <c r="E111" s="3"/>
      <c r="F111" s="3"/>
      <c r="G111" s="9"/>
      <c r="H111" s="5"/>
      <c r="I111" s="9"/>
      <c r="J111" s="9"/>
      <c r="K111" s="15"/>
      <c r="L111" s="5"/>
      <c r="M111" s="15"/>
      <c r="N111" s="4"/>
      <c r="O111" s="4"/>
    </row>
    <row r="112" spans="1:15" x14ac:dyDescent="0.25">
      <c r="A112" s="31">
        <v>1</v>
      </c>
      <c r="B112" s="4" t="s">
        <v>2333</v>
      </c>
      <c r="C112" s="5">
        <v>1</v>
      </c>
      <c r="D112" s="7">
        <v>0</v>
      </c>
      <c r="E112" s="3">
        <f t="shared" ref="E112:E132" si="48">C112+(C112*D112)</f>
        <v>1</v>
      </c>
      <c r="F112" s="3" t="s">
        <v>867</v>
      </c>
      <c r="G112" s="77"/>
      <c r="H112" s="5" t="s">
        <v>1</v>
      </c>
      <c r="I112" s="78">
        <f t="shared" ref="I112:I132" si="49">IF(H112="C",(G112/100)*E112,IF(H112="M",(G112/1000)*E112,G112*E112))</f>
        <v>0</v>
      </c>
      <c r="J112" s="110">
        <f t="shared" ref="J112:J132" si="50">$O$4</f>
        <v>75</v>
      </c>
      <c r="K112" s="4">
        <v>22</v>
      </c>
      <c r="L112" s="5" t="s">
        <v>1</v>
      </c>
      <c r="M112" s="80">
        <f t="shared" ref="M112:M132" si="51">IF(L112="C",(K112/100)*E112,IF(L112="M",(K112/1000)*E112,K112*E112))</f>
        <v>22</v>
      </c>
      <c r="N112" s="78">
        <f t="shared" ref="N112:N132" si="52">M112*J112</f>
        <v>1650</v>
      </c>
      <c r="O112" s="78">
        <f t="shared" ref="O112:O132" si="53">N112+I112</f>
        <v>1650</v>
      </c>
    </row>
    <row r="113" spans="1:15" x14ac:dyDescent="0.25">
      <c r="A113" s="31"/>
      <c r="B113" s="4" t="s">
        <v>2332</v>
      </c>
      <c r="C113" s="5">
        <v>1</v>
      </c>
      <c r="D113" s="7">
        <v>0</v>
      </c>
      <c r="E113" s="3">
        <f t="shared" si="48"/>
        <v>1</v>
      </c>
      <c r="F113" s="3" t="s">
        <v>867</v>
      </c>
      <c r="G113" s="77"/>
      <c r="H113" s="5" t="s">
        <v>1</v>
      </c>
      <c r="I113" s="78">
        <f t="shared" si="49"/>
        <v>0</v>
      </c>
      <c r="J113" s="110">
        <f t="shared" si="50"/>
        <v>75</v>
      </c>
      <c r="K113" s="4">
        <v>44</v>
      </c>
      <c r="L113" s="5" t="s">
        <v>1</v>
      </c>
      <c r="M113" s="80">
        <f t="shared" si="51"/>
        <v>44</v>
      </c>
      <c r="N113" s="78">
        <f t="shared" si="52"/>
        <v>3300</v>
      </c>
      <c r="O113" s="78">
        <f t="shared" si="53"/>
        <v>3300</v>
      </c>
    </row>
    <row r="114" spans="1:15" x14ac:dyDescent="0.25">
      <c r="A114" s="31"/>
      <c r="B114" s="4" t="s">
        <v>2331</v>
      </c>
      <c r="C114" s="5">
        <v>1</v>
      </c>
      <c r="D114" s="7">
        <v>0</v>
      </c>
      <c r="E114" s="3">
        <f t="shared" si="48"/>
        <v>1</v>
      </c>
      <c r="F114" s="3" t="s">
        <v>867</v>
      </c>
      <c r="G114" s="77"/>
      <c r="H114" s="5" t="s">
        <v>1</v>
      </c>
      <c r="I114" s="78">
        <f t="shared" si="49"/>
        <v>0</v>
      </c>
      <c r="J114" s="110">
        <f t="shared" si="50"/>
        <v>75</v>
      </c>
      <c r="K114" s="4">
        <v>66</v>
      </c>
      <c r="L114" s="5" t="s">
        <v>1</v>
      </c>
      <c r="M114" s="80">
        <f t="shared" si="51"/>
        <v>66</v>
      </c>
      <c r="N114" s="78">
        <f t="shared" si="52"/>
        <v>4950</v>
      </c>
      <c r="O114" s="78">
        <f t="shared" si="53"/>
        <v>4950</v>
      </c>
    </row>
    <row r="115" spans="1:15" x14ac:dyDescent="0.25">
      <c r="A115" s="31"/>
      <c r="B115" s="4" t="s">
        <v>2330</v>
      </c>
      <c r="C115" s="5">
        <v>1</v>
      </c>
      <c r="D115" s="7">
        <v>0</v>
      </c>
      <c r="E115" s="3">
        <f t="shared" si="48"/>
        <v>1</v>
      </c>
      <c r="F115" s="3" t="s">
        <v>867</v>
      </c>
      <c r="G115" s="77"/>
      <c r="H115" s="5" t="s">
        <v>1</v>
      </c>
      <c r="I115" s="78">
        <f t="shared" si="49"/>
        <v>0</v>
      </c>
      <c r="J115" s="110">
        <f t="shared" si="50"/>
        <v>75</v>
      </c>
      <c r="K115" s="4">
        <v>88</v>
      </c>
      <c r="L115" s="5" t="s">
        <v>1</v>
      </c>
      <c r="M115" s="80">
        <f t="shared" si="51"/>
        <v>88</v>
      </c>
      <c r="N115" s="78">
        <f t="shared" si="52"/>
        <v>6600</v>
      </c>
      <c r="O115" s="78">
        <f t="shared" si="53"/>
        <v>6600</v>
      </c>
    </row>
    <row r="116" spans="1:15" x14ac:dyDescent="0.25">
      <c r="A116" s="31"/>
      <c r="B116" s="4" t="s">
        <v>2329</v>
      </c>
      <c r="C116" s="5">
        <v>1</v>
      </c>
      <c r="D116" s="7">
        <v>0</v>
      </c>
      <c r="E116" s="3">
        <f t="shared" si="48"/>
        <v>1</v>
      </c>
      <c r="F116" s="3" t="s">
        <v>867</v>
      </c>
      <c r="G116" s="77"/>
      <c r="H116" s="5" t="s">
        <v>1</v>
      </c>
      <c r="I116" s="78">
        <f t="shared" si="49"/>
        <v>0</v>
      </c>
      <c r="J116" s="110">
        <f t="shared" si="50"/>
        <v>75</v>
      </c>
      <c r="K116" s="4">
        <v>110</v>
      </c>
      <c r="L116" s="5" t="s">
        <v>1</v>
      </c>
      <c r="M116" s="80">
        <f t="shared" si="51"/>
        <v>110</v>
      </c>
      <c r="N116" s="78">
        <f t="shared" si="52"/>
        <v>8250</v>
      </c>
      <c r="O116" s="78">
        <f t="shared" si="53"/>
        <v>8250</v>
      </c>
    </row>
    <row r="117" spans="1:15" x14ac:dyDescent="0.25">
      <c r="A117" s="31"/>
      <c r="B117" s="4" t="s">
        <v>2328</v>
      </c>
      <c r="C117" s="5">
        <v>1</v>
      </c>
      <c r="D117" s="7">
        <v>0</v>
      </c>
      <c r="E117" s="3">
        <f t="shared" si="48"/>
        <v>1</v>
      </c>
      <c r="F117" s="3" t="s">
        <v>867</v>
      </c>
      <c r="G117" s="77"/>
      <c r="H117" s="5" t="s">
        <v>1</v>
      </c>
      <c r="I117" s="78">
        <f t="shared" si="49"/>
        <v>0</v>
      </c>
      <c r="J117" s="110">
        <f t="shared" si="50"/>
        <v>75</v>
      </c>
      <c r="K117" s="4">
        <v>132</v>
      </c>
      <c r="L117" s="5" t="s">
        <v>1</v>
      </c>
      <c r="M117" s="80">
        <f t="shared" si="51"/>
        <v>132</v>
      </c>
      <c r="N117" s="78">
        <f t="shared" si="52"/>
        <v>9900</v>
      </c>
      <c r="O117" s="78">
        <f t="shared" si="53"/>
        <v>9900</v>
      </c>
    </row>
    <row r="118" spans="1:15" x14ac:dyDescent="0.25">
      <c r="A118" s="31"/>
      <c r="B118" s="4" t="s">
        <v>2327</v>
      </c>
      <c r="C118" s="5">
        <v>1</v>
      </c>
      <c r="D118" s="7">
        <v>0</v>
      </c>
      <c r="E118" s="3">
        <f t="shared" si="48"/>
        <v>1</v>
      </c>
      <c r="F118" s="3" t="s">
        <v>867</v>
      </c>
      <c r="G118" s="77"/>
      <c r="H118" s="5" t="s">
        <v>1</v>
      </c>
      <c r="I118" s="78">
        <f t="shared" si="49"/>
        <v>0</v>
      </c>
      <c r="J118" s="110">
        <f t="shared" si="50"/>
        <v>75</v>
      </c>
      <c r="K118" s="4">
        <v>154</v>
      </c>
      <c r="L118" s="5" t="s">
        <v>1</v>
      </c>
      <c r="M118" s="80">
        <f t="shared" si="51"/>
        <v>154</v>
      </c>
      <c r="N118" s="78">
        <f t="shared" si="52"/>
        <v>11550</v>
      </c>
      <c r="O118" s="78">
        <f t="shared" si="53"/>
        <v>11550</v>
      </c>
    </row>
    <row r="119" spans="1:15" x14ac:dyDescent="0.25">
      <c r="A119" s="31"/>
      <c r="B119" s="4" t="s">
        <v>2326</v>
      </c>
      <c r="C119" s="5">
        <v>1</v>
      </c>
      <c r="D119" s="7">
        <v>0</v>
      </c>
      <c r="E119" s="3">
        <f t="shared" si="48"/>
        <v>1</v>
      </c>
      <c r="F119" s="3" t="s">
        <v>867</v>
      </c>
      <c r="G119" s="77"/>
      <c r="H119" s="5" t="s">
        <v>1</v>
      </c>
      <c r="I119" s="78">
        <f t="shared" si="49"/>
        <v>0</v>
      </c>
      <c r="J119" s="110">
        <f t="shared" si="50"/>
        <v>75</v>
      </c>
      <c r="K119" s="4">
        <v>176</v>
      </c>
      <c r="L119" s="5" t="s">
        <v>1</v>
      </c>
      <c r="M119" s="80">
        <f t="shared" si="51"/>
        <v>176</v>
      </c>
      <c r="N119" s="78">
        <f t="shared" si="52"/>
        <v>13200</v>
      </c>
      <c r="O119" s="78">
        <f t="shared" si="53"/>
        <v>13200</v>
      </c>
    </row>
    <row r="120" spans="1:15" x14ac:dyDescent="0.25">
      <c r="A120" s="31"/>
      <c r="B120" s="4" t="s">
        <v>2325</v>
      </c>
      <c r="C120" s="5">
        <v>1</v>
      </c>
      <c r="D120" s="7">
        <v>0</v>
      </c>
      <c r="E120" s="3">
        <f t="shared" si="48"/>
        <v>1</v>
      </c>
      <c r="F120" s="3" t="s">
        <v>867</v>
      </c>
      <c r="G120" s="77"/>
      <c r="H120" s="5" t="s">
        <v>1</v>
      </c>
      <c r="I120" s="78">
        <f t="shared" si="49"/>
        <v>0</v>
      </c>
      <c r="J120" s="110">
        <f t="shared" si="50"/>
        <v>75</v>
      </c>
      <c r="K120" s="4">
        <v>198</v>
      </c>
      <c r="L120" s="5" t="s">
        <v>1</v>
      </c>
      <c r="M120" s="80">
        <f t="shared" si="51"/>
        <v>198</v>
      </c>
      <c r="N120" s="78">
        <f t="shared" si="52"/>
        <v>14850</v>
      </c>
      <c r="O120" s="78">
        <f t="shared" si="53"/>
        <v>14850</v>
      </c>
    </row>
    <row r="121" spans="1:15" x14ac:dyDescent="0.25">
      <c r="A121" s="31"/>
      <c r="B121" s="4" t="s">
        <v>2324</v>
      </c>
      <c r="C121" s="5">
        <v>1</v>
      </c>
      <c r="D121" s="7">
        <v>0</v>
      </c>
      <c r="E121" s="3">
        <f t="shared" si="48"/>
        <v>1</v>
      </c>
      <c r="F121" s="3" t="s">
        <v>867</v>
      </c>
      <c r="G121" s="77"/>
      <c r="H121" s="5" t="s">
        <v>1</v>
      </c>
      <c r="I121" s="78">
        <f t="shared" si="49"/>
        <v>0</v>
      </c>
      <c r="J121" s="110">
        <f t="shared" si="50"/>
        <v>75</v>
      </c>
      <c r="K121" s="4">
        <v>220</v>
      </c>
      <c r="L121" s="5" t="s">
        <v>1</v>
      </c>
      <c r="M121" s="80">
        <f t="shared" si="51"/>
        <v>220</v>
      </c>
      <c r="N121" s="78">
        <f t="shared" si="52"/>
        <v>16500</v>
      </c>
      <c r="O121" s="78">
        <f t="shared" si="53"/>
        <v>16500</v>
      </c>
    </row>
    <row r="122" spans="1:15" x14ac:dyDescent="0.25">
      <c r="A122" s="31"/>
      <c r="B122" s="4" t="s">
        <v>2323</v>
      </c>
      <c r="C122" s="5">
        <v>1</v>
      </c>
      <c r="D122" s="7">
        <v>0</v>
      </c>
      <c r="E122" s="3">
        <f t="shared" si="48"/>
        <v>1</v>
      </c>
      <c r="F122" s="3" t="s">
        <v>867</v>
      </c>
      <c r="G122" s="77"/>
      <c r="H122" s="5" t="s">
        <v>1</v>
      </c>
      <c r="I122" s="78">
        <f t="shared" si="49"/>
        <v>0</v>
      </c>
      <c r="J122" s="110">
        <f t="shared" si="50"/>
        <v>75</v>
      </c>
      <c r="K122" s="4">
        <v>242</v>
      </c>
      <c r="L122" s="5" t="s">
        <v>1</v>
      </c>
      <c r="M122" s="80">
        <f t="shared" si="51"/>
        <v>242</v>
      </c>
      <c r="N122" s="78">
        <f t="shared" si="52"/>
        <v>18150</v>
      </c>
      <c r="O122" s="78">
        <f t="shared" si="53"/>
        <v>18150</v>
      </c>
    </row>
    <row r="123" spans="1:15" x14ac:dyDescent="0.25">
      <c r="A123" s="31"/>
      <c r="B123" s="4" t="s">
        <v>2322</v>
      </c>
      <c r="C123" s="5">
        <v>1</v>
      </c>
      <c r="D123" s="7">
        <v>0</v>
      </c>
      <c r="E123" s="3">
        <f t="shared" si="48"/>
        <v>1</v>
      </c>
      <c r="F123" s="3" t="s">
        <v>867</v>
      </c>
      <c r="G123" s="77"/>
      <c r="H123" s="5" t="s">
        <v>1</v>
      </c>
      <c r="I123" s="78">
        <f t="shared" si="49"/>
        <v>0</v>
      </c>
      <c r="J123" s="110">
        <f t="shared" si="50"/>
        <v>75</v>
      </c>
      <c r="K123" s="4">
        <v>264</v>
      </c>
      <c r="L123" s="5" t="s">
        <v>1</v>
      </c>
      <c r="M123" s="80">
        <f t="shared" si="51"/>
        <v>264</v>
      </c>
      <c r="N123" s="78">
        <f t="shared" si="52"/>
        <v>19800</v>
      </c>
      <c r="O123" s="78">
        <f t="shared" si="53"/>
        <v>19800</v>
      </c>
    </row>
    <row r="124" spans="1:15" x14ac:dyDescent="0.25">
      <c r="A124" s="31"/>
      <c r="B124" s="4" t="s">
        <v>2321</v>
      </c>
      <c r="C124" s="5">
        <v>1</v>
      </c>
      <c r="D124" s="7">
        <v>0</v>
      </c>
      <c r="E124" s="3">
        <f t="shared" si="48"/>
        <v>1</v>
      </c>
      <c r="F124" s="3" t="s">
        <v>867</v>
      </c>
      <c r="G124" s="77"/>
      <c r="H124" s="5" t="s">
        <v>1</v>
      </c>
      <c r="I124" s="78">
        <f t="shared" si="49"/>
        <v>0</v>
      </c>
      <c r="J124" s="110">
        <f t="shared" si="50"/>
        <v>75</v>
      </c>
      <c r="K124" s="4">
        <v>286</v>
      </c>
      <c r="L124" s="5" t="s">
        <v>1</v>
      </c>
      <c r="M124" s="80">
        <f t="shared" si="51"/>
        <v>286</v>
      </c>
      <c r="N124" s="78">
        <f t="shared" si="52"/>
        <v>21450</v>
      </c>
      <c r="O124" s="78">
        <f t="shared" si="53"/>
        <v>21450</v>
      </c>
    </row>
    <row r="125" spans="1:15" x14ac:dyDescent="0.25">
      <c r="A125" s="31"/>
      <c r="B125" s="4" t="s">
        <v>2320</v>
      </c>
      <c r="C125" s="5">
        <v>1</v>
      </c>
      <c r="D125" s="7">
        <v>0</v>
      </c>
      <c r="E125" s="3">
        <f t="shared" si="48"/>
        <v>1</v>
      </c>
      <c r="F125" s="3" t="s">
        <v>867</v>
      </c>
      <c r="G125" s="77"/>
      <c r="H125" s="5" t="s">
        <v>1</v>
      </c>
      <c r="I125" s="78">
        <f t="shared" si="49"/>
        <v>0</v>
      </c>
      <c r="J125" s="110">
        <f t="shared" si="50"/>
        <v>75</v>
      </c>
      <c r="K125" s="4">
        <v>308</v>
      </c>
      <c r="L125" s="5" t="s">
        <v>1</v>
      </c>
      <c r="M125" s="80">
        <f t="shared" si="51"/>
        <v>308</v>
      </c>
      <c r="N125" s="78">
        <f t="shared" si="52"/>
        <v>23100</v>
      </c>
      <c r="O125" s="78">
        <f t="shared" si="53"/>
        <v>23100</v>
      </c>
    </row>
    <row r="126" spans="1:15" x14ac:dyDescent="0.25">
      <c r="A126" s="31"/>
      <c r="B126" s="4" t="s">
        <v>2319</v>
      </c>
      <c r="C126" s="5">
        <v>1</v>
      </c>
      <c r="D126" s="7">
        <v>0</v>
      </c>
      <c r="E126" s="3">
        <f t="shared" si="48"/>
        <v>1</v>
      </c>
      <c r="F126" s="3" t="s">
        <v>867</v>
      </c>
      <c r="G126" s="77"/>
      <c r="H126" s="5" t="s">
        <v>1</v>
      </c>
      <c r="I126" s="78">
        <f t="shared" si="49"/>
        <v>0</v>
      </c>
      <c r="J126" s="110">
        <f t="shared" si="50"/>
        <v>75</v>
      </c>
      <c r="K126" s="4">
        <v>330</v>
      </c>
      <c r="L126" s="5" t="s">
        <v>1</v>
      </c>
      <c r="M126" s="80">
        <f t="shared" si="51"/>
        <v>330</v>
      </c>
      <c r="N126" s="78">
        <f t="shared" si="52"/>
        <v>24750</v>
      </c>
      <c r="O126" s="78">
        <f t="shared" si="53"/>
        <v>24750</v>
      </c>
    </row>
    <row r="127" spans="1:15" x14ac:dyDescent="0.25">
      <c r="A127" s="31"/>
      <c r="B127" s="4" t="s">
        <v>2318</v>
      </c>
      <c r="C127" s="5">
        <v>1</v>
      </c>
      <c r="D127" s="7">
        <v>0</v>
      </c>
      <c r="E127" s="3">
        <f t="shared" si="48"/>
        <v>1</v>
      </c>
      <c r="F127" s="3" t="s">
        <v>867</v>
      </c>
      <c r="G127" s="77"/>
      <c r="H127" s="5" t="s">
        <v>1</v>
      </c>
      <c r="I127" s="78">
        <f t="shared" si="49"/>
        <v>0</v>
      </c>
      <c r="J127" s="110">
        <f t="shared" si="50"/>
        <v>75</v>
      </c>
      <c r="K127" s="4">
        <v>352</v>
      </c>
      <c r="L127" s="5" t="s">
        <v>1</v>
      </c>
      <c r="M127" s="80">
        <f t="shared" si="51"/>
        <v>352</v>
      </c>
      <c r="N127" s="78">
        <f t="shared" si="52"/>
        <v>26400</v>
      </c>
      <c r="O127" s="78">
        <f t="shared" si="53"/>
        <v>26400</v>
      </c>
    </row>
    <row r="128" spans="1:15" x14ac:dyDescent="0.25">
      <c r="A128" s="31"/>
      <c r="B128" s="4" t="s">
        <v>2317</v>
      </c>
      <c r="C128" s="5">
        <v>1</v>
      </c>
      <c r="D128" s="7">
        <v>0</v>
      </c>
      <c r="E128" s="3">
        <f t="shared" si="48"/>
        <v>1</v>
      </c>
      <c r="F128" s="3" t="s">
        <v>867</v>
      </c>
      <c r="G128" s="77"/>
      <c r="H128" s="5" t="s">
        <v>1</v>
      </c>
      <c r="I128" s="78">
        <f t="shared" si="49"/>
        <v>0</v>
      </c>
      <c r="J128" s="110">
        <f t="shared" si="50"/>
        <v>75</v>
      </c>
      <c r="K128" s="4">
        <v>374</v>
      </c>
      <c r="L128" s="5" t="s">
        <v>1</v>
      </c>
      <c r="M128" s="80">
        <f t="shared" si="51"/>
        <v>374</v>
      </c>
      <c r="N128" s="78">
        <f t="shared" si="52"/>
        <v>28050</v>
      </c>
      <c r="O128" s="78">
        <f t="shared" si="53"/>
        <v>28050</v>
      </c>
    </row>
    <row r="129" spans="1:15" x14ac:dyDescent="0.25">
      <c r="A129" s="31"/>
      <c r="B129" s="4" t="s">
        <v>2316</v>
      </c>
      <c r="C129" s="5">
        <v>1</v>
      </c>
      <c r="D129" s="7">
        <v>0</v>
      </c>
      <c r="E129" s="3">
        <f t="shared" si="48"/>
        <v>1</v>
      </c>
      <c r="F129" s="3" t="s">
        <v>867</v>
      </c>
      <c r="G129" s="77"/>
      <c r="H129" s="5" t="s">
        <v>1</v>
      </c>
      <c r="I129" s="78">
        <f t="shared" si="49"/>
        <v>0</v>
      </c>
      <c r="J129" s="110">
        <f t="shared" si="50"/>
        <v>75</v>
      </c>
      <c r="K129" s="4">
        <v>396</v>
      </c>
      <c r="L129" s="5" t="s">
        <v>1</v>
      </c>
      <c r="M129" s="80">
        <f t="shared" si="51"/>
        <v>396</v>
      </c>
      <c r="N129" s="78">
        <f t="shared" si="52"/>
        <v>29700</v>
      </c>
      <c r="O129" s="78">
        <f t="shared" si="53"/>
        <v>29700</v>
      </c>
    </row>
    <row r="130" spans="1:15" x14ac:dyDescent="0.25">
      <c r="A130" s="31"/>
      <c r="B130" s="4" t="s">
        <v>2315</v>
      </c>
      <c r="C130" s="5">
        <v>1</v>
      </c>
      <c r="D130" s="7">
        <v>0</v>
      </c>
      <c r="E130" s="3">
        <f t="shared" si="48"/>
        <v>1</v>
      </c>
      <c r="F130" s="3" t="s">
        <v>867</v>
      </c>
      <c r="G130" s="77"/>
      <c r="H130" s="5" t="s">
        <v>1</v>
      </c>
      <c r="I130" s="78">
        <f t="shared" si="49"/>
        <v>0</v>
      </c>
      <c r="J130" s="110">
        <f t="shared" si="50"/>
        <v>75</v>
      </c>
      <c r="K130" s="4">
        <v>418</v>
      </c>
      <c r="L130" s="5" t="s">
        <v>1</v>
      </c>
      <c r="M130" s="80">
        <f t="shared" si="51"/>
        <v>418</v>
      </c>
      <c r="N130" s="78">
        <f t="shared" si="52"/>
        <v>31350</v>
      </c>
      <c r="O130" s="78">
        <f t="shared" si="53"/>
        <v>31350</v>
      </c>
    </row>
    <row r="131" spans="1:15" x14ac:dyDescent="0.25">
      <c r="A131" s="31"/>
      <c r="B131" s="4" t="s">
        <v>2314</v>
      </c>
      <c r="C131" s="5">
        <v>1</v>
      </c>
      <c r="D131" s="7">
        <v>0</v>
      </c>
      <c r="E131" s="3">
        <f t="shared" si="48"/>
        <v>1</v>
      </c>
      <c r="F131" s="3" t="s">
        <v>867</v>
      </c>
      <c r="G131" s="77"/>
      <c r="H131" s="5" t="s">
        <v>1</v>
      </c>
      <c r="I131" s="78">
        <f t="shared" si="49"/>
        <v>0</v>
      </c>
      <c r="J131" s="110">
        <f t="shared" si="50"/>
        <v>75</v>
      </c>
      <c r="K131" s="4">
        <v>440</v>
      </c>
      <c r="L131" s="5" t="s">
        <v>1</v>
      </c>
      <c r="M131" s="80">
        <f t="shared" si="51"/>
        <v>440</v>
      </c>
      <c r="N131" s="78">
        <f t="shared" si="52"/>
        <v>33000</v>
      </c>
      <c r="O131" s="78">
        <f t="shared" si="53"/>
        <v>33000</v>
      </c>
    </row>
    <row r="132" spans="1:15" ht="15.75" thickBot="1" x14ac:dyDescent="0.3">
      <c r="A132" s="31"/>
      <c r="B132" s="258"/>
      <c r="C132" s="259">
        <v>1</v>
      </c>
      <c r="D132" s="259">
        <v>0</v>
      </c>
      <c r="E132" s="259">
        <f t="shared" si="48"/>
        <v>1</v>
      </c>
      <c r="F132" s="259" t="s">
        <v>867</v>
      </c>
      <c r="G132" s="259"/>
      <c r="H132" s="259" t="s">
        <v>1</v>
      </c>
      <c r="I132" s="259">
        <f t="shared" si="49"/>
        <v>0</v>
      </c>
      <c r="J132" s="259">
        <f t="shared" si="50"/>
        <v>75</v>
      </c>
      <c r="K132" s="259"/>
      <c r="L132" s="259" t="s">
        <v>1</v>
      </c>
      <c r="M132" s="259">
        <f t="shared" si="51"/>
        <v>0</v>
      </c>
      <c r="N132" s="259">
        <f t="shared" si="52"/>
        <v>0</v>
      </c>
      <c r="O132" s="259">
        <f t="shared" si="53"/>
        <v>0</v>
      </c>
    </row>
    <row r="133" spans="1:15" ht="15.75" thickBot="1" x14ac:dyDescent="0.3">
      <c r="A133" s="60"/>
      <c r="B133" s="145" t="s">
        <v>2313</v>
      </c>
      <c r="C133" s="5"/>
      <c r="D133" s="7"/>
      <c r="E133" s="3"/>
      <c r="F133" s="3"/>
      <c r="G133" s="9"/>
      <c r="H133" s="5"/>
      <c r="I133" s="9"/>
      <c r="J133" s="9"/>
      <c r="K133" s="15"/>
      <c r="L133" s="5"/>
      <c r="M133" s="15"/>
      <c r="N133" s="4"/>
      <c r="O133" s="4"/>
    </row>
    <row r="134" spans="1:15" x14ac:dyDescent="0.25">
      <c r="A134" s="31">
        <v>1</v>
      </c>
      <c r="B134" s="4" t="s">
        <v>2312</v>
      </c>
      <c r="C134" s="5">
        <v>1</v>
      </c>
      <c r="D134" s="7">
        <v>0</v>
      </c>
      <c r="E134" s="3">
        <f t="shared" ref="E134:E154" si="54">C134+(C134*D134)</f>
        <v>1</v>
      </c>
      <c r="F134" s="3" t="s">
        <v>867</v>
      </c>
      <c r="G134" s="77"/>
      <c r="H134" s="5" t="s">
        <v>1</v>
      </c>
      <c r="I134" s="78">
        <f t="shared" ref="I134:I154" si="55">IF(H134="C",(G134/100)*E134,IF(H134="M",(G134/1000)*E134,G134*E134))</f>
        <v>0</v>
      </c>
      <c r="J134" s="110">
        <f t="shared" ref="J134:J154" si="56">$O$4</f>
        <v>75</v>
      </c>
      <c r="K134" s="4">
        <v>24</v>
      </c>
      <c r="L134" s="5" t="s">
        <v>1</v>
      </c>
      <c r="M134" s="80">
        <f t="shared" ref="M134:M154" si="57">IF(L134="C",(K134/100)*E134,IF(L134="M",(K134/1000)*E134,K134*E134))</f>
        <v>24</v>
      </c>
      <c r="N134" s="78">
        <f t="shared" ref="N134:N154" si="58">M134*J134</f>
        <v>1800</v>
      </c>
      <c r="O134" s="78">
        <f t="shared" ref="O134:O154" si="59">N134+I134</f>
        <v>1800</v>
      </c>
    </row>
    <row r="135" spans="1:15" x14ac:dyDescent="0.25">
      <c r="A135" s="31"/>
      <c r="B135" s="4" t="s">
        <v>2311</v>
      </c>
      <c r="C135" s="5">
        <v>1</v>
      </c>
      <c r="D135" s="7">
        <v>0</v>
      </c>
      <c r="E135" s="3">
        <f t="shared" si="54"/>
        <v>1</v>
      </c>
      <c r="F135" s="3" t="s">
        <v>867</v>
      </c>
      <c r="G135" s="77"/>
      <c r="H135" s="5" t="s">
        <v>1</v>
      </c>
      <c r="I135" s="78">
        <f t="shared" si="55"/>
        <v>0</v>
      </c>
      <c r="J135" s="110">
        <f t="shared" si="56"/>
        <v>75</v>
      </c>
      <c r="K135" s="4">
        <v>48</v>
      </c>
      <c r="L135" s="5" t="s">
        <v>1</v>
      </c>
      <c r="M135" s="80">
        <f t="shared" si="57"/>
        <v>48</v>
      </c>
      <c r="N135" s="78">
        <f t="shared" si="58"/>
        <v>3600</v>
      </c>
      <c r="O135" s="78">
        <f t="shared" si="59"/>
        <v>3600</v>
      </c>
    </row>
    <row r="136" spans="1:15" x14ac:dyDescent="0.25">
      <c r="A136" s="31"/>
      <c r="B136" s="4" t="s">
        <v>2310</v>
      </c>
      <c r="C136" s="5">
        <v>1</v>
      </c>
      <c r="D136" s="7">
        <v>0</v>
      </c>
      <c r="E136" s="3">
        <f t="shared" si="54"/>
        <v>1</v>
      </c>
      <c r="F136" s="3" t="s">
        <v>867</v>
      </c>
      <c r="G136" s="77"/>
      <c r="H136" s="5" t="s">
        <v>1</v>
      </c>
      <c r="I136" s="78">
        <f t="shared" si="55"/>
        <v>0</v>
      </c>
      <c r="J136" s="110">
        <f t="shared" si="56"/>
        <v>75</v>
      </c>
      <c r="K136" s="4">
        <v>72</v>
      </c>
      <c r="L136" s="5" t="s">
        <v>1</v>
      </c>
      <c r="M136" s="80">
        <f t="shared" si="57"/>
        <v>72</v>
      </c>
      <c r="N136" s="78">
        <f t="shared" si="58"/>
        <v>5400</v>
      </c>
      <c r="O136" s="78">
        <f t="shared" si="59"/>
        <v>5400</v>
      </c>
    </row>
    <row r="137" spans="1:15" x14ac:dyDescent="0.25">
      <c r="A137" s="31"/>
      <c r="B137" s="4" t="s">
        <v>2309</v>
      </c>
      <c r="C137" s="5">
        <v>1</v>
      </c>
      <c r="D137" s="7">
        <v>0</v>
      </c>
      <c r="E137" s="3">
        <f t="shared" si="54"/>
        <v>1</v>
      </c>
      <c r="F137" s="3" t="s">
        <v>867</v>
      </c>
      <c r="G137" s="77"/>
      <c r="H137" s="5" t="s">
        <v>1</v>
      </c>
      <c r="I137" s="78">
        <f t="shared" si="55"/>
        <v>0</v>
      </c>
      <c r="J137" s="110">
        <f t="shared" si="56"/>
        <v>75</v>
      </c>
      <c r="K137" s="4">
        <v>96</v>
      </c>
      <c r="L137" s="5" t="s">
        <v>1</v>
      </c>
      <c r="M137" s="80">
        <f t="shared" si="57"/>
        <v>96</v>
      </c>
      <c r="N137" s="78">
        <f t="shared" si="58"/>
        <v>7200</v>
      </c>
      <c r="O137" s="78">
        <f t="shared" si="59"/>
        <v>7200</v>
      </c>
    </row>
    <row r="138" spans="1:15" x14ac:dyDescent="0.25">
      <c r="A138" s="31"/>
      <c r="B138" s="4" t="s">
        <v>2308</v>
      </c>
      <c r="C138" s="5">
        <v>1</v>
      </c>
      <c r="D138" s="7">
        <v>0</v>
      </c>
      <c r="E138" s="3">
        <f t="shared" si="54"/>
        <v>1</v>
      </c>
      <c r="F138" s="3" t="s">
        <v>867</v>
      </c>
      <c r="G138" s="77"/>
      <c r="H138" s="5" t="s">
        <v>1</v>
      </c>
      <c r="I138" s="78">
        <f t="shared" si="55"/>
        <v>0</v>
      </c>
      <c r="J138" s="110">
        <f t="shared" si="56"/>
        <v>75</v>
      </c>
      <c r="K138" s="4">
        <v>120</v>
      </c>
      <c r="L138" s="5" t="s">
        <v>1</v>
      </c>
      <c r="M138" s="80">
        <f t="shared" si="57"/>
        <v>120</v>
      </c>
      <c r="N138" s="78">
        <f t="shared" si="58"/>
        <v>9000</v>
      </c>
      <c r="O138" s="78">
        <f t="shared" si="59"/>
        <v>9000</v>
      </c>
    </row>
    <row r="139" spans="1:15" x14ac:dyDescent="0.25">
      <c r="A139" s="31"/>
      <c r="B139" s="4" t="s">
        <v>2307</v>
      </c>
      <c r="C139" s="5">
        <v>1</v>
      </c>
      <c r="D139" s="7">
        <v>0</v>
      </c>
      <c r="E139" s="3">
        <f t="shared" si="54"/>
        <v>1</v>
      </c>
      <c r="F139" s="3" t="s">
        <v>867</v>
      </c>
      <c r="G139" s="77"/>
      <c r="H139" s="5" t="s">
        <v>1</v>
      </c>
      <c r="I139" s="78">
        <f t="shared" si="55"/>
        <v>0</v>
      </c>
      <c r="J139" s="110">
        <f t="shared" si="56"/>
        <v>75</v>
      </c>
      <c r="K139" s="4">
        <v>144</v>
      </c>
      <c r="L139" s="5" t="s">
        <v>1</v>
      </c>
      <c r="M139" s="80">
        <f t="shared" si="57"/>
        <v>144</v>
      </c>
      <c r="N139" s="78">
        <f t="shared" si="58"/>
        <v>10800</v>
      </c>
      <c r="O139" s="78">
        <f t="shared" si="59"/>
        <v>10800</v>
      </c>
    </row>
    <row r="140" spans="1:15" x14ac:dyDescent="0.25">
      <c r="A140" s="31"/>
      <c r="B140" s="4" t="s">
        <v>2306</v>
      </c>
      <c r="C140" s="5">
        <v>1</v>
      </c>
      <c r="D140" s="7">
        <v>0</v>
      </c>
      <c r="E140" s="3">
        <f t="shared" si="54"/>
        <v>1</v>
      </c>
      <c r="F140" s="3" t="s">
        <v>867</v>
      </c>
      <c r="G140" s="77"/>
      <c r="H140" s="5" t="s">
        <v>1</v>
      </c>
      <c r="I140" s="78">
        <f t="shared" si="55"/>
        <v>0</v>
      </c>
      <c r="J140" s="110">
        <f t="shared" si="56"/>
        <v>75</v>
      </c>
      <c r="K140" s="4">
        <v>168</v>
      </c>
      <c r="L140" s="5" t="s">
        <v>1</v>
      </c>
      <c r="M140" s="80">
        <f t="shared" si="57"/>
        <v>168</v>
      </c>
      <c r="N140" s="78">
        <f t="shared" si="58"/>
        <v>12600</v>
      </c>
      <c r="O140" s="78">
        <f t="shared" si="59"/>
        <v>12600</v>
      </c>
    </row>
    <row r="141" spans="1:15" x14ac:dyDescent="0.25">
      <c r="A141" s="31"/>
      <c r="B141" s="4" t="s">
        <v>2305</v>
      </c>
      <c r="C141" s="5">
        <v>1</v>
      </c>
      <c r="D141" s="7">
        <v>0</v>
      </c>
      <c r="E141" s="3">
        <f t="shared" si="54"/>
        <v>1</v>
      </c>
      <c r="F141" s="3" t="s">
        <v>867</v>
      </c>
      <c r="G141" s="77"/>
      <c r="H141" s="5" t="s">
        <v>1</v>
      </c>
      <c r="I141" s="78">
        <f t="shared" si="55"/>
        <v>0</v>
      </c>
      <c r="J141" s="110">
        <f t="shared" si="56"/>
        <v>75</v>
      </c>
      <c r="K141" s="4">
        <v>192</v>
      </c>
      <c r="L141" s="5" t="s">
        <v>1</v>
      </c>
      <c r="M141" s="80">
        <f t="shared" si="57"/>
        <v>192</v>
      </c>
      <c r="N141" s="78">
        <f t="shared" si="58"/>
        <v>14400</v>
      </c>
      <c r="O141" s="78">
        <f t="shared" si="59"/>
        <v>14400</v>
      </c>
    </row>
    <row r="142" spans="1:15" x14ac:dyDescent="0.25">
      <c r="A142" s="31"/>
      <c r="B142" s="4" t="s">
        <v>2304</v>
      </c>
      <c r="C142" s="5">
        <v>1</v>
      </c>
      <c r="D142" s="7">
        <v>0</v>
      </c>
      <c r="E142" s="3">
        <f t="shared" si="54"/>
        <v>1</v>
      </c>
      <c r="F142" s="3" t="s">
        <v>867</v>
      </c>
      <c r="G142" s="77"/>
      <c r="H142" s="5" t="s">
        <v>1</v>
      </c>
      <c r="I142" s="78">
        <f t="shared" si="55"/>
        <v>0</v>
      </c>
      <c r="J142" s="110">
        <f t="shared" si="56"/>
        <v>75</v>
      </c>
      <c r="K142" s="4">
        <v>216</v>
      </c>
      <c r="L142" s="5" t="s">
        <v>1</v>
      </c>
      <c r="M142" s="80">
        <f t="shared" si="57"/>
        <v>216</v>
      </c>
      <c r="N142" s="78">
        <f t="shared" si="58"/>
        <v>16200</v>
      </c>
      <c r="O142" s="78">
        <f t="shared" si="59"/>
        <v>16200</v>
      </c>
    </row>
    <row r="143" spans="1:15" x14ac:dyDescent="0.25">
      <c r="A143" s="31"/>
      <c r="B143" s="4" t="s">
        <v>2303</v>
      </c>
      <c r="C143" s="5">
        <v>1</v>
      </c>
      <c r="D143" s="7">
        <v>0</v>
      </c>
      <c r="E143" s="3">
        <f t="shared" si="54"/>
        <v>1</v>
      </c>
      <c r="F143" s="3" t="s">
        <v>867</v>
      </c>
      <c r="G143" s="77"/>
      <c r="H143" s="5" t="s">
        <v>1</v>
      </c>
      <c r="I143" s="78">
        <f t="shared" si="55"/>
        <v>0</v>
      </c>
      <c r="J143" s="110">
        <f t="shared" si="56"/>
        <v>75</v>
      </c>
      <c r="K143" s="4">
        <v>240</v>
      </c>
      <c r="L143" s="5" t="s">
        <v>1</v>
      </c>
      <c r="M143" s="80">
        <f t="shared" si="57"/>
        <v>240</v>
      </c>
      <c r="N143" s="78">
        <f t="shared" si="58"/>
        <v>18000</v>
      </c>
      <c r="O143" s="78">
        <f t="shared" si="59"/>
        <v>18000</v>
      </c>
    </row>
    <row r="144" spans="1:15" x14ac:dyDescent="0.25">
      <c r="A144" s="31"/>
      <c r="B144" s="4" t="s">
        <v>2302</v>
      </c>
      <c r="C144" s="5">
        <v>1</v>
      </c>
      <c r="D144" s="7">
        <v>0</v>
      </c>
      <c r="E144" s="3">
        <f t="shared" si="54"/>
        <v>1</v>
      </c>
      <c r="F144" s="3" t="s">
        <v>867</v>
      </c>
      <c r="G144" s="77"/>
      <c r="H144" s="5" t="s">
        <v>1</v>
      </c>
      <c r="I144" s="78">
        <f t="shared" si="55"/>
        <v>0</v>
      </c>
      <c r="J144" s="110">
        <f t="shared" si="56"/>
        <v>75</v>
      </c>
      <c r="K144" s="4">
        <v>264</v>
      </c>
      <c r="L144" s="5" t="s">
        <v>1</v>
      </c>
      <c r="M144" s="80">
        <f t="shared" si="57"/>
        <v>264</v>
      </c>
      <c r="N144" s="78">
        <f t="shared" si="58"/>
        <v>19800</v>
      </c>
      <c r="O144" s="78">
        <f t="shared" si="59"/>
        <v>19800</v>
      </c>
    </row>
    <row r="145" spans="1:15" x14ac:dyDescent="0.25">
      <c r="A145" s="60"/>
      <c r="B145" s="8" t="s">
        <v>2301</v>
      </c>
      <c r="C145" s="5">
        <v>1</v>
      </c>
      <c r="D145" s="7">
        <v>0</v>
      </c>
      <c r="E145" s="3">
        <f t="shared" si="54"/>
        <v>1</v>
      </c>
      <c r="F145" s="3" t="s">
        <v>867</v>
      </c>
      <c r="G145" s="77"/>
      <c r="H145" s="5" t="s">
        <v>1</v>
      </c>
      <c r="I145" s="78">
        <f t="shared" si="55"/>
        <v>0</v>
      </c>
      <c r="J145" s="110">
        <f t="shared" si="56"/>
        <v>75</v>
      </c>
      <c r="K145" s="4">
        <v>288</v>
      </c>
      <c r="L145" s="5" t="s">
        <v>1</v>
      </c>
      <c r="M145" s="80">
        <f t="shared" si="57"/>
        <v>288</v>
      </c>
      <c r="N145" s="78">
        <f t="shared" si="58"/>
        <v>21600</v>
      </c>
      <c r="O145" s="78">
        <f t="shared" si="59"/>
        <v>21600</v>
      </c>
    </row>
    <row r="146" spans="1:15" x14ac:dyDescent="0.25">
      <c r="A146" s="31"/>
      <c r="B146" s="4" t="s">
        <v>2300</v>
      </c>
      <c r="C146" s="5">
        <v>1</v>
      </c>
      <c r="D146" s="7">
        <v>0</v>
      </c>
      <c r="E146" s="3">
        <f t="shared" si="54"/>
        <v>1</v>
      </c>
      <c r="F146" s="3" t="s">
        <v>867</v>
      </c>
      <c r="G146" s="77"/>
      <c r="H146" s="5" t="s">
        <v>1</v>
      </c>
      <c r="I146" s="78">
        <f t="shared" si="55"/>
        <v>0</v>
      </c>
      <c r="J146" s="110">
        <f t="shared" si="56"/>
        <v>75</v>
      </c>
      <c r="K146" s="4">
        <v>312</v>
      </c>
      <c r="L146" s="5" t="s">
        <v>1</v>
      </c>
      <c r="M146" s="80">
        <f t="shared" si="57"/>
        <v>312</v>
      </c>
      <c r="N146" s="78">
        <f t="shared" si="58"/>
        <v>23400</v>
      </c>
      <c r="O146" s="78">
        <f t="shared" si="59"/>
        <v>23400</v>
      </c>
    </row>
    <row r="147" spans="1:15" x14ac:dyDescent="0.25">
      <c r="A147" s="31"/>
      <c r="B147" s="4" t="s">
        <v>2299</v>
      </c>
      <c r="C147" s="5">
        <v>1</v>
      </c>
      <c r="D147" s="7">
        <v>0</v>
      </c>
      <c r="E147" s="3">
        <f t="shared" si="54"/>
        <v>1</v>
      </c>
      <c r="F147" s="3" t="s">
        <v>867</v>
      </c>
      <c r="G147" s="77"/>
      <c r="H147" s="5" t="s">
        <v>1</v>
      </c>
      <c r="I147" s="78">
        <f t="shared" si="55"/>
        <v>0</v>
      </c>
      <c r="J147" s="110">
        <f t="shared" si="56"/>
        <v>75</v>
      </c>
      <c r="K147" s="4">
        <v>336</v>
      </c>
      <c r="L147" s="5" t="s">
        <v>1</v>
      </c>
      <c r="M147" s="80">
        <f t="shared" si="57"/>
        <v>336</v>
      </c>
      <c r="N147" s="78">
        <f t="shared" si="58"/>
        <v>25200</v>
      </c>
      <c r="O147" s="78">
        <f t="shared" si="59"/>
        <v>25200</v>
      </c>
    </row>
    <row r="148" spans="1:15" x14ac:dyDescent="0.25">
      <c r="A148" s="31"/>
      <c r="B148" s="4" t="s">
        <v>2298</v>
      </c>
      <c r="C148" s="5">
        <v>1</v>
      </c>
      <c r="D148" s="7">
        <v>0</v>
      </c>
      <c r="E148" s="3">
        <f t="shared" si="54"/>
        <v>1</v>
      </c>
      <c r="F148" s="3" t="s">
        <v>867</v>
      </c>
      <c r="G148" s="77"/>
      <c r="H148" s="5" t="s">
        <v>1</v>
      </c>
      <c r="I148" s="78">
        <f t="shared" si="55"/>
        <v>0</v>
      </c>
      <c r="J148" s="110">
        <f t="shared" si="56"/>
        <v>75</v>
      </c>
      <c r="K148" s="4">
        <v>360</v>
      </c>
      <c r="L148" s="5" t="s">
        <v>1</v>
      </c>
      <c r="M148" s="80">
        <f t="shared" si="57"/>
        <v>360</v>
      </c>
      <c r="N148" s="78">
        <f t="shared" si="58"/>
        <v>27000</v>
      </c>
      <c r="O148" s="78">
        <f t="shared" si="59"/>
        <v>27000</v>
      </c>
    </row>
    <row r="149" spans="1:15" x14ac:dyDescent="0.25">
      <c r="A149" s="31"/>
      <c r="B149" s="4" t="s">
        <v>2297</v>
      </c>
      <c r="C149" s="5">
        <v>1</v>
      </c>
      <c r="D149" s="7">
        <v>0</v>
      </c>
      <c r="E149" s="3">
        <f t="shared" si="54"/>
        <v>1</v>
      </c>
      <c r="F149" s="3" t="s">
        <v>867</v>
      </c>
      <c r="G149" s="77"/>
      <c r="H149" s="5" t="s">
        <v>1</v>
      </c>
      <c r="I149" s="78">
        <f t="shared" si="55"/>
        <v>0</v>
      </c>
      <c r="J149" s="110">
        <f t="shared" si="56"/>
        <v>75</v>
      </c>
      <c r="K149" s="4">
        <v>384</v>
      </c>
      <c r="L149" s="5" t="s">
        <v>1</v>
      </c>
      <c r="M149" s="80">
        <f t="shared" si="57"/>
        <v>384</v>
      </c>
      <c r="N149" s="78">
        <f t="shared" si="58"/>
        <v>28800</v>
      </c>
      <c r="O149" s="78">
        <f t="shared" si="59"/>
        <v>28800</v>
      </c>
    </row>
    <row r="150" spans="1:15" x14ac:dyDescent="0.25">
      <c r="A150" s="31"/>
      <c r="B150" s="4" t="s">
        <v>2296</v>
      </c>
      <c r="C150" s="5">
        <v>1</v>
      </c>
      <c r="D150" s="7">
        <v>0</v>
      </c>
      <c r="E150" s="3">
        <f t="shared" si="54"/>
        <v>1</v>
      </c>
      <c r="F150" s="3" t="s">
        <v>867</v>
      </c>
      <c r="G150" s="77"/>
      <c r="H150" s="5" t="s">
        <v>1</v>
      </c>
      <c r="I150" s="78">
        <f t="shared" si="55"/>
        <v>0</v>
      </c>
      <c r="J150" s="110">
        <f t="shared" si="56"/>
        <v>75</v>
      </c>
      <c r="K150" s="4">
        <v>408</v>
      </c>
      <c r="L150" s="5" t="s">
        <v>1</v>
      </c>
      <c r="M150" s="80">
        <f t="shared" si="57"/>
        <v>408</v>
      </c>
      <c r="N150" s="78">
        <f t="shared" si="58"/>
        <v>30600</v>
      </c>
      <c r="O150" s="78">
        <f t="shared" si="59"/>
        <v>30600</v>
      </c>
    </row>
    <row r="151" spans="1:15" x14ac:dyDescent="0.25">
      <c r="A151" s="31"/>
      <c r="B151" s="4" t="s">
        <v>2295</v>
      </c>
      <c r="C151" s="5">
        <v>1</v>
      </c>
      <c r="D151" s="7">
        <v>0</v>
      </c>
      <c r="E151" s="3">
        <f t="shared" si="54"/>
        <v>1</v>
      </c>
      <c r="F151" s="3" t="s">
        <v>867</v>
      </c>
      <c r="G151" s="77"/>
      <c r="H151" s="5" t="s">
        <v>1</v>
      </c>
      <c r="I151" s="78">
        <f t="shared" si="55"/>
        <v>0</v>
      </c>
      <c r="J151" s="110">
        <f t="shared" si="56"/>
        <v>75</v>
      </c>
      <c r="K151" s="4">
        <v>432</v>
      </c>
      <c r="L151" s="5" t="s">
        <v>1</v>
      </c>
      <c r="M151" s="80">
        <f t="shared" si="57"/>
        <v>432</v>
      </c>
      <c r="N151" s="78">
        <f t="shared" si="58"/>
        <v>32400</v>
      </c>
      <c r="O151" s="78">
        <f t="shared" si="59"/>
        <v>32400</v>
      </c>
    </row>
    <row r="152" spans="1:15" x14ac:dyDescent="0.25">
      <c r="A152" s="31"/>
      <c r="B152" s="4" t="s">
        <v>2294</v>
      </c>
      <c r="C152" s="5">
        <v>1</v>
      </c>
      <c r="D152" s="7">
        <v>0</v>
      </c>
      <c r="E152" s="3">
        <f t="shared" si="54"/>
        <v>1</v>
      </c>
      <c r="F152" s="3" t="s">
        <v>867</v>
      </c>
      <c r="G152" s="77"/>
      <c r="H152" s="5" t="s">
        <v>1</v>
      </c>
      <c r="I152" s="78">
        <f t="shared" si="55"/>
        <v>0</v>
      </c>
      <c r="J152" s="110">
        <f t="shared" si="56"/>
        <v>75</v>
      </c>
      <c r="K152" s="4">
        <v>456</v>
      </c>
      <c r="L152" s="5" t="s">
        <v>1</v>
      </c>
      <c r="M152" s="80">
        <f t="shared" si="57"/>
        <v>456</v>
      </c>
      <c r="N152" s="78">
        <f t="shared" si="58"/>
        <v>34200</v>
      </c>
      <c r="O152" s="78">
        <f t="shared" si="59"/>
        <v>34200</v>
      </c>
    </row>
    <row r="153" spans="1:15" x14ac:dyDescent="0.25">
      <c r="A153" s="31"/>
      <c r="B153" s="4" t="s">
        <v>2293</v>
      </c>
      <c r="C153" s="5">
        <v>1</v>
      </c>
      <c r="D153" s="7">
        <v>0</v>
      </c>
      <c r="E153" s="3">
        <f t="shared" si="54"/>
        <v>1</v>
      </c>
      <c r="F153" s="3" t="s">
        <v>867</v>
      </c>
      <c r="G153" s="77"/>
      <c r="H153" s="5" t="s">
        <v>1</v>
      </c>
      <c r="I153" s="78">
        <f t="shared" si="55"/>
        <v>0</v>
      </c>
      <c r="J153" s="110">
        <f t="shared" si="56"/>
        <v>75</v>
      </c>
      <c r="K153" s="4">
        <v>480</v>
      </c>
      <c r="L153" s="5" t="s">
        <v>1</v>
      </c>
      <c r="M153" s="80">
        <f t="shared" si="57"/>
        <v>480</v>
      </c>
      <c r="N153" s="78">
        <f t="shared" si="58"/>
        <v>36000</v>
      </c>
      <c r="O153" s="78">
        <f t="shared" si="59"/>
        <v>36000</v>
      </c>
    </row>
    <row r="154" spans="1:15" ht="15.75" thickBot="1" x14ac:dyDescent="0.3">
      <c r="A154" s="31"/>
      <c r="B154" s="258"/>
      <c r="C154" s="259">
        <v>1</v>
      </c>
      <c r="D154" s="259">
        <v>0</v>
      </c>
      <c r="E154" s="259">
        <f t="shared" si="54"/>
        <v>1</v>
      </c>
      <c r="F154" s="259" t="s">
        <v>867</v>
      </c>
      <c r="G154" s="259"/>
      <c r="H154" s="259" t="s">
        <v>1</v>
      </c>
      <c r="I154" s="259">
        <f t="shared" si="55"/>
        <v>0</v>
      </c>
      <c r="J154" s="259">
        <f t="shared" si="56"/>
        <v>75</v>
      </c>
      <c r="K154" s="259"/>
      <c r="L154" s="259" t="s">
        <v>1</v>
      </c>
      <c r="M154" s="259">
        <f t="shared" si="57"/>
        <v>0</v>
      </c>
      <c r="N154" s="259">
        <f t="shared" si="58"/>
        <v>0</v>
      </c>
      <c r="O154" s="259">
        <f t="shared" si="59"/>
        <v>0</v>
      </c>
    </row>
    <row r="155" spans="1:15" ht="15.75" thickBot="1" x14ac:dyDescent="0.3">
      <c r="A155" s="60"/>
      <c r="B155" s="145" t="s">
        <v>2292</v>
      </c>
      <c r="C155" s="5"/>
      <c r="D155" s="7"/>
      <c r="E155" s="3"/>
      <c r="F155" s="3"/>
      <c r="G155" s="9"/>
      <c r="H155" s="5"/>
      <c r="I155" s="9"/>
      <c r="J155" s="9"/>
      <c r="K155" s="15"/>
      <c r="L155" s="5"/>
      <c r="M155" s="15"/>
      <c r="N155" s="4"/>
      <c r="O155" s="4"/>
    </row>
    <row r="156" spans="1:15" x14ac:dyDescent="0.25">
      <c r="A156" s="31">
        <v>1</v>
      </c>
      <c r="B156" s="4" t="s">
        <v>2291</v>
      </c>
      <c r="C156" s="5">
        <v>1</v>
      </c>
      <c r="D156" s="7">
        <v>0</v>
      </c>
      <c r="E156" s="3">
        <f t="shared" ref="E156:E176" si="60">C156+(C156*D156)</f>
        <v>1</v>
      </c>
      <c r="F156" s="3" t="s">
        <v>867</v>
      </c>
      <c r="G156" s="77"/>
      <c r="H156" s="5" t="s">
        <v>1</v>
      </c>
      <c r="I156" s="78">
        <f t="shared" ref="I156:I176" si="61">IF(H156="C",(G156/100)*E156,IF(H156="M",(G156/1000)*E156,G156*E156))</f>
        <v>0</v>
      </c>
      <c r="J156" s="110">
        <f t="shared" ref="J156:J176" si="62">$O$4</f>
        <v>75</v>
      </c>
      <c r="K156" s="4">
        <v>26</v>
      </c>
      <c r="L156" s="5" t="s">
        <v>1</v>
      </c>
      <c r="M156" s="80">
        <f t="shared" ref="M156:M176" si="63">IF(L156="C",(K156/100)*E156,IF(L156="M",(K156/1000)*E156,K156*E156))</f>
        <v>26</v>
      </c>
      <c r="N156" s="78">
        <f t="shared" ref="N156:N176" si="64">M156*J156</f>
        <v>1950</v>
      </c>
      <c r="O156" s="78">
        <f t="shared" ref="O156:O176" si="65">N156+I156</f>
        <v>1950</v>
      </c>
    </row>
    <row r="157" spans="1:15" x14ac:dyDescent="0.25">
      <c r="A157" s="31"/>
      <c r="B157" s="4" t="s">
        <v>2290</v>
      </c>
      <c r="C157" s="5">
        <v>1</v>
      </c>
      <c r="D157" s="7">
        <v>0</v>
      </c>
      <c r="E157" s="3">
        <f t="shared" si="60"/>
        <v>1</v>
      </c>
      <c r="F157" s="3" t="s">
        <v>867</v>
      </c>
      <c r="G157" s="77"/>
      <c r="H157" s="5" t="s">
        <v>1</v>
      </c>
      <c r="I157" s="78">
        <f t="shared" si="61"/>
        <v>0</v>
      </c>
      <c r="J157" s="110">
        <f t="shared" si="62"/>
        <v>75</v>
      </c>
      <c r="K157" s="4">
        <v>52</v>
      </c>
      <c r="L157" s="5" t="s">
        <v>1</v>
      </c>
      <c r="M157" s="80">
        <f t="shared" si="63"/>
        <v>52</v>
      </c>
      <c r="N157" s="78">
        <f t="shared" si="64"/>
        <v>3900</v>
      </c>
      <c r="O157" s="78">
        <f t="shared" si="65"/>
        <v>3900</v>
      </c>
    </row>
    <row r="158" spans="1:15" x14ac:dyDescent="0.25">
      <c r="A158" s="31"/>
      <c r="B158" s="4" t="s">
        <v>2289</v>
      </c>
      <c r="C158" s="5">
        <v>1</v>
      </c>
      <c r="D158" s="7">
        <v>0</v>
      </c>
      <c r="E158" s="3">
        <f t="shared" si="60"/>
        <v>1</v>
      </c>
      <c r="F158" s="3" t="s">
        <v>867</v>
      </c>
      <c r="G158" s="77"/>
      <c r="H158" s="5" t="s">
        <v>1</v>
      </c>
      <c r="I158" s="78">
        <f t="shared" si="61"/>
        <v>0</v>
      </c>
      <c r="J158" s="110">
        <f t="shared" si="62"/>
        <v>75</v>
      </c>
      <c r="K158" s="4">
        <v>78</v>
      </c>
      <c r="L158" s="5" t="s">
        <v>1</v>
      </c>
      <c r="M158" s="80">
        <f t="shared" si="63"/>
        <v>78</v>
      </c>
      <c r="N158" s="78">
        <f t="shared" si="64"/>
        <v>5850</v>
      </c>
      <c r="O158" s="78">
        <f t="shared" si="65"/>
        <v>5850</v>
      </c>
    </row>
    <row r="159" spans="1:15" x14ac:dyDescent="0.25">
      <c r="A159" s="31"/>
      <c r="B159" s="4" t="s">
        <v>2288</v>
      </c>
      <c r="C159" s="5">
        <v>1</v>
      </c>
      <c r="D159" s="7">
        <v>0</v>
      </c>
      <c r="E159" s="3">
        <f t="shared" si="60"/>
        <v>1</v>
      </c>
      <c r="F159" s="3" t="s">
        <v>867</v>
      </c>
      <c r="G159" s="77"/>
      <c r="H159" s="5" t="s">
        <v>1</v>
      </c>
      <c r="I159" s="78">
        <f t="shared" si="61"/>
        <v>0</v>
      </c>
      <c r="J159" s="110">
        <f t="shared" si="62"/>
        <v>75</v>
      </c>
      <c r="K159" s="4">
        <v>104</v>
      </c>
      <c r="L159" s="5" t="s">
        <v>1</v>
      </c>
      <c r="M159" s="80">
        <f t="shared" si="63"/>
        <v>104</v>
      </c>
      <c r="N159" s="78">
        <f t="shared" si="64"/>
        <v>7800</v>
      </c>
      <c r="O159" s="78">
        <f t="shared" si="65"/>
        <v>7800</v>
      </c>
    </row>
    <row r="160" spans="1:15" x14ac:dyDescent="0.25">
      <c r="A160" s="31"/>
      <c r="B160" s="4" t="s">
        <v>2287</v>
      </c>
      <c r="C160" s="5">
        <v>1</v>
      </c>
      <c r="D160" s="7">
        <v>0</v>
      </c>
      <c r="E160" s="3">
        <f t="shared" si="60"/>
        <v>1</v>
      </c>
      <c r="F160" s="3" t="s">
        <v>867</v>
      </c>
      <c r="G160" s="77"/>
      <c r="H160" s="5" t="s">
        <v>1</v>
      </c>
      <c r="I160" s="78">
        <f t="shared" si="61"/>
        <v>0</v>
      </c>
      <c r="J160" s="110">
        <f t="shared" si="62"/>
        <v>75</v>
      </c>
      <c r="K160" s="4">
        <v>130</v>
      </c>
      <c r="L160" s="5" t="s">
        <v>1</v>
      </c>
      <c r="M160" s="80">
        <f t="shared" si="63"/>
        <v>130</v>
      </c>
      <c r="N160" s="78">
        <f t="shared" si="64"/>
        <v>9750</v>
      </c>
      <c r="O160" s="78">
        <f t="shared" si="65"/>
        <v>9750</v>
      </c>
    </row>
    <row r="161" spans="1:15" x14ac:dyDescent="0.25">
      <c r="A161" s="31"/>
      <c r="B161" s="4" t="s">
        <v>2286</v>
      </c>
      <c r="C161" s="5">
        <v>1</v>
      </c>
      <c r="D161" s="7">
        <v>0</v>
      </c>
      <c r="E161" s="3">
        <f t="shared" si="60"/>
        <v>1</v>
      </c>
      <c r="F161" s="3" t="s">
        <v>867</v>
      </c>
      <c r="G161" s="77"/>
      <c r="H161" s="5" t="s">
        <v>1</v>
      </c>
      <c r="I161" s="78">
        <f t="shared" si="61"/>
        <v>0</v>
      </c>
      <c r="J161" s="110">
        <f t="shared" si="62"/>
        <v>75</v>
      </c>
      <c r="K161" s="4">
        <v>156</v>
      </c>
      <c r="L161" s="5" t="s">
        <v>1</v>
      </c>
      <c r="M161" s="80">
        <f t="shared" si="63"/>
        <v>156</v>
      </c>
      <c r="N161" s="78">
        <f t="shared" si="64"/>
        <v>11700</v>
      </c>
      <c r="O161" s="78">
        <f t="shared" si="65"/>
        <v>11700</v>
      </c>
    </row>
    <row r="162" spans="1:15" x14ac:dyDescent="0.25">
      <c r="A162" s="31"/>
      <c r="B162" s="4" t="s">
        <v>2285</v>
      </c>
      <c r="C162" s="5">
        <v>1</v>
      </c>
      <c r="D162" s="7">
        <v>0</v>
      </c>
      <c r="E162" s="3">
        <f t="shared" si="60"/>
        <v>1</v>
      </c>
      <c r="F162" s="3" t="s">
        <v>867</v>
      </c>
      <c r="G162" s="77"/>
      <c r="H162" s="5" t="s">
        <v>1</v>
      </c>
      <c r="I162" s="78">
        <f t="shared" si="61"/>
        <v>0</v>
      </c>
      <c r="J162" s="110">
        <f t="shared" si="62"/>
        <v>75</v>
      </c>
      <c r="K162" s="4">
        <v>182</v>
      </c>
      <c r="L162" s="5" t="s">
        <v>1</v>
      </c>
      <c r="M162" s="80">
        <f t="shared" si="63"/>
        <v>182</v>
      </c>
      <c r="N162" s="78">
        <f t="shared" si="64"/>
        <v>13650</v>
      </c>
      <c r="O162" s="78">
        <f t="shared" si="65"/>
        <v>13650</v>
      </c>
    </row>
    <row r="163" spans="1:15" x14ac:dyDescent="0.25">
      <c r="A163" s="31"/>
      <c r="B163" s="4" t="s">
        <v>2284</v>
      </c>
      <c r="C163" s="5">
        <v>1</v>
      </c>
      <c r="D163" s="7">
        <v>0</v>
      </c>
      <c r="E163" s="3">
        <f t="shared" si="60"/>
        <v>1</v>
      </c>
      <c r="F163" s="3" t="s">
        <v>867</v>
      </c>
      <c r="G163" s="77"/>
      <c r="H163" s="5" t="s">
        <v>1</v>
      </c>
      <c r="I163" s="78">
        <f t="shared" si="61"/>
        <v>0</v>
      </c>
      <c r="J163" s="110">
        <f t="shared" si="62"/>
        <v>75</v>
      </c>
      <c r="K163" s="4">
        <v>208</v>
      </c>
      <c r="L163" s="5" t="s">
        <v>1</v>
      </c>
      <c r="M163" s="80">
        <f t="shared" si="63"/>
        <v>208</v>
      </c>
      <c r="N163" s="78">
        <f t="shared" si="64"/>
        <v>15600</v>
      </c>
      <c r="O163" s="78">
        <f t="shared" si="65"/>
        <v>15600</v>
      </c>
    </row>
    <row r="164" spans="1:15" x14ac:dyDescent="0.25">
      <c r="A164" s="31"/>
      <c r="B164" s="4" t="s">
        <v>2283</v>
      </c>
      <c r="C164" s="5">
        <v>1</v>
      </c>
      <c r="D164" s="7">
        <v>0</v>
      </c>
      <c r="E164" s="3">
        <f t="shared" si="60"/>
        <v>1</v>
      </c>
      <c r="F164" s="3" t="s">
        <v>867</v>
      </c>
      <c r="G164" s="77"/>
      <c r="H164" s="5" t="s">
        <v>1</v>
      </c>
      <c r="I164" s="78">
        <f t="shared" si="61"/>
        <v>0</v>
      </c>
      <c r="J164" s="110">
        <f t="shared" si="62"/>
        <v>75</v>
      </c>
      <c r="K164" s="4">
        <v>234</v>
      </c>
      <c r="L164" s="5" t="s">
        <v>1</v>
      </c>
      <c r="M164" s="80">
        <f t="shared" si="63"/>
        <v>234</v>
      </c>
      <c r="N164" s="78">
        <f t="shared" si="64"/>
        <v>17550</v>
      </c>
      <c r="O164" s="78">
        <f t="shared" si="65"/>
        <v>17550</v>
      </c>
    </row>
    <row r="165" spans="1:15" x14ac:dyDescent="0.25">
      <c r="A165" s="31"/>
      <c r="B165" s="4" t="s">
        <v>2282</v>
      </c>
      <c r="C165" s="5">
        <v>1</v>
      </c>
      <c r="D165" s="7">
        <v>0</v>
      </c>
      <c r="E165" s="3">
        <f t="shared" si="60"/>
        <v>1</v>
      </c>
      <c r="F165" s="3" t="s">
        <v>867</v>
      </c>
      <c r="G165" s="77"/>
      <c r="H165" s="5" t="s">
        <v>1</v>
      </c>
      <c r="I165" s="78">
        <f t="shared" si="61"/>
        <v>0</v>
      </c>
      <c r="J165" s="110">
        <f t="shared" si="62"/>
        <v>75</v>
      </c>
      <c r="K165" s="4">
        <v>260</v>
      </c>
      <c r="L165" s="5" t="s">
        <v>1</v>
      </c>
      <c r="M165" s="80">
        <f t="shared" si="63"/>
        <v>260</v>
      </c>
      <c r="N165" s="78">
        <f t="shared" si="64"/>
        <v>19500</v>
      </c>
      <c r="O165" s="78">
        <f t="shared" si="65"/>
        <v>19500</v>
      </c>
    </row>
    <row r="166" spans="1:15" x14ac:dyDescent="0.25">
      <c r="A166" s="31"/>
      <c r="B166" s="4" t="s">
        <v>2281</v>
      </c>
      <c r="C166" s="5">
        <v>1</v>
      </c>
      <c r="D166" s="7">
        <v>0</v>
      </c>
      <c r="E166" s="3">
        <f t="shared" si="60"/>
        <v>1</v>
      </c>
      <c r="F166" s="3" t="s">
        <v>867</v>
      </c>
      <c r="G166" s="77"/>
      <c r="H166" s="5" t="s">
        <v>1</v>
      </c>
      <c r="I166" s="78">
        <f t="shared" si="61"/>
        <v>0</v>
      </c>
      <c r="J166" s="110">
        <f t="shared" si="62"/>
        <v>75</v>
      </c>
      <c r="K166" s="4">
        <v>286</v>
      </c>
      <c r="L166" s="5" t="s">
        <v>1</v>
      </c>
      <c r="M166" s="80">
        <f t="shared" si="63"/>
        <v>286</v>
      </c>
      <c r="N166" s="78">
        <f t="shared" si="64"/>
        <v>21450</v>
      </c>
      <c r="O166" s="78">
        <f t="shared" si="65"/>
        <v>21450</v>
      </c>
    </row>
    <row r="167" spans="1:15" x14ac:dyDescent="0.25">
      <c r="A167" s="31"/>
      <c r="B167" s="4" t="s">
        <v>2280</v>
      </c>
      <c r="C167" s="5">
        <v>1</v>
      </c>
      <c r="D167" s="7">
        <v>0</v>
      </c>
      <c r="E167" s="3">
        <f t="shared" si="60"/>
        <v>1</v>
      </c>
      <c r="F167" s="3" t="s">
        <v>867</v>
      </c>
      <c r="G167" s="77"/>
      <c r="H167" s="5" t="s">
        <v>1</v>
      </c>
      <c r="I167" s="78">
        <f t="shared" si="61"/>
        <v>0</v>
      </c>
      <c r="J167" s="110">
        <f t="shared" si="62"/>
        <v>75</v>
      </c>
      <c r="K167" s="4">
        <v>312</v>
      </c>
      <c r="L167" s="5" t="s">
        <v>1</v>
      </c>
      <c r="M167" s="80">
        <f t="shared" si="63"/>
        <v>312</v>
      </c>
      <c r="N167" s="78">
        <f t="shared" si="64"/>
        <v>23400</v>
      </c>
      <c r="O167" s="78">
        <f t="shared" si="65"/>
        <v>23400</v>
      </c>
    </row>
    <row r="168" spans="1:15" x14ac:dyDescent="0.25">
      <c r="A168" s="31"/>
      <c r="B168" s="4" t="s">
        <v>2279</v>
      </c>
      <c r="C168" s="5">
        <v>1</v>
      </c>
      <c r="D168" s="7">
        <v>0</v>
      </c>
      <c r="E168" s="3">
        <f t="shared" si="60"/>
        <v>1</v>
      </c>
      <c r="F168" s="3" t="s">
        <v>867</v>
      </c>
      <c r="G168" s="77"/>
      <c r="H168" s="5" t="s">
        <v>1</v>
      </c>
      <c r="I168" s="78">
        <f t="shared" si="61"/>
        <v>0</v>
      </c>
      <c r="J168" s="110">
        <f t="shared" si="62"/>
        <v>75</v>
      </c>
      <c r="K168" s="4">
        <v>338</v>
      </c>
      <c r="L168" s="5" t="s">
        <v>1</v>
      </c>
      <c r="M168" s="80">
        <f t="shared" si="63"/>
        <v>338</v>
      </c>
      <c r="N168" s="78">
        <f t="shared" si="64"/>
        <v>25350</v>
      </c>
      <c r="O168" s="78">
        <f t="shared" si="65"/>
        <v>25350</v>
      </c>
    </row>
    <row r="169" spans="1:15" x14ac:dyDescent="0.25">
      <c r="A169" s="31"/>
      <c r="B169" s="4" t="s">
        <v>2278</v>
      </c>
      <c r="C169" s="5">
        <v>1</v>
      </c>
      <c r="D169" s="7">
        <v>0</v>
      </c>
      <c r="E169" s="3">
        <f t="shared" si="60"/>
        <v>1</v>
      </c>
      <c r="F169" s="3" t="s">
        <v>867</v>
      </c>
      <c r="G169" s="77"/>
      <c r="H169" s="5" t="s">
        <v>1</v>
      </c>
      <c r="I169" s="78">
        <f t="shared" si="61"/>
        <v>0</v>
      </c>
      <c r="J169" s="110">
        <f t="shared" si="62"/>
        <v>75</v>
      </c>
      <c r="K169" s="4">
        <v>364</v>
      </c>
      <c r="L169" s="5" t="s">
        <v>1</v>
      </c>
      <c r="M169" s="80">
        <f t="shared" si="63"/>
        <v>364</v>
      </c>
      <c r="N169" s="78">
        <f t="shared" si="64"/>
        <v>27300</v>
      </c>
      <c r="O169" s="78">
        <f t="shared" si="65"/>
        <v>27300</v>
      </c>
    </row>
    <row r="170" spans="1:15" x14ac:dyDescent="0.25">
      <c r="A170" s="31"/>
      <c r="B170" s="4" t="s">
        <v>2277</v>
      </c>
      <c r="C170" s="5">
        <v>1</v>
      </c>
      <c r="D170" s="7">
        <v>0</v>
      </c>
      <c r="E170" s="3">
        <f t="shared" si="60"/>
        <v>1</v>
      </c>
      <c r="F170" s="3" t="s">
        <v>867</v>
      </c>
      <c r="G170" s="77"/>
      <c r="H170" s="5" t="s">
        <v>1</v>
      </c>
      <c r="I170" s="78">
        <f t="shared" si="61"/>
        <v>0</v>
      </c>
      <c r="J170" s="110">
        <f t="shared" si="62"/>
        <v>75</v>
      </c>
      <c r="K170" s="4">
        <v>390</v>
      </c>
      <c r="L170" s="5" t="s">
        <v>1</v>
      </c>
      <c r="M170" s="80">
        <f t="shared" si="63"/>
        <v>390</v>
      </c>
      <c r="N170" s="78">
        <f t="shared" si="64"/>
        <v>29250</v>
      </c>
      <c r="O170" s="78">
        <f t="shared" si="65"/>
        <v>29250</v>
      </c>
    </row>
    <row r="171" spans="1:15" x14ac:dyDescent="0.25">
      <c r="A171" s="31"/>
      <c r="B171" s="4" t="s">
        <v>2276</v>
      </c>
      <c r="C171" s="5">
        <v>1</v>
      </c>
      <c r="D171" s="7">
        <v>0</v>
      </c>
      <c r="E171" s="3">
        <f t="shared" si="60"/>
        <v>1</v>
      </c>
      <c r="F171" s="3" t="s">
        <v>867</v>
      </c>
      <c r="G171" s="77"/>
      <c r="H171" s="5" t="s">
        <v>1</v>
      </c>
      <c r="I171" s="78">
        <f t="shared" si="61"/>
        <v>0</v>
      </c>
      <c r="J171" s="110">
        <f t="shared" si="62"/>
        <v>75</v>
      </c>
      <c r="K171" s="4">
        <v>416</v>
      </c>
      <c r="L171" s="5" t="s">
        <v>1</v>
      </c>
      <c r="M171" s="80">
        <f t="shared" si="63"/>
        <v>416</v>
      </c>
      <c r="N171" s="78">
        <f t="shared" si="64"/>
        <v>31200</v>
      </c>
      <c r="O171" s="78">
        <f t="shared" si="65"/>
        <v>31200</v>
      </c>
    </row>
    <row r="172" spans="1:15" x14ac:dyDescent="0.25">
      <c r="A172" s="31"/>
      <c r="B172" s="4" t="s">
        <v>2275</v>
      </c>
      <c r="C172" s="5">
        <v>1</v>
      </c>
      <c r="D172" s="7">
        <v>0</v>
      </c>
      <c r="E172" s="3">
        <f t="shared" si="60"/>
        <v>1</v>
      </c>
      <c r="F172" s="3" t="s">
        <v>867</v>
      </c>
      <c r="G172" s="77"/>
      <c r="H172" s="5" t="s">
        <v>1</v>
      </c>
      <c r="I172" s="78">
        <f t="shared" si="61"/>
        <v>0</v>
      </c>
      <c r="J172" s="110">
        <f t="shared" si="62"/>
        <v>75</v>
      </c>
      <c r="K172" s="4">
        <v>442</v>
      </c>
      <c r="L172" s="5" t="s">
        <v>1</v>
      </c>
      <c r="M172" s="80">
        <f t="shared" si="63"/>
        <v>442</v>
      </c>
      <c r="N172" s="78">
        <f t="shared" si="64"/>
        <v>33150</v>
      </c>
      <c r="O172" s="78">
        <f t="shared" si="65"/>
        <v>33150</v>
      </c>
    </row>
    <row r="173" spans="1:15" x14ac:dyDescent="0.25">
      <c r="A173" s="31"/>
      <c r="B173" s="4" t="s">
        <v>2274</v>
      </c>
      <c r="C173" s="5">
        <v>1</v>
      </c>
      <c r="D173" s="7">
        <v>0</v>
      </c>
      <c r="E173" s="3">
        <f t="shared" si="60"/>
        <v>1</v>
      </c>
      <c r="F173" s="3" t="s">
        <v>867</v>
      </c>
      <c r="G173" s="77"/>
      <c r="H173" s="5" t="s">
        <v>1</v>
      </c>
      <c r="I173" s="78">
        <f t="shared" si="61"/>
        <v>0</v>
      </c>
      <c r="J173" s="110">
        <f t="shared" si="62"/>
        <v>75</v>
      </c>
      <c r="K173" s="4">
        <v>468</v>
      </c>
      <c r="L173" s="5" t="s">
        <v>1</v>
      </c>
      <c r="M173" s="80">
        <f t="shared" si="63"/>
        <v>468</v>
      </c>
      <c r="N173" s="78">
        <f t="shared" si="64"/>
        <v>35100</v>
      </c>
      <c r="O173" s="78">
        <f t="shared" si="65"/>
        <v>35100</v>
      </c>
    </row>
    <row r="174" spans="1:15" x14ac:dyDescent="0.25">
      <c r="A174" s="31"/>
      <c r="B174" s="4" t="s">
        <v>2273</v>
      </c>
      <c r="C174" s="5">
        <v>1</v>
      </c>
      <c r="D174" s="7">
        <v>0</v>
      </c>
      <c r="E174" s="3">
        <f t="shared" si="60"/>
        <v>1</v>
      </c>
      <c r="F174" s="3" t="s">
        <v>867</v>
      </c>
      <c r="G174" s="77"/>
      <c r="H174" s="5" t="s">
        <v>1</v>
      </c>
      <c r="I174" s="78">
        <f t="shared" si="61"/>
        <v>0</v>
      </c>
      <c r="J174" s="110">
        <f t="shared" si="62"/>
        <v>75</v>
      </c>
      <c r="K174" s="4">
        <v>494</v>
      </c>
      <c r="L174" s="5" t="s">
        <v>1</v>
      </c>
      <c r="M174" s="80">
        <f t="shared" si="63"/>
        <v>494</v>
      </c>
      <c r="N174" s="78">
        <f t="shared" si="64"/>
        <v>37050</v>
      </c>
      <c r="O174" s="78">
        <f t="shared" si="65"/>
        <v>37050</v>
      </c>
    </row>
    <row r="175" spans="1:15" x14ac:dyDescent="0.25">
      <c r="A175" s="31"/>
      <c r="B175" s="4" t="s">
        <v>2272</v>
      </c>
      <c r="C175" s="5">
        <v>1</v>
      </c>
      <c r="D175" s="7">
        <v>0</v>
      </c>
      <c r="E175" s="3">
        <f t="shared" si="60"/>
        <v>1</v>
      </c>
      <c r="F175" s="3" t="s">
        <v>867</v>
      </c>
      <c r="G175" s="77"/>
      <c r="H175" s="5" t="s">
        <v>1</v>
      </c>
      <c r="I175" s="78">
        <f t="shared" si="61"/>
        <v>0</v>
      </c>
      <c r="J175" s="110">
        <f t="shared" si="62"/>
        <v>75</v>
      </c>
      <c r="K175" s="4">
        <v>520</v>
      </c>
      <c r="L175" s="5" t="s">
        <v>1</v>
      </c>
      <c r="M175" s="80">
        <f t="shared" si="63"/>
        <v>520</v>
      </c>
      <c r="N175" s="78">
        <f t="shared" si="64"/>
        <v>39000</v>
      </c>
      <c r="O175" s="78">
        <f t="shared" si="65"/>
        <v>39000</v>
      </c>
    </row>
    <row r="176" spans="1:15" ht="15.75" thickBot="1" x14ac:dyDescent="0.3">
      <c r="A176" s="31"/>
      <c r="B176" s="258"/>
      <c r="C176" s="259">
        <v>1</v>
      </c>
      <c r="D176" s="259">
        <v>0</v>
      </c>
      <c r="E176" s="259">
        <f t="shared" si="60"/>
        <v>1</v>
      </c>
      <c r="F176" s="259" t="s">
        <v>867</v>
      </c>
      <c r="G176" s="259"/>
      <c r="H176" s="259" t="s">
        <v>1</v>
      </c>
      <c r="I176" s="259">
        <f t="shared" si="61"/>
        <v>0</v>
      </c>
      <c r="J176" s="259">
        <f t="shared" si="62"/>
        <v>75</v>
      </c>
      <c r="K176" s="259"/>
      <c r="L176" s="259" t="s">
        <v>1</v>
      </c>
      <c r="M176" s="259">
        <f t="shared" si="63"/>
        <v>0</v>
      </c>
      <c r="N176" s="259">
        <f t="shared" si="64"/>
        <v>0</v>
      </c>
      <c r="O176" s="259">
        <f t="shared" si="65"/>
        <v>0</v>
      </c>
    </row>
    <row r="177" spans="1:15" ht="15.75" thickBot="1" x14ac:dyDescent="0.3">
      <c r="A177" s="60"/>
      <c r="B177" s="145" t="s">
        <v>2271</v>
      </c>
      <c r="C177" s="5"/>
      <c r="D177" s="7"/>
      <c r="E177" s="3"/>
      <c r="F177" s="3"/>
      <c r="G177" s="9"/>
      <c r="H177" s="5"/>
      <c r="I177" s="9"/>
      <c r="J177" s="9"/>
      <c r="K177" s="15"/>
      <c r="L177" s="5"/>
      <c r="M177" s="15"/>
      <c r="N177" s="4"/>
      <c r="O177" s="4"/>
    </row>
    <row r="178" spans="1:15" x14ac:dyDescent="0.25">
      <c r="A178" s="31">
        <v>1</v>
      </c>
      <c r="B178" s="4" t="s">
        <v>2270</v>
      </c>
      <c r="C178" s="5">
        <v>1</v>
      </c>
      <c r="D178" s="7">
        <v>0</v>
      </c>
      <c r="E178" s="3">
        <f t="shared" ref="E178:E198" si="66">C178+(C178*D178)</f>
        <v>1</v>
      </c>
      <c r="F178" s="3" t="s">
        <v>867</v>
      </c>
      <c r="G178" s="77"/>
      <c r="H178" s="5" t="s">
        <v>1</v>
      </c>
      <c r="I178" s="78">
        <f t="shared" ref="I178:I198" si="67">IF(H178="C",(G178/100)*E178,IF(H178="M",(G178/1000)*E178,G178*E178))</f>
        <v>0</v>
      </c>
      <c r="J178" s="110">
        <f t="shared" ref="J178:J198" si="68">$O$4</f>
        <v>75</v>
      </c>
      <c r="K178" s="4">
        <v>28</v>
      </c>
      <c r="L178" s="5" t="s">
        <v>1</v>
      </c>
      <c r="M178" s="80">
        <f t="shared" ref="M178:M198" si="69">IF(L178="C",(K178/100)*E178,IF(L178="M",(K178/1000)*E178,K178*E178))</f>
        <v>28</v>
      </c>
      <c r="N178" s="78">
        <f t="shared" ref="N178:N198" si="70">M178*J178</f>
        <v>2100</v>
      </c>
      <c r="O178" s="78">
        <f t="shared" ref="O178:O198" si="71">N178+I178</f>
        <v>2100</v>
      </c>
    </row>
    <row r="179" spans="1:15" x14ac:dyDescent="0.25">
      <c r="A179" s="31"/>
      <c r="B179" s="4" t="s">
        <v>2269</v>
      </c>
      <c r="C179" s="5">
        <v>1</v>
      </c>
      <c r="D179" s="7">
        <v>0</v>
      </c>
      <c r="E179" s="3">
        <f t="shared" si="66"/>
        <v>1</v>
      </c>
      <c r="F179" s="3" t="s">
        <v>867</v>
      </c>
      <c r="G179" s="77"/>
      <c r="H179" s="5" t="s">
        <v>1</v>
      </c>
      <c r="I179" s="78">
        <f t="shared" si="67"/>
        <v>0</v>
      </c>
      <c r="J179" s="110">
        <f t="shared" si="68"/>
        <v>75</v>
      </c>
      <c r="K179" s="4">
        <v>56</v>
      </c>
      <c r="L179" s="5" t="s">
        <v>1</v>
      </c>
      <c r="M179" s="80">
        <f t="shared" si="69"/>
        <v>56</v>
      </c>
      <c r="N179" s="78">
        <f t="shared" si="70"/>
        <v>4200</v>
      </c>
      <c r="O179" s="78">
        <f t="shared" si="71"/>
        <v>4200</v>
      </c>
    </row>
    <row r="180" spans="1:15" x14ac:dyDescent="0.25">
      <c r="A180" s="31"/>
      <c r="B180" s="4" t="s">
        <v>2268</v>
      </c>
      <c r="C180" s="5">
        <v>1</v>
      </c>
      <c r="D180" s="7">
        <v>0</v>
      </c>
      <c r="E180" s="3">
        <f t="shared" si="66"/>
        <v>1</v>
      </c>
      <c r="F180" s="3" t="s">
        <v>867</v>
      </c>
      <c r="G180" s="77"/>
      <c r="H180" s="5" t="s">
        <v>1</v>
      </c>
      <c r="I180" s="78">
        <f t="shared" si="67"/>
        <v>0</v>
      </c>
      <c r="J180" s="110">
        <f t="shared" si="68"/>
        <v>75</v>
      </c>
      <c r="K180" s="4">
        <v>84</v>
      </c>
      <c r="L180" s="5" t="s">
        <v>1</v>
      </c>
      <c r="M180" s="80">
        <f t="shared" si="69"/>
        <v>84</v>
      </c>
      <c r="N180" s="78">
        <f t="shared" si="70"/>
        <v>6300</v>
      </c>
      <c r="O180" s="78">
        <f t="shared" si="71"/>
        <v>6300</v>
      </c>
    </row>
    <row r="181" spans="1:15" x14ac:dyDescent="0.25">
      <c r="A181" s="31"/>
      <c r="B181" s="4" t="s">
        <v>2267</v>
      </c>
      <c r="C181" s="5">
        <v>1</v>
      </c>
      <c r="D181" s="7">
        <v>0</v>
      </c>
      <c r="E181" s="3">
        <f t="shared" si="66"/>
        <v>1</v>
      </c>
      <c r="F181" s="3" t="s">
        <v>867</v>
      </c>
      <c r="G181" s="77"/>
      <c r="H181" s="5" t="s">
        <v>1</v>
      </c>
      <c r="I181" s="78">
        <f t="shared" si="67"/>
        <v>0</v>
      </c>
      <c r="J181" s="110">
        <f t="shared" si="68"/>
        <v>75</v>
      </c>
      <c r="K181" s="4">
        <v>112</v>
      </c>
      <c r="L181" s="5" t="s">
        <v>1</v>
      </c>
      <c r="M181" s="80">
        <f t="shared" si="69"/>
        <v>112</v>
      </c>
      <c r="N181" s="78">
        <f t="shared" si="70"/>
        <v>8400</v>
      </c>
      <c r="O181" s="78">
        <f t="shared" si="71"/>
        <v>8400</v>
      </c>
    </row>
    <row r="182" spans="1:15" x14ac:dyDescent="0.25">
      <c r="A182" s="31"/>
      <c r="B182" s="4" t="s">
        <v>2266</v>
      </c>
      <c r="C182" s="5">
        <v>1</v>
      </c>
      <c r="D182" s="7">
        <v>0</v>
      </c>
      <c r="E182" s="3">
        <f t="shared" si="66"/>
        <v>1</v>
      </c>
      <c r="F182" s="3" t="s">
        <v>867</v>
      </c>
      <c r="G182" s="77"/>
      <c r="H182" s="5" t="s">
        <v>1</v>
      </c>
      <c r="I182" s="78">
        <f t="shared" si="67"/>
        <v>0</v>
      </c>
      <c r="J182" s="110">
        <f t="shared" si="68"/>
        <v>75</v>
      </c>
      <c r="K182" s="4">
        <v>140</v>
      </c>
      <c r="L182" s="5" t="s">
        <v>1</v>
      </c>
      <c r="M182" s="80">
        <f t="shared" si="69"/>
        <v>140</v>
      </c>
      <c r="N182" s="78">
        <f t="shared" si="70"/>
        <v>10500</v>
      </c>
      <c r="O182" s="78">
        <f t="shared" si="71"/>
        <v>10500</v>
      </c>
    </row>
    <row r="183" spans="1:15" x14ac:dyDescent="0.25">
      <c r="A183" s="31"/>
      <c r="B183" s="4" t="s">
        <v>2265</v>
      </c>
      <c r="C183" s="5">
        <v>1</v>
      </c>
      <c r="D183" s="7">
        <v>0</v>
      </c>
      <c r="E183" s="3">
        <f t="shared" si="66"/>
        <v>1</v>
      </c>
      <c r="F183" s="3" t="s">
        <v>867</v>
      </c>
      <c r="G183" s="77"/>
      <c r="H183" s="5" t="s">
        <v>1</v>
      </c>
      <c r="I183" s="78">
        <f t="shared" si="67"/>
        <v>0</v>
      </c>
      <c r="J183" s="110">
        <f t="shared" si="68"/>
        <v>75</v>
      </c>
      <c r="K183" s="4">
        <v>168</v>
      </c>
      <c r="L183" s="5" t="s">
        <v>1</v>
      </c>
      <c r="M183" s="80">
        <f t="shared" si="69"/>
        <v>168</v>
      </c>
      <c r="N183" s="78">
        <f t="shared" si="70"/>
        <v>12600</v>
      </c>
      <c r="O183" s="78">
        <f t="shared" si="71"/>
        <v>12600</v>
      </c>
    </row>
    <row r="184" spans="1:15" x14ac:dyDescent="0.25">
      <c r="A184" s="31"/>
      <c r="B184" s="4" t="s">
        <v>2264</v>
      </c>
      <c r="C184" s="5">
        <v>1</v>
      </c>
      <c r="D184" s="7">
        <v>0</v>
      </c>
      <c r="E184" s="3">
        <f t="shared" si="66"/>
        <v>1</v>
      </c>
      <c r="F184" s="3" t="s">
        <v>867</v>
      </c>
      <c r="G184" s="77"/>
      <c r="H184" s="5" t="s">
        <v>1</v>
      </c>
      <c r="I184" s="78">
        <f t="shared" si="67"/>
        <v>0</v>
      </c>
      <c r="J184" s="110">
        <f t="shared" si="68"/>
        <v>75</v>
      </c>
      <c r="K184" s="4">
        <v>196</v>
      </c>
      <c r="L184" s="5" t="s">
        <v>1</v>
      </c>
      <c r="M184" s="80">
        <f t="shared" si="69"/>
        <v>196</v>
      </c>
      <c r="N184" s="78">
        <f t="shared" si="70"/>
        <v>14700</v>
      </c>
      <c r="O184" s="78">
        <f t="shared" si="71"/>
        <v>14700</v>
      </c>
    </row>
    <row r="185" spans="1:15" x14ac:dyDescent="0.25">
      <c r="A185" s="31"/>
      <c r="B185" s="4" t="s">
        <v>2263</v>
      </c>
      <c r="C185" s="5">
        <v>1</v>
      </c>
      <c r="D185" s="7">
        <v>0</v>
      </c>
      <c r="E185" s="3">
        <f t="shared" si="66"/>
        <v>1</v>
      </c>
      <c r="F185" s="3" t="s">
        <v>867</v>
      </c>
      <c r="G185" s="77"/>
      <c r="H185" s="5" t="s">
        <v>1</v>
      </c>
      <c r="I185" s="78">
        <f t="shared" si="67"/>
        <v>0</v>
      </c>
      <c r="J185" s="110">
        <f t="shared" si="68"/>
        <v>75</v>
      </c>
      <c r="K185" s="4">
        <v>224</v>
      </c>
      <c r="L185" s="5" t="s">
        <v>1</v>
      </c>
      <c r="M185" s="80">
        <f t="shared" si="69"/>
        <v>224</v>
      </c>
      <c r="N185" s="78">
        <f t="shared" si="70"/>
        <v>16800</v>
      </c>
      <c r="O185" s="78">
        <f t="shared" si="71"/>
        <v>16800</v>
      </c>
    </row>
    <row r="186" spans="1:15" x14ac:dyDescent="0.25">
      <c r="A186" s="31"/>
      <c r="B186" s="4" t="s">
        <v>2262</v>
      </c>
      <c r="C186" s="5">
        <v>1</v>
      </c>
      <c r="D186" s="7">
        <v>0</v>
      </c>
      <c r="E186" s="3">
        <f t="shared" si="66"/>
        <v>1</v>
      </c>
      <c r="F186" s="3" t="s">
        <v>867</v>
      </c>
      <c r="G186" s="77"/>
      <c r="H186" s="5" t="s">
        <v>1</v>
      </c>
      <c r="I186" s="78">
        <f t="shared" si="67"/>
        <v>0</v>
      </c>
      <c r="J186" s="110">
        <f t="shared" si="68"/>
        <v>75</v>
      </c>
      <c r="K186" s="4">
        <v>252</v>
      </c>
      <c r="L186" s="5" t="s">
        <v>1</v>
      </c>
      <c r="M186" s="80">
        <f t="shared" si="69"/>
        <v>252</v>
      </c>
      <c r="N186" s="78">
        <f t="shared" si="70"/>
        <v>18900</v>
      </c>
      <c r="O186" s="78">
        <f t="shared" si="71"/>
        <v>18900</v>
      </c>
    </row>
    <row r="187" spans="1:15" x14ac:dyDescent="0.25">
      <c r="A187" s="31"/>
      <c r="B187" s="4" t="s">
        <v>2261</v>
      </c>
      <c r="C187" s="5">
        <v>1</v>
      </c>
      <c r="D187" s="7">
        <v>0</v>
      </c>
      <c r="E187" s="3">
        <f t="shared" si="66"/>
        <v>1</v>
      </c>
      <c r="F187" s="3" t="s">
        <v>867</v>
      </c>
      <c r="G187" s="77"/>
      <c r="H187" s="5" t="s">
        <v>1</v>
      </c>
      <c r="I187" s="78">
        <f t="shared" si="67"/>
        <v>0</v>
      </c>
      <c r="J187" s="110">
        <f t="shared" si="68"/>
        <v>75</v>
      </c>
      <c r="K187" s="4">
        <v>280</v>
      </c>
      <c r="L187" s="5" t="s">
        <v>1</v>
      </c>
      <c r="M187" s="80">
        <f t="shared" si="69"/>
        <v>280</v>
      </c>
      <c r="N187" s="78">
        <f t="shared" si="70"/>
        <v>21000</v>
      </c>
      <c r="O187" s="78">
        <f t="shared" si="71"/>
        <v>21000</v>
      </c>
    </row>
    <row r="188" spans="1:15" x14ac:dyDescent="0.25">
      <c r="A188" s="31"/>
      <c r="B188" s="4" t="s">
        <v>2260</v>
      </c>
      <c r="C188" s="5">
        <v>1</v>
      </c>
      <c r="D188" s="7">
        <v>0</v>
      </c>
      <c r="E188" s="3">
        <f t="shared" si="66"/>
        <v>1</v>
      </c>
      <c r="F188" s="3" t="s">
        <v>867</v>
      </c>
      <c r="G188" s="77"/>
      <c r="H188" s="5" t="s">
        <v>1</v>
      </c>
      <c r="I188" s="78">
        <f t="shared" si="67"/>
        <v>0</v>
      </c>
      <c r="J188" s="110">
        <f t="shared" si="68"/>
        <v>75</v>
      </c>
      <c r="K188" s="4">
        <v>308</v>
      </c>
      <c r="L188" s="5" t="s">
        <v>1</v>
      </c>
      <c r="M188" s="80">
        <f t="shared" si="69"/>
        <v>308</v>
      </c>
      <c r="N188" s="78">
        <f t="shared" si="70"/>
        <v>23100</v>
      </c>
      <c r="O188" s="78">
        <f t="shared" si="71"/>
        <v>23100</v>
      </c>
    </row>
    <row r="189" spans="1:15" x14ac:dyDescent="0.25">
      <c r="A189" s="60"/>
      <c r="B189" s="8" t="s">
        <v>2259</v>
      </c>
      <c r="C189" s="5">
        <v>1</v>
      </c>
      <c r="D189" s="7">
        <v>0</v>
      </c>
      <c r="E189" s="3">
        <f t="shared" si="66"/>
        <v>1</v>
      </c>
      <c r="F189" s="3" t="s">
        <v>867</v>
      </c>
      <c r="G189" s="77"/>
      <c r="H189" s="5" t="s">
        <v>1</v>
      </c>
      <c r="I189" s="78">
        <f t="shared" si="67"/>
        <v>0</v>
      </c>
      <c r="J189" s="110">
        <f t="shared" si="68"/>
        <v>75</v>
      </c>
      <c r="K189" s="4">
        <v>336</v>
      </c>
      <c r="L189" s="5" t="s">
        <v>1</v>
      </c>
      <c r="M189" s="80">
        <f t="shared" si="69"/>
        <v>336</v>
      </c>
      <c r="N189" s="78">
        <f t="shared" si="70"/>
        <v>25200</v>
      </c>
      <c r="O189" s="78">
        <f t="shared" si="71"/>
        <v>25200</v>
      </c>
    </row>
    <row r="190" spans="1:15" x14ac:dyDescent="0.25">
      <c r="A190" s="31"/>
      <c r="B190" s="4" t="s">
        <v>2258</v>
      </c>
      <c r="C190" s="5">
        <v>1</v>
      </c>
      <c r="D190" s="7">
        <v>0</v>
      </c>
      <c r="E190" s="3">
        <f t="shared" si="66"/>
        <v>1</v>
      </c>
      <c r="F190" s="3" t="s">
        <v>867</v>
      </c>
      <c r="G190" s="77"/>
      <c r="H190" s="5" t="s">
        <v>1</v>
      </c>
      <c r="I190" s="78">
        <f t="shared" si="67"/>
        <v>0</v>
      </c>
      <c r="J190" s="110">
        <f t="shared" si="68"/>
        <v>75</v>
      </c>
      <c r="K190" s="4">
        <v>364</v>
      </c>
      <c r="L190" s="5" t="s">
        <v>1</v>
      </c>
      <c r="M190" s="80">
        <f t="shared" si="69"/>
        <v>364</v>
      </c>
      <c r="N190" s="78">
        <f t="shared" si="70"/>
        <v>27300</v>
      </c>
      <c r="O190" s="78">
        <f t="shared" si="71"/>
        <v>27300</v>
      </c>
    </row>
    <row r="191" spans="1:15" x14ac:dyDescent="0.25">
      <c r="A191" s="31"/>
      <c r="B191" s="4" t="s">
        <v>2257</v>
      </c>
      <c r="C191" s="5">
        <v>1</v>
      </c>
      <c r="D191" s="7">
        <v>0</v>
      </c>
      <c r="E191" s="3">
        <f t="shared" si="66"/>
        <v>1</v>
      </c>
      <c r="F191" s="3" t="s">
        <v>867</v>
      </c>
      <c r="G191" s="77"/>
      <c r="H191" s="5" t="s">
        <v>1</v>
      </c>
      <c r="I191" s="78">
        <f t="shared" si="67"/>
        <v>0</v>
      </c>
      <c r="J191" s="110">
        <f t="shared" si="68"/>
        <v>75</v>
      </c>
      <c r="K191" s="4">
        <v>392</v>
      </c>
      <c r="L191" s="5" t="s">
        <v>1</v>
      </c>
      <c r="M191" s="80">
        <f t="shared" si="69"/>
        <v>392</v>
      </c>
      <c r="N191" s="78">
        <f t="shared" si="70"/>
        <v>29400</v>
      </c>
      <c r="O191" s="78">
        <f t="shared" si="71"/>
        <v>29400</v>
      </c>
    </row>
    <row r="192" spans="1:15" x14ac:dyDescent="0.25">
      <c r="A192" s="31"/>
      <c r="B192" s="4" t="s">
        <v>2256</v>
      </c>
      <c r="C192" s="5">
        <v>1</v>
      </c>
      <c r="D192" s="7">
        <v>0</v>
      </c>
      <c r="E192" s="3">
        <f t="shared" si="66"/>
        <v>1</v>
      </c>
      <c r="F192" s="3" t="s">
        <v>867</v>
      </c>
      <c r="G192" s="77"/>
      <c r="H192" s="5" t="s">
        <v>1</v>
      </c>
      <c r="I192" s="78">
        <f t="shared" si="67"/>
        <v>0</v>
      </c>
      <c r="J192" s="110">
        <f t="shared" si="68"/>
        <v>75</v>
      </c>
      <c r="K192" s="4">
        <v>420</v>
      </c>
      <c r="L192" s="5" t="s">
        <v>1</v>
      </c>
      <c r="M192" s="80">
        <f t="shared" si="69"/>
        <v>420</v>
      </c>
      <c r="N192" s="78">
        <f t="shared" si="70"/>
        <v>31500</v>
      </c>
      <c r="O192" s="78">
        <f t="shared" si="71"/>
        <v>31500</v>
      </c>
    </row>
    <row r="193" spans="1:15" x14ac:dyDescent="0.25">
      <c r="A193" s="31"/>
      <c r="B193" s="4" t="s">
        <v>2255</v>
      </c>
      <c r="C193" s="5">
        <v>1</v>
      </c>
      <c r="D193" s="7">
        <v>0</v>
      </c>
      <c r="E193" s="3">
        <f t="shared" si="66"/>
        <v>1</v>
      </c>
      <c r="F193" s="3" t="s">
        <v>867</v>
      </c>
      <c r="G193" s="77"/>
      <c r="H193" s="5" t="s">
        <v>1</v>
      </c>
      <c r="I193" s="78">
        <f t="shared" si="67"/>
        <v>0</v>
      </c>
      <c r="J193" s="110">
        <f t="shared" si="68"/>
        <v>75</v>
      </c>
      <c r="K193" s="4">
        <v>448</v>
      </c>
      <c r="L193" s="5" t="s">
        <v>1</v>
      </c>
      <c r="M193" s="80">
        <f t="shared" si="69"/>
        <v>448</v>
      </c>
      <c r="N193" s="78">
        <f t="shared" si="70"/>
        <v>33600</v>
      </c>
      <c r="O193" s="78">
        <f t="shared" si="71"/>
        <v>33600</v>
      </c>
    </row>
    <row r="194" spans="1:15" x14ac:dyDescent="0.25">
      <c r="A194" s="31"/>
      <c r="B194" s="4" t="s">
        <v>2254</v>
      </c>
      <c r="C194" s="5">
        <v>1</v>
      </c>
      <c r="D194" s="7">
        <v>0</v>
      </c>
      <c r="E194" s="3">
        <f t="shared" si="66"/>
        <v>1</v>
      </c>
      <c r="F194" s="3" t="s">
        <v>867</v>
      </c>
      <c r="G194" s="77"/>
      <c r="H194" s="5" t="s">
        <v>1</v>
      </c>
      <c r="I194" s="78">
        <f t="shared" si="67"/>
        <v>0</v>
      </c>
      <c r="J194" s="110">
        <f t="shared" si="68"/>
        <v>75</v>
      </c>
      <c r="K194" s="4">
        <v>476</v>
      </c>
      <c r="L194" s="5" t="s">
        <v>1</v>
      </c>
      <c r="M194" s="80">
        <f t="shared" si="69"/>
        <v>476</v>
      </c>
      <c r="N194" s="78">
        <f t="shared" si="70"/>
        <v>35700</v>
      </c>
      <c r="O194" s="78">
        <f t="shared" si="71"/>
        <v>35700</v>
      </c>
    </row>
    <row r="195" spans="1:15" x14ac:dyDescent="0.25">
      <c r="A195" s="31"/>
      <c r="B195" s="4" t="s">
        <v>2253</v>
      </c>
      <c r="C195" s="5">
        <v>1</v>
      </c>
      <c r="D195" s="7">
        <v>0</v>
      </c>
      <c r="E195" s="3">
        <f t="shared" si="66"/>
        <v>1</v>
      </c>
      <c r="F195" s="3" t="s">
        <v>867</v>
      </c>
      <c r="G195" s="77"/>
      <c r="H195" s="5" t="s">
        <v>1</v>
      </c>
      <c r="I195" s="78">
        <f t="shared" si="67"/>
        <v>0</v>
      </c>
      <c r="J195" s="110">
        <f t="shared" si="68"/>
        <v>75</v>
      </c>
      <c r="K195" s="4">
        <v>504</v>
      </c>
      <c r="L195" s="5" t="s">
        <v>1</v>
      </c>
      <c r="M195" s="80">
        <f t="shared" si="69"/>
        <v>504</v>
      </c>
      <c r="N195" s="78">
        <f t="shared" si="70"/>
        <v>37800</v>
      </c>
      <c r="O195" s="78">
        <f t="shared" si="71"/>
        <v>37800</v>
      </c>
    </row>
    <row r="196" spans="1:15" x14ac:dyDescent="0.25">
      <c r="A196" s="31"/>
      <c r="B196" s="4" t="s">
        <v>2252</v>
      </c>
      <c r="C196" s="5">
        <v>1</v>
      </c>
      <c r="D196" s="7">
        <v>0</v>
      </c>
      <c r="E196" s="3">
        <f t="shared" si="66"/>
        <v>1</v>
      </c>
      <c r="F196" s="3" t="s">
        <v>867</v>
      </c>
      <c r="G196" s="77"/>
      <c r="H196" s="5" t="s">
        <v>1</v>
      </c>
      <c r="I196" s="78">
        <f t="shared" si="67"/>
        <v>0</v>
      </c>
      <c r="J196" s="110">
        <f t="shared" si="68"/>
        <v>75</v>
      </c>
      <c r="K196" s="4">
        <v>532</v>
      </c>
      <c r="L196" s="5" t="s">
        <v>1</v>
      </c>
      <c r="M196" s="80">
        <f t="shared" si="69"/>
        <v>532</v>
      </c>
      <c r="N196" s="78">
        <f t="shared" si="70"/>
        <v>39900</v>
      </c>
      <c r="O196" s="78">
        <f t="shared" si="71"/>
        <v>39900</v>
      </c>
    </row>
    <row r="197" spans="1:15" x14ac:dyDescent="0.25">
      <c r="A197" s="31"/>
      <c r="B197" s="4" t="s">
        <v>2251</v>
      </c>
      <c r="C197" s="5">
        <v>1</v>
      </c>
      <c r="D197" s="7">
        <v>0</v>
      </c>
      <c r="E197" s="3">
        <f t="shared" si="66"/>
        <v>1</v>
      </c>
      <c r="F197" s="3" t="s">
        <v>867</v>
      </c>
      <c r="G197" s="77"/>
      <c r="H197" s="5" t="s">
        <v>1</v>
      </c>
      <c r="I197" s="78">
        <f t="shared" si="67"/>
        <v>0</v>
      </c>
      <c r="J197" s="110">
        <f t="shared" si="68"/>
        <v>75</v>
      </c>
      <c r="K197" s="4">
        <v>560</v>
      </c>
      <c r="L197" s="5" t="s">
        <v>1</v>
      </c>
      <c r="M197" s="80">
        <f t="shared" si="69"/>
        <v>560</v>
      </c>
      <c r="N197" s="78">
        <f t="shared" si="70"/>
        <v>42000</v>
      </c>
      <c r="O197" s="78">
        <f t="shared" si="71"/>
        <v>42000</v>
      </c>
    </row>
    <row r="198" spans="1:15" x14ac:dyDescent="0.25">
      <c r="A198" s="31"/>
      <c r="B198" s="258"/>
      <c r="C198" s="259">
        <v>1</v>
      </c>
      <c r="D198" s="259">
        <v>0</v>
      </c>
      <c r="E198" s="259">
        <f t="shared" si="66"/>
        <v>1</v>
      </c>
      <c r="F198" s="259" t="s">
        <v>867</v>
      </c>
      <c r="G198" s="259"/>
      <c r="H198" s="259" t="s">
        <v>1</v>
      </c>
      <c r="I198" s="259">
        <f t="shared" si="67"/>
        <v>0</v>
      </c>
      <c r="J198" s="259">
        <f t="shared" si="68"/>
        <v>75</v>
      </c>
      <c r="K198" s="259"/>
      <c r="L198" s="259" t="s">
        <v>1</v>
      </c>
      <c r="M198" s="259">
        <f t="shared" si="69"/>
        <v>0</v>
      </c>
      <c r="N198" s="259">
        <f t="shared" si="70"/>
        <v>0</v>
      </c>
      <c r="O198" s="259">
        <f t="shared" si="71"/>
        <v>0</v>
      </c>
    </row>
  </sheetData>
  <mergeCells count="13">
    <mergeCell ref="B198:O198"/>
    <mergeCell ref="B66:O66"/>
    <mergeCell ref="B88:O88"/>
    <mergeCell ref="B110:O110"/>
    <mergeCell ref="B132:O132"/>
    <mergeCell ref="B154:O154"/>
    <mergeCell ref="B176:O176"/>
    <mergeCell ref="B52:O52"/>
    <mergeCell ref="M4:N4"/>
    <mergeCell ref="B14:O14"/>
    <mergeCell ref="B22:O22"/>
    <mergeCell ref="B30:O30"/>
    <mergeCell ref="B38:O38"/>
  </mergeCells>
  <pageMargins left="0.7" right="0.7" top="0.75" bottom="0.75" header="0.3" footer="0.3"/>
  <pageSetup scale="5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89CD4-DC5C-4B0A-92C7-FF8B8D076B19}">
  <sheetPr>
    <pageSetUpPr fitToPage="1"/>
  </sheetPr>
  <dimension ref="A3:O61"/>
  <sheetViews>
    <sheetView view="pageBreakPreview" zoomScale="90" zoomScaleNormal="85" zoomScaleSheetLayoutView="90" workbookViewId="0">
      <selection activeCell="A21" sqref="A21:XFD21"/>
    </sheetView>
  </sheetViews>
  <sheetFormatPr defaultColWidth="9.140625" defaultRowHeight="15" x14ac:dyDescent="0.25"/>
  <cols>
    <col min="1" max="1" width="5.7109375" style="2" customWidth="1"/>
    <col min="2" max="2" width="60.28515625" style="1" customWidth="1"/>
    <col min="3" max="3" width="10" style="2" bestFit="1" customWidth="1"/>
    <col min="4" max="5" width="9.85546875" style="2" bestFit="1" customWidth="1"/>
    <col min="6" max="6" width="5.42578125" style="2" bestFit="1" customWidth="1"/>
    <col min="7" max="7" width="9.140625" style="10" bestFit="1" customWidth="1"/>
    <col min="8" max="8" width="5.28515625" style="2" bestFit="1" customWidth="1"/>
    <col min="9" max="9" width="10.42578125" style="10" bestFit="1" customWidth="1"/>
    <col min="10" max="10" width="7.42578125" style="10" bestFit="1" customWidth="1"/>
    <col min="11" max="11" width="7.42578125" style="46" bestFit="1" customWidth="1"/>
    <col min="12" max="12" width="5.85546875" style="2" bestFit="1" customWidth="1"/>
    <col min="13" max="13" width="7.28515625" style="46" bestFit="1" customWidth="1"/>
    <col min="14" max="14" width="8.140625" style="1" bestFit="1" customWidth="1"/>
    <col min="15" max="15" width="8.42578125" style="1" bestFit="1" customWidth="1"/>
    <col min="16" max="16384" width="9.140625" style="1"/>
  </cols>
  <sheetData>
    <row r="3" spans="1:15" ht="15.75" thickBot="1" x14ac:dyDescent="0.3"/>
    <row r="4" spans="1:15" ht="16.5" thickBot="1" x14ac:dyDescent="0.3">
      <c r="D4" s="1"/>
      <c r="E4" s="1"/>
      <c r="F4" s="1"/>
      <c r="I4" s="43"/>
      <c r="J4" s="1"/>
      <c r="K4" s="1"/>
      <c r="M4" s="253" t="s">
        <v>1199</v>
      </c>
      <c r="N4" s="254"/>
      <c r="O4" s="108">
        <v>75</v>
      </c>
    </row>
    <row r="5" spans="1:15" ht="41.1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285</v>
      </c>
      <c r="L5" s="82" t="s">
        <v>284</v>
      </c>
      <c r="M5" s="81" t="s">
        <v>286</v>
      </c>
      <c r="N5" s="83" t="s">
        <v>871</v>
      </c>
      <c r="O5" s="84" t="s">
        <v>872</v>
      </c>
    </row>
    <row r="6" spans="1:15" ht="15.75" thickBot="1" x14ac:dyDescent="0.3">
      <c r="A6" s="31"/>
      <c r="B6" s="258"/>
      <c r="C6" s="259">
        <v>1</v>
      </c>
      <c r="D6" s="259">
        <v>0</v>
      </c>
      <c r="E6" s="259">
        <f>C6+(C6*D6)</f>
        <v>1</v>
      </c>
      <c r="F6" s="259" t="s">
        <v>867</v>
      </c>
      <c r="G6" s="259"/>
      <c r="H6" s="259" t="s">
        <v>1</v>
      </c>
      <c r="I6" s="259">
        <f>IF(H6="C",(G6/100)*E6,IF(H6="M",(G6/1000)*E6,G6*E6))</f>
        <v>0</v>
      </c>
      <c r="J6" s="259">
        <f>$O$4</f>
        <v>75</v>
      </c>
      <c r="K6" s="259"/>
      <c r="L6" s="259" t="s">
        <v>1</v>
      </c>
      <c r="M6" s="259">
        <f>IF(L6="C",(K6/100)*E6,IF(L6="M",(K6/1000)*E6,K6*E6))</f>
        <v>0</v>
      </c>
      <c r="N6" s="259">
        <f>M6*J6</f>
        <v>0</v>
      </c>
      <c r="O6" s="259">
        <f>N6+I6</f>
        <v>0</v>
      </c>
    </row>
    <row r="7" spans="1:15" ht="15.75" thickBot="1" x14ac:dyDescent="0.3">
      <c r="A7" s="60"/>
      <c r="B7" s="145" t="s">
        <v>2481</v>
      </c>
      <c r="C7" s="5"/>
      <c r="D7" s="7"/>
      <c r="E7" s="3"/>
      <c r="F7" s="3"/>
      <c r="G7" s="9"/>
      <c r="H7" s="5"/>
      <c r="I7" s="9"/>
      <c r="J7" s="9"/>
      <c r="K7" s="15"/>
      <c r="L7" s="5"/>
      <c r="M7" s="15"/>
      <c r="N7" s="4"/>
      <c r="O7" s="4"/>
    </row>
    <row r="8" spans="1:15" x14ac:dyDescent="0.25">
      <c r="A8" s="31">
        <v>1</v>
      </c>
      <c r="B8" s="4" t="s">
        <v>2480</v>
      </c>
      <c r="C8" s="5">
        <v>1</v>
      </c>
      <c r="D8" s="7">
        <v>0</v>
      </c>
      <c r="E8" s="3">
        <f t="shared" ref="E8:E22" si="0">C8+(C8*D8)</f>
        <v>1</v>
      </c>
      <c r="F8" s="3" t="s">
        <v>867</v>
      </c>
      <c r="G8" s="77"/>
      <c r="H8" s="5" t="s">
        <v>1</v>
      </c>
      <c r="I8" s="78">
        <f t="shared" ref="I8:I22" si="1">IF(H8="C",(G8/100)*E8,IF(H8="M",(G8/1000)*E8,G8*E8))</f>
        <v>0</v>
      </c>
      <c r="J8" s="110">
        <f t="shared" ref="J8:J22" si="2">$O$4</f>
        <v>75</v>
      </c>
      <c r="K8" s="4">
        <v>3.2</v>
      </c>
      <c r="L8" s="5" t="s">
        <v>1</v>
      </c>
      <c r="M8" s="80">
        <f t="shared" ref="M8:M22" si="3">IF(L8="C",(K8/100)*E8,IF(L8="M",(K8/1000)*E8,K8*E8))</f>
        <v>3.2</v>
      </c>
      <c r="N8" s="78">
        <f t="shared" ref="N8:N22" si="4">M8*J8</f>
        <v>240</v>
      </c>
      <c r="O8" s="78">
        <f t="shared" ref="O8:O22" si="5">N8+I8</f>
        <v>240</v>
      </c>
    </row>
    <row r="9" spans="1:15" x14ac:dyDescent="0.25">
      <c r="A9" s="31">
        <v>2</v>
      </c>
      <c r="B9" s="4" t="s">
        <v>2479</v>
      </c>
      <c r="C9" s="5">
        <v>1</v>
      </c>
      <c r="D9" s="7">
        <v>0</v>
      </c>
      <c r="E9" s="3">
        <f t="shared" si="0"/>
        <v>1</v>
      </c>
      <c r="F9" s="3" t="s">
        <v>867</v>
      </c>
      <c r="G9" s="77"/>
      <c r="H9" s="5" t="s">
        <v>1</v>
      </c>
      <c r="I9" s="78">
        <f t="shared" si="1"/>
        <v>0</v>
      </c>
      <c r="J9" s="110">
        <f t="shared" si="2"/>
        <v>75</v>
      </c>
      <c r="K9" s="4">
        <v>3.5</v>
      </c>
      <c r="L9" s="5" t="s">
        <v>1</v>
      </c>
      <c r="M9" s="80">
        <f t="shared" si="3"/>
        <v>3.5</v>
      </c>
      <c r="N9" s="78">
        <f t="shared" si="4"/>
        <v>262.5</v>
      </c>
      <c r="O9" s="78">
        <f t="shared" si="5"/>
        <v>262.5</v>
      </c>
    </row>
    <row r="10" spans="1:15" x14ac:dyDescent="0.25">
      <c r="A10" s="31">
        <v>3</v>
      </c>
      <c r="B10" s="4" t="s">
        <v>2478</v>
      </c>
      <c r="C10" s="5">
        <v>1</v>
      </c>
      <c r="D10" s="7">
        <v>0</v>
      </c>
      <c r="E10" s="3">
        <f t="shared" si="0"/>
        <v>1</v>
      </c>
      <c r="F10" s="3" t="s">
        <v>867</v>
      </c>
      <c r="G10" s="77"/>
      <c r="H10" s="5" t="s">
        <v>1</v>
      </c>
      <c r="I10" s="78">
        <f t="shared" si="1"/>
        <v>0</v>
      </c>
      <c r="J10" s="110">
        <f t="shared" si="2"/>
        <v>75</v>
      </c>
      <c r="K10" s="4">
        <v>4</v>
      </c>
      <c r="L10" s="5" t="s">
        <v>1</v>
      </c>
      <c r="M10" s="80">
        <f t="shared" si="3"/>
        <v>4</v>
      </c>
      <c r="N10" s="78">
        <f t="shared" si="4"/>
        <v>300</v>
      </c>
      <c r="O10" s="78">
        <f t="shared" si="5"/>
        <v>300</v>
      </c>
    </row>
    <row r="11" spans="1:15" x14ac:dyDescent="0.25">
      <c r="A11" s="31">
        <v>4</v>
      </c>
      <c r="B11" s="4" t="s">
        <v>2477</v>
      </c>
      <c r="C11" s="5">
        <v>1</v>
      </c>
      <c r="D11" s="7">
        <v>0</v>
      </c>
      <c r="E11" s="3">
        <f t="shared" si="0"/>
        <v>1</v>
      </c>
      <c r="F11" s="3" t="s">
        <v>867</v>
      </c>
      <c r="G11" s="77"/>
      <c r="H11" s="5" t="s">
        <v>1</v>
      </c>
      <c r="I11" s="78">
        <f t="shared" si="1"/>
        <v>0</v>
      </c>
      <c r="J11" s="110">
        <f t="shared" si="2"/>
        <v>75</v>
      </c>
      <c r="K11" s="4">
        <v>4.5</v>
      </c>
      <c r="L11" s="5" t="s">
        <v>1</v>
      </c>
      <c r="M11" s="80">
        <f t="shared" si="3"/>
        <v>4.5</v>
      </c>
      <c r="N11" s="78">
        <f t="shared" si="4"/>
        <v>337.5</v>
      </c>
      <c r="O11" s="78">
        <f t="shared" si="5"/>
        <v>337.5</v>
      </c>
    </row>
    <row r="12" spans="1:15" x14ac:dyDescent="0.25">
      <c r="A12" s="31">
        <v>5</v>
      </c>
      <c r="B12" s="4" t="s">
        <v>2476</v>
      </c>
      <c r="C12" s="5">
        <v>1</v>
      </c>
      <c r="D12" s="7">
        <v>0</v>
      </c>
      <c r="E12" s="3">
        <f t="shared" si="0"/>
        <v>1</v>
      </c>
      <c r="F12" s="3" t="s">
        <v>867</v>
      </c>
      <c r="G12" s="77"/>
      <c r="H12" s="5" t="s">
        <v>1</v>
      </c>
      <c r="I12" s="78">
        <f t="shared" si="1"/>
        <v>0</v>
      </c>
      <c r="J12" s="110">
        <f t="shared" si="2"/>
        <v>75</v>
      </c>
      <c r="K12" s="4">
        <v>5.5</v>
      </c>
      <c r="L12" s="5" t="s">
        <v>1</v>
      </c>
      <c r="M12" s="80">
        <f t="shared" si="3"/>
        <v>5.5</v>
      </c>
      <c r="N12" s="78">
        <f t="shared" si="4"/>
        <v>412.5</v>
      </c>
      <c r="O12" s="78">
        <f t="shared" si="5"/>
        <v>412.5</v>
      </c>
    </row>
    <row r="13" spans="1:15" x14ac:dyDescent="0.25">
      <c r="A13" s="31">
        <v>6</v>
      </c>
      <c r="B13" s="4" t="s">
        <v>2475</v>
      </c>
      <c r="C13" s="5">
        <v>1</v>
      </c>
      <c r="D13" s="7">
        <v>0</v>
      </c>
      <c r="E13" s="3">
        <f t="shared" si="0"/>
        <v>1</v>
      </c>
      <c r="F13" s="3" t="s">
        <v>867</v>
      </c>
      <c r="G13" s="77"/>
      <c r="H13" s="5" t="s">
        <v>1</v>
      </c>
      <c r="I13" s="78">
        <f t="shared" si="1"/>
        <v>0</v>
      </c>
      <c r="J13" s="110">
        <f t="shared" si="2"/>
        <v>75</v>
      </c>
      <c r="K13" s="4">
        <v>6.5</v>
      </c>
      <c r="L13" s="5" t="s">
        <v>1</v>
      </c>
      <c r="M13" s="80">
        <f t="shared" si="3"/>
        <v>6.5</v>
      </c>
      <c r="N13" s="78">
        <f t="shared" si="4"/>
        <v>487.5</v>
      </c>
      <c r="O13" s="78">
        <f t="shared" si="5"/>
        <v>487.5</v>
      </c>
    </row>
    <row r="14" spans="1:15" x14ac:dyDescent="0.25">
      <c r="A14" s="31">
        <v>7</v>
      </c>
      <c r="B14" s="4" t="s">
        <v>2474</v>
      </c>
      <c r="C14" s="5">
        <v>1</v>
      </c>
      <c r="D14" s="7">
        <v>0</v>
      </c>
      <c r="E14" s="3">
        <f t="shared" si="0"/>
        <v>1</v>
      </c>
      <c r="F14" s="3" t="s">
        <v>867</v>
      </c>
      <c r="G14" s="77"/>
      <c r="H14" s="5" t="s">
        <v>1</v>
      </c>
      <c r="I14" s="78">
        <f t="shared" si="1"/>
        <v>0</v>
      </c>
      <c r="J14" s="110">
        <f t="shared" si="2"/>
        <v>75</v>
      </c>
      <c r="K14" s="4">
        <v>3</v>
      </c>
      <c r="L14" s="5" t="s">
        <v>1</v>
      </c>
      <c r="M14" s="80">
        <f t="shared" si="3"/>
        <v>3</v>
      </c>
      <c r="N14" s="78">
        <f t="shared" si="4"/>
        <v>225</v>
      </c>
      <c r="O14" s="78">
        <f t="shared" si="5"/>
        <v>225</v>
      </c>
    </row>
    <row r="15" spans="1:15" x14ac:dyDescent="0.25">
      <c r="A15" s="31">
        <v>8</v>
      </c>
      <c r="B15" s="4" t="s">
        <v>2473</v>
      </c>
      <c r="C15" s="5">
        <v>1</v>
      </c>
      <c r="D15" s="7">
        <v>0</v>
      </c>
      <c r="E15" s="3">
        <f t="shared" si="0"/>
        <v>1</v>
      </c>
      <c r="F15" s="3" t="s">
        <v>867</v>
      </c>
      <c r="G15" s="77"/>
      <c r="H15" s="5" t="s">
        <v>1</v>
      </c>
      <c r="I15" s="78">
        <f t="shared" si="1"/>
        <v>0</v>
      </c>
      <c r="J15" s="110">
        <f t="shared" si="2"/>
        <v>75</v>
      </c>
      <c r="K15" s="4">
        <v>3.5</v>
      </c>
      <c r="L15" s="5" t="s">
        <v>1</v>
      </c>
      <c r="M15" s="80">
        <f t="shared" si="3"/>
        <v>3.5</v>
      </c>
      <c r="N15" s="78">
        <f t="shared" si="4"/>
        <v>262.5</v>
      </c>
      <c r="O15" s="78">
        <f t="shared" si="5"/>
        <v>262.5</v>
      </c>
    </row>
    <row r="16" spans="1:15" x14ac:dyDescent="0.25">
      <c r="A16" s="31">
        <v>9</v>
      </c>
      <c r="B16" s="4" t="s">
        <v>2472</v>
      </c>
      <c r="C16" s="5">
        <v>1</v>
      </c>
      <c r="D16" s="7">
        <v>0</v>
      </c>
      <c r="E16" s="3">
        <f t="shared" si="0"/>
        <v>1</v>
      </c>
      <c r="F16" s="3" t="s">
        <v>867</v>
      </c>
      <c r="G16" s="77"/>
      <c r="H16" s="5" t="s">
        <v>1</v>
      </c>
      <c r="I16" s="78">
        <f t="shared" si="1"/>
        <v>0</v>
      </c>
      <c r="J16" s="110">
        <f t="shared" si="2"/>
        <v>75</v>
      </c>
      <c r="K16" s="4">
        <v>4</v>
      </c>
      <c r="L16" s="5" t="s">
        <v>1</v>
      </c>
      <c r="M16" s="80">
        <f t="shared" si="3"/>
        <v>4</v>
      </c>
      <c r="N16" s="78">
        <f t="shared" si="4"/>
        <v>300</v>
      </c>
      <c r="O16" s="78">
        <f t="shared" si="5"/>
        <v>300</v>
      </c>
    </row>
    <row r="17" spans="1:15" x14ac:dyDescent="0.25">
      <c r="A17" s="31">
        <v>10</v>
      </c>
      <c r="B17" s="4" t="s">
        <v>2471</v>
      </c>
      <c r="C17" s="5">
        <v>1</v>
      </c>
      <c r="D17" s="7">
        <v>0</v>
      </c>
      <c r="E17" s="3">
        <f t="shared" si="0"/>
        <v>1</v>
      </c>
      <c r="F17" s="3" t="s">
        <v>867</v>
      </c>
      <c r="G17" s="77"/>
      <c r="H17" s="5" t="s">
        <v>1</v>
      </c>
      <c r="I17" s="78">
        <f t="shared" si="1"/>
        <v>0</v>
      </c>
      <c r="J17" s="110">
        <f t="shared" si="2"/>
        <v>75</v>
      </c>
      <c r="K17" s="4">
        <v>5</v>
      </c>
      <c r="L17" s="5" t="s">
        <v>1</v>
      </c>
      <c r="M17" s="80">
        <f t="shared" si="3"/>
        <v>5</v>
      </c>
      <c r="N17" s="78">
        <f t="shared" si="4"/>
        <v>375</v>
      </c>
      <c r="O17" s="78">
        <f t="shared" si="5"/>
        <v>375</v>
      </c>
    </row>
    <row r="18" spans="1:15" x14ac:dyDescent="0.25">
      <c r="A18" s="31">
        <v>11</v>
      </c>
      <c r="B18" s="8" t="s">
        <v>2470</v>
      </c>
      <c r="C18" s="5">
        <v>1</v>
      </c>
      <c r="D18" s="7">
        <v>0</v>
      </c>
      <c r="E18" s="3">
        <f t="shared" si="0"/>
        <v>1</v>
      </c>
      <c r="F18" s="3" t="s">
        <v>867</v>
      </c>
      <c r="G18" s="77"/>
      <c r="H18" s="5" t="s">
        <v>1</v>
      </c>
      <c r="I18" s="78">
        <f t="shared" si="1"/>
        <v>0</v>
      </c>
      <c r="J18" s="110">
        <f t="shared" si="2"/>
        <v>75</v>
      </c>
      <c r="K18" s="4">
        <v>6</v>
      </c>
      <c r="L18" s="5" t="s">
        <v>1</v>
      </c>
      <c r="M18" s="80">
        <f t="shared" si="3"/>
        <v>6</v>
      </c>
      <c r="N18" s="78">
        <f t="shared" si="4"/>
        <v>450</v>
      </c>
      <c r="O18" s="78">
        <f t="shared" si="5"/>
        <v>450</v>
      </c>
    </row>
    <row r="19" spans="1:15" x14ac:dyDescent="0.25">
      <c r="A19" s="31">
        <v>12</v>
      </c>
      <c r="B19" s="4" t="s">
        <v>2469</v>
      </c>
      <c r="C19" s="5">
        <v>1</v>
      </c>
      <c r="D19" s="7">
        <v>0</v>
      </c>
      <c r="E19" s="3">
        <f t="shared" si="0"/>
        <v>1</v>
      </c>
      <c r="F19" s="3" t="s">
        <v>867</v>
      </c>
      <c r="G19" s="77"/>
      <c r="H19" s="5" t="s">
        <v>1</v>
      </c>
      <c r="I19" s="78">
        <f t="shared" si="1"/>
        <v>0</v>
      </c>
      <c r="J19" s="110">
        <f t="shared" si="2"/>
        <v>75</v>
      </c>
      <c r="K19" s="4">
        <v>3.5</v>
      </c>
      <c r="L19" s="5" t="s">
        <v>1</v>
      </c>
      <c r="M19" s="80">
        <f t="shared" si="3"/>
        <v>3.5</v>
      </c>
      <c r="N19" s="78">
        <f t="shared" si="4"/>
        <v>262.5</v>
      </c>
      <c r="O19" s="78">
        <f t="shared" si="5"/>
        <v>262.5</v>
      </c>
    </row>
    <row r="20" spans="1:15" x14ac:dyDescent="0.25">
      <c r="A20" s="31">
        <v>13</v>
      </c>
      <c r="B20" s="4" t="s">
        <v>2468</v>
      </c>
      <c r="C20" s="5">
        <v>1</v>
      </c>
      <c r="D20" s="7">
        <v>0</v>
      </c>
      <c r="E20" s="3">
        <f t="shared" si="0"/>
        <v>1</v>
      </c>
      <c r="F20" s="3" t="s">
        <v>867</v>
      </c>
      <c r="G20" s="77"/>
      <c r="H20" s="5" t="s">
        <v>1</v>
      </c>
      <c r="I20" s="78">
        <f t="shared" si="1"/>
        <v>0</v>
      </c>
      <c r="J20" s="110">
        <f t="shared" si="2"/>
        <v>75</v>
      </c>
      <c r="K20" s="4">
        <v>3.5</v>
      </c>
      <c r="L20" s="5" t="s">
        <v>1</v>
      </c>
      <c r="M20" s="80">
        <f t="shared" si="3"/>
        <v>3.5</v>
      </c>
      <c r="N20" s="78">
        <f t="shared" si="4"/>
        <v>262.5</v>
      </c>
      <c r="O20" s="78">
        <f t="shared" si="5"/>
        <v>262.5</v>
      </c>
    </row>
    <row r="21" spans="1:15" x14ac:dyDescent="0.25">
      <c r="A21" s="31" t="s">
        <v>2632</v>
      </c>
      <c r="B21" s="4" t="s">
        <v>2467</v>
      </c>
      <c r="C21" s="5">
        <v>1</v>
      </c>
      <c r="D21" s="7">
        <v>0</v>
      </c>
      <c r="E21" s="3">
        <f t="shared" si="0"/>
        <v>1</v>
      </c>
      <c r="F21" s="3" t="s">
        <v>867</v>
      </c>
      <c r="G21" s="77"/>
      <c r="H21" s="5" t="s">
        <v>1</v>
      </c>
      <c r="I21" s="78">
        <f t="shared" si="1"/>
        <v>0</v>
      </c>
      <c r="J21" s="110">
        <f t="shared" si="2"/>
        <v>75</v>
      </c>
      <c r="K21" s="4">
        <v>4</v>
      </c>
      <c r="L21" s="5" t="s">
        <v>1</v>
      </c>
      <c r="M21" s="80">
        <f t="shared" si="3"/>
        <v>4</v>
      </c>
      <c r="N21" s="78">
        <f t="shared" si="4"/>
        <v>300</v>
      </c>
      <c r="O21" s="78">
        <f t="shared" si="5"/>
        <v>300</v>
      </c>
    </row>
    <row r="22" spans="1:15" ht="15.75" thickBot="1" x14ac:dyDescent="0.3">
      <c r="A22" s="31"/>
      <c r="B22" s="258"/>
      <c r="C22" s="259">
        <v>1</v>
      </c>
      <c r="D22" s="259">
        <v>0</v>
      </c>
      <c r="E22" s="259">
        <f t="shared" si="0"/>
        <v>1</v>
      </c>
      <c r="F22" s="259" t="s">
        <v>867</v>
      </c>
      <c r="G22" s="259"/>
      <c r="H22" s="259" t="s">
        <v>1</v>
      </c>
      <c r="I22" s="259">
        <f t="shared" si="1"/>
        <v>0</v>
      </c>
      <c r="J22" s="259">
        <f t="shared" si="2"/>
        <v>75</v>
      </c>
      <c r="K22" s="259"/>
      <c r="L22" s="259" t="s">
        <v>1</v>
      </c>
      <c r="M22" s="259">
        <f t="shared" si="3"/>
        <v>0</v>
      </c>
      <c r="N22" s="259">
        <f t="shared" si="4"/>
        <v>0</v>
      </c>
      <c r="O22" s="259">
        <f t="shared" si="5"/>
        <v>0</v>
      </c>
    </row>
    <row r="23" spans="1:15" ht="15.75" thickBot="1" x14ac:dyDescent="0.3">
      <c r="A23" s="60"/>
      <c r="B23" s="145" t="s">
        <v>2466</v>
      </c>
      <c r="C23" s="5"/>
      <c r="D23" s="7"/>
      <c r="E23" s="3"/>
      <c r="F23" s="3"/>
      <c r="G23" s="9"/>
      <c r="H23" s="5"/>
      <c r="I23" s="9"/>
      <c r="J23" s="9"/>
      <c r="K23" s="15"/>
      <c r="L23" s="5"/>
      <c r="M23" s="15"/>
      <c r="N23" s="4"/>
      <c r="O23" s="4"/>
    </row>
    <row r="24" spans="1:15" x14ac:dyDescent="0.25">
      <c r="A24" s="31">
        <v>1</v>
      </c>
      <c r="B24" s="4" t="s">
        <v>2465</v>
      </c>
      <c r="C24" s="5">
        <v>1</v>
      </c>
      <c r="D24" s="7">
        <v>0</v>
      </c>
      <c r="E24" s="3">
        <f t="shared" ref="E24:E35" si="6">C24+(C24*D24)</f>
        <v>1</v>
      </c>
      <c r="F24" s="3" t="s">
        <v>867</v>
      </c>
      <c r="G24" s="77"/>
      <c r="H24" s="5" t="s">
        <v>1</v>
      </c>
      <c r="I24" s="78">
        <f t="shared" ref="I24:I35" si="7">IF(H24="C",(G24/100)*E24,IF(H24="M",(G24/1000)*E24,G24*E24))</f>
        <v>0</v>
      </c>
      <c r="J24" s="110">
        <f t="shared" ref="J24:J35" si="8">$O$4</f>
        <v>75</v>
      </c>
      <c r="K24" s="4">
        <v>5</v>
      </c>
      <c r="L24" s="5" t="s">
        <v>1</v>
      </c>
      <c r="M24" s="80">
        <f t="shared" ref="M24:M35" si="9">IF(L24="C",(K24/100)*E24,IF(L24="M",(K24/1000)*E24,K24*E24))</f>
        <v>5</v>
      </c>
      <c r="N24" s="78">
        <f t="shared" ref="N24:N35" si="10">M24*J24</f>
        <v>375</v>
      </c>
      <c r="O24" s="78">
        <f t="shared" ref="O24:O35" si="11">N24+I24</f>
        <v>375</v>
      </c>
    </row>
    <row r="25" spans="1:15" x14ac:dyDescent="0.25">
      <c r="A25" s="31">
        <v>2</v>
      </c>
      <c r="B25" s="4" t="s">
        <v>2464</v>
      </c>
      <c r="C25" s="5">
        <v>1</v>
      </c>
      <c r="D25" s="7">
        <v>0</v>
      </c>
      <c r="E25" s="3">
        <f t="shared" si="6"/>
        <v>1</v>
      </c>
      <c r="F25" s="3" t="s">
        <v>867</v>
      </c>
      <c r="G25" s="77"/>
      <c r="H25" s="5" t="s">
        <v>1</v>
      </c>
      <c r="I25" s="78">
        <f t="shared" si="7"/>
        <v>0</v>
      </c>
      <c r="J25" s="110">
        <f t="shared" si="8"/>
        <v>75</v>
      </c>
      <c r="K25" s="4">
        <v>6</v>
      </c>
      <c r="L25" s="5" t="s">
        <v>1</v>
      </c>
      <c r="M25" s="80">
        <f t="shared" si="9"/>
        <v>6</v>
      </c>
      <c r="N25" s="78">
        <f t="shared" si="10"/>
        <v>450</v>
      </c>
      <c r="O25" s="78">
        <f t="shared" si="11"/>
        <v>450</v>
      </c>
    </row>
    <row r="26" spans="1:15" x14ac:dyDescent="0.25">
      <c r="A26" s="31">
        <v>3</v>
      </c>
      <c r="B26" s="4" t="s">
        <v>2463</v>
      </c>
      <c r="C26" s="5">
        <v>1</v>
      </c>
      <c r="D26" s="7">
        <v>0</v>
      </c>
      <c r="E26" s="3">
        <f t="shared" si="6"/>
        <v>1</v>
      </c>
      <c r="F26" s="3" t="s">
        <v>867</v>
      </c>
      <c r="G26" s="77"/>
      <c r="H26" s="5" t="s">
        <v>1</v>
      </c>
      <c r="I26" s="78">
        <f t="shared" si="7"/>
        <v>0</v>
      </c>
      <c r="J26" s="110">
        <f t="shared" si="8"/>
        <v>75</v>
      </c>
      <c r="K26" s="4">
        <v>7</v>
      </c>
      <c r="L26" s="5" t="s">
        <v>1</v>
      </c>
      <c r="M26" s="80">
        <f t="shared" si="9"/>
        <v>7</v>
      </c>
      <c r="N26" s="78">
        <f t="shared" si="10"/>
        <v>525</v>
      </c>
      <c r="O26" s="78">
        <f t="shared" si="11"/>
        <v>525</v>
      </c>
    </row>
    <row r="27" spans="1:15" x14ac:dyDescent="0.25">
      <c r="A27" s="31">
        <v>4</v>
      </c>
      <c r="B27" s="8" t="s">
        <v>2462</v>
      </c>
      <c r="C27" s="5">
        <v>1</v>
      </c>
      <c r="D27" s="7">
        <v>0</v>
      </c>
      <c r="E27" s="3">
        <f t="shared" si="6"/>
        <v>1</v>
      </c>
      <c r="F27" s="3" t="s">
        <v>867</v>
      </c>
      <c r="G27" s="77"/>
      <c r="H27" s="5" t="s">
        <v>1</v>
      </c>
      <c r="I27" s="78">
        <f t="shared" si="7"/>
        <v>0</v>
      </c>
      <c r="J27" s="110">
        <f t="shared" si="8"/>
        <v>75</v>
      </c>
      <c r="K27" s="4">
        <v>8</v>
      </c>
      <c r="L27" s="5" t="s">
        <v>1</v>
      </c>
      <c r="M27" s="80">
        <f t="shared" si="9"/>
        <v>8</v>
      </c>
      <c r="N27" s="78">
        <f t="shared" si="10"/>
        <v>600</v>
      </c>
      <c r="O27" s="78">
        <f t="shared" si="11"/>
        <v>600</v>
      </c>
    </row>
    <row r="28" spans="1:15" x14ac:dyDescent="0.25">
      <c r="A28" s="31">
        <v>5</v>
      </c>
      <c r="B28" s="4" t="s">
        <v>2461</v>
      </c>
      <c r="C28" s="5">
        <v>1</v>
      </c>
      <c r="D28" s="7">
        <v>0</v>
      </c>
      <c r="E28" s="3">
        <f t="shared" si="6"/>
        <v>1</v>
      </c>
      <c r="F28" s="3" t="s">
        <v>867</v>
      </c>
      <c r="G28" s="77"/>
      <c r="H28" s="5" t="s">
        <v>1</v>
      </c>
      <c r="I28" s="78">
        <f t="shared" si="7"/>
        <v>0</v>
      </c>
      <c r="J28" s="110">
        <f t="shared" si="8"/>
        <v>75</v>
      </c>
      <c r="K28" s="4">
        <v>9</v>
      </c>
      <c r="L28" s="5" t="s">
        <v>1</v>
      </c>
      <c r="M28" s="80">
        <f t="shared" si="9"/>
        <v>9</v>
      </c>
      <c r="N28" s="78">
        <f t="shared" si="10"/>
        <v>675</v>
      </c>
      <c r="O28" s="78">
        <f t="shared" si="11"/>
        <v>675</v>
      </c>
    </row>
    <row r="29" spans="1:15" x14ac:dyDescent="0.25">
      <c r="A29" s="31">
        <v>6</v>
      </c>
      <c r="B29" s="4" t="s">
        <v>2460</v>
      </c>
      <c r="C29" s="5">
        <v>1</v>
      </c>
      <c r="D29" s="7">
        <v>0</v>
      </c>
      <c r="E29" s="3">
        <f t="shared" si="6"/>
        <v>1</v>
      </c>
      <c r="F29" s="3" t="s">
        <v>867</v>
      </c>
      <c r="G29" s="77"/>
      <c r="H29" s="5" t="s">
        <v>1</v>
      </c>
      <c r="I29" s="78">
        <f t="shared" si="7"/>
        <v>0</v>
      </c>
      <c r="J29" s="110">
        <f t="shared" si="8"/>
        <v>75</v>
      </c>
      <c r="K29" s="4">
        <v>10</v>
      </c>
      <c r="L29" s="5" t="s">
        <v>1</v>
      </c>
      <c r="M29" s="80">
        <f t="shared" si="9"/>
        <v>10</v>
      </c>
      <c r="N29" s="78">
        <f t="shared" si="10"/>
        <v>750</v>
      </c>
      <c r="O29" s="78">
        <f t="shared" si="11"/>
        <v>750</v>
      </c>
    </row>
    <row r="30" spans="1:15" x14ac:dyDescent="0.25">
      <c r="A30" s="31">
        <v>7</v>
      </c>
      <c r="B30" s="4" t="s">
        <v>2459</v>
      </c>
      <c r="C30" s="5">
        <v>1</v>
      </c>
      <c r="D30" s="7">
        <v>0</v>
      </c>
      <c r="E30" s="3">
        <f t="shared" si="6"/>
        <v>1</v>
      </c>
      <c r="F30" s="3" t="s">
        <v>867</v>
      </c>
      <c r="G30" s="77"/>
      <c r="H30" s="5" t="s">
        <v>1</v>
      </c>
      <c r="I30" s="78">
        <f t="shared" si="7"/>
        <v>0</v>
      </c>
      <c r="J30" s="110">
        <f t="shared" si="8"/>
        <v>75</v>
      </c>
      <c r="K30" s="4">
        <v>12</v>
      </c>
      <c r="L30" s="5" t="s">
        <v>1</v>
      </c>
      <c r="M30" s="80">
        <f t="shared" si="9"/>
        <v>12</v>
      </c>
      <c r="N30" s="78">
        <f t="shared" si="10"/>
        <v>900</v>
      </c>
      <c r="O30" s="78">
        <f t="shared" si="11"/>
        <v>900</v>
      </c>
    </row>
    <row r="31" spans="1:15" x14ac:dyDescent="0.25">
      <c r="A31" s="31">
        <v>8</v>
      </c>
      <c r="B31" s="4" t="s">
        <v>2458</v>
      </c>
      <c r="C31" s="5">
        <v>1</v>
      </c>
      <c r="D31" s="7">
        <v>0</v>
      </c>
      <c r="E31" s="3">
        <f t="shared" si="6"/>
        <v>1</v>
      </c>
      <c r="F31" s="3" t="s">
        <v>867</v>
      </c>
      <c r="G31" s="77"/>
      <c r="H31" s="5" t="s">
        <v>1</v>
      </c>
      <c r="I31" s="78">
        <f t="shared" si="7"/>
        <v>0</v>
      </c>
      <c r="J31" s="110">
        <f t="shared" si="8"/>
        <v>75</v>
      </c>
      <c r="K31" s="4">
        <v>14</v>
      </c>
      <c r="L31" s="5" t="s">
        <v>1</v>
      </c>
      <c r="M31" s="80">
        <f t="shared" si="9"/>
        <v>14</v>
      </c>
      <c r="N31" s="78">
        <f t="shared" si="10"/>
        <v>1050</v>
      </c>
      <c r="O31" s="78">
        <f t="shared" si="11"/>
        <v>1050</v>
      </c>
    </row>
    <row r="32" spans="1:15" x14ac:dyDescent="0.25">
      <c r="A32" s="31">
        <v>9</v>
      </c>
      <c r="B32" s="4" t="s">
        <v>2457</v>
      </c>
      <c r="C32" s="5">
        <v>1</v>
      </c>
      <c r="D32" s="7">
        <v>0</v>
      </c>
      <c r="E32" s="3">
        <f t="shared" si="6"/>
        <v>1</v>
      </c>
      <c r="F32" s="3" t="s">
        <v>867</v>
      </c>
      <c r="G32" s="77"/>
      <c r="H32" s="5" t="s">
        <v>1</v>
      </c>
      <c r="I32" s="78">
        <f t="shared" si="7"/>
        <v>0</v>
      </c>
      <c r="J32" s="110">
        <f t="shared" si="8"/>
        <v>75</v>
      </c>
      <c r="K32" s="4">
        <v>18</v>
      </c>
      <c r="L32" s="5" t="s">
        <v>1</v>
      </c>
      <c r="M32" s="80">
        <f t="shared" si="9"/>
        <v>18</v>
      </c>
      <c r="N32" s="78">
        <f t="shared" si="10"/>
        <v>1350</v>
      </c>
      <c r="O32" s="78">
        <f t="shared" si="11"/>
        <v>1350</v>
      </c>
    </row>
    <row r="33" spans="1:15" x14ac:dyDescent="0.25">
      <c r="A33" s="31">
        <v>10</v>
      </c>
      <c r="B33" s="4" t="s">
        <v>2456</v>
      </c>
      <c r="C33" s="5">
        <v>1</v>
      </c>
      <c r="D33" s="7">
        <v>0</v>
      </c>
      <c r="E33" s="3">
        <f t="shared" si="6"/>
        <v>1</v>
      </c>
      <c r="F33" s="3" t="s">
        <v>867</v>
      </c>
      <c r="G33" s="77"/>
      <c r="H33" s="5" t="s">
        <v>1</v>
      </c>
      <c r="I33" s="78">
        <f t="shared" si="7"/>
        <v>0</v>
      </c>
      <c r="J33" s="110">
        <f t="shared" si="8"/>
        <v>75</v>
      </c>
      <c r="K33" s="4">
        <v>22</v>
      </c>
      <c r="L33" s="5" t="s">
        <v>1</v>
      </c>
      <c r="M33" s="80">
        <f t="shared" si="9"/>
        <v>22</v>
      </c>
      <c r="N33" s="78">
        <f t="shared" si="10"/>
        <v>1650</v>
      </c>
      <c r="O33" s="78">
        <f t="shared" si="11"/>
        <v>1650</v>
      </c>
    </row>
    <row r="34" spans="1:15" x14ac:dyDescent="0.25">
      <c r="A34" s="31">
        <v>11</v>
      </c>
      <c r="B34" s="4" t="s">
        <v>2455</v>
      </c>
      <c r="C34" s="5">
        <v>1</v>
      </c>
      <c r="D34" s="7">
        <v>0</v>
      </c>
      <c r="E34" s="3">
        <f t="shared" si="6"/>
        <v>1</v>
      </c>
      <c r="F34" s="3" t="s">
        <v>867</v>
      </c>
      <c r="G34" s="77"/>
      <c r="H34" s="5" t="s">
        <v>1</v>
      </c>
      <c r="I34" s="78">
        <f t="shared" si="7"/>
        <v>0</v>
      </c>
      <c r="J34" s="110">
        <f t="shared" si="8"/>
        <v>75</v>
      </c>
      <c r="K34" s="4">
        <v>30</v>
      </c>
      <c r="L34" s="5" t="s">
        <v>1</v>
      </c>
      <c r="M34" s="80">
        <f t="shared" si="9"/>
        <v>30</v>
      </c>
      <c r="N34" s="78">
        <f t="shared" si="10"/>
        <v>2250</v>
      </c>
      <c r="O34" s="78">
        <f t="shared" si="11"/>
        <v>2250</v>
      </c>
    </row>
    <row r="35" spans="1:15" ht="15.75" thickBot="1" x14ac:dyDescent="0.3">
      <c r="A35" s="31"/>
      <c r="B35" s="258"/>
      <c r="C35" s="259">
        <v>1</v>
      </c>
      <c r="D35" s="259">
        <v>0</v>
      </c>
      <c r="E35" s="259">
        <f t="shared" si="6"/>
        <v>1</v>
      </c>
      <c r="F35" s="259" t="s">
        <v>867</v>
      </c>
      <c r="G35" s="259"/>
      <c r="H35" s="259" t="s">
        <v>1</v>
      </c>
      <c r="I35" s="259">
        <f t="shared" si="7"/>
        <v>0</v>
      </c>
      <c r="J35" s="259">
        <f t="shared" si="8"/>
        <v>75</v>
      </c>
      <c r="K35" s="259"/>
      <c r="L35" s="259" t="s">
        <v>1</v>
      </c>
      <c r="M35" s="259">
        <f t="shared" si="9"/>
        <v>0</v>
      </c>
      <c r="N35" s="259">
        <f t="shared" si="10"/>
        <v>0</v>
      </c>
      <c r="O35" s="259">
        <f t="shared" si="11"/>
        <v>0</v>
      </c>
    </row>
    <row r="36" spans="1:15" ht="15.75" thickBot="1" x14ac:dyDescent="0.3">
      <c r="A36" s="60"/>
      <c r="B36" s="145" t="s">
        <v>2454</v>
      </c>
      <c r="C36" s="5"/>
      <c r="D36" s="7"/>
      <c r="E36" s="3"/>
      <c r="F36" s="3"/>
      <c r="G36" s="9"/>
      <c r="H36" s="5"/>
      <c r="I36" s="9"/>
      <c r="J36" s="9"/>
      <c r="K36" s="15"/>
      <c r="L36" s="5"/>
      <c r="M36" s="15"/>
      <c r="N36" s="4"/>
      <c r="O36" s="4"/>
    </row>
    <row r="37" spans="1:15" x14ac:dyDescent="0.25">
      <c r="A37" s="31">
        <v>1</v>
      </c>
      <c r="B37" s="4" t="s">
        <v>2453</v>
      </c>
      <c r="C37" s="5">
        <v>1</v>
      </c>
      <c r="D37" s="7">
        <v>0</v>
      </c>
      <c r="E37" s="3">
        <f t="shared" ref="E37:E48" si="12">C37+(C37*D37)</f>
        <v>1</v>
      </c>
      <c r="F37" s="3" t="s">
        <v>867</v>
      </c>
      <c r="G37" s="77"/>
      <c r="H37" s="5" t="s">
        <v>1</v>
      </c>
      <c r="I37" s="78">
        <f t="shared" ref="I37:I48" si="13">IF(H37="C",(G37/100)*E37,IF(H37="M",(G37/1000)*E37,G37*E37))</f>
        <v>0</v>
      </c>
      <c r="J37" s="110">
        <f t="shared" ref="J37:J48" si="14">$O$4</f>
        <v>75</v>
      </c>
      <c r="K37" s="4">
        <v>6.5</v>
      </c>
      <c r="L37" s="5" t="s">
        <v>1</v>
      </c>
      <c r="M37" s="80">
        <f t="shared" ref="M37:M48" si="15">IF(L37="C",(K37/100)*E37,IF(L37="M",(K37/1000)*E37,K37*E37))</f>
        <v>6.5</v>
      </c>
      <c r="N37" s="78">
        <f t="shared" ref="N37:N48" si="16">M37*J37</f>
        <v>487.5</v>
      </c>
      <c r="O37" s="78">
        <f t="shared" ref="O37:O48" si="17">N37+I37</f>
        <v>487.5</v>
      </c>
    </row>
    <row r="38" spans="1:15" x14ac:dyDescent="0.25">
      <c r="A38" s="31">
        <v>2</v>
      </c>
      <c r="B38" s="4" t="s">
        <v>2452</v>
      </c>
      <c r="C38" s="5">
        <v>1</v>
      </c>
      <c r="D38" s="7">
        <v>0</v>
      </c>
      <c r="E38" s="3">
        <f t="shared" si="12"/>
        <v>1</v>
      </c>
      <c r="F38" s="3" t="s">
        <v>867</v>
      </c>
      <c r="G38" s="77"/>
      <c r="H38" s="5" t="s">
        <v>1</v>
      </c>
      <c r="I38" s="78">
        <f t="shared" si="13"/>
        <v>0</v>
      </c>
      <c r="J38" s="110">
        <f t="shared" si="14"/>
        <v>75</v>
      </c>
      <c r="K38" s="4">
        <v>8</v>
      </c>
      <c r="L38" s="5" t="s">
        <v>1</v>
      </c>
      <c r="M38" s="80">
        <f t="shared" si="15"/>
        <v>8</v>
      </c>
      <c r="N38" s="78">
        <f t="shared" si="16"/>
        <v>600</v>
      </c>
      <c r="O38" s="78">
        <f t="shared" si="17"/>
        <v>600</v>
      </c>
    </row>
    <row r="39" spans="1:15" x14ac:dyDescent="0.25">
      <c r="A39" s="31">
        <v>3</v>
      </c>
      <c r="B39" s="4" t="s">
        <v>2451</v>
      </c>
      <c r="C39" s="5">
        <v>1</v>
      </c>
      <c r="D39" s="7">
        <v>0</v>
      </c>
      <c r="E39" s="3">
        <f t="shared" si="12"/>
        <v>1</v>
      </c>
      <c r="F39" s="3" t="s">
        <v>867</v>
      </c>
      <c r="G39" s="77"/>
      <c r="H39" s="5" t="s">
        <v>1</v>
      </c>
      <c r="I39" s="78">
        <f t="shared" si="13"/>
        <v>0</v>
      </c>
      <c r="J39" s="110">
        <f t="shared" si="14"/>
        <v>75</v>
      </c>
      <c r="K39" s="4">
        <v>9</v>
      </c>
      <c r="L39" s="5" t="s">
        <v>1</v>
      </c>
      <c r="M39" s="80">
        <f t="shared" si="15"/>
        <v>9</v>
      </c>
      <c r="N39" s="78">
        <f t="shared" si="16"/>
        <v>675</v>
      </c>
      <c r="O39" s="78">
        <f t="shared" si="17"/>
        <v>675</v>
      </c>
    </row>
    <row r="40" spans="1:15" x14ac:dyDescent="0.25">
      <c r="A40" s="31">
        <v>4</v>
      </c>
      <c r="B40" s="4" t="s">
        <v>2450</v>
      </c>
      <c r="C40" s="5">
        <v>1</v>
      </c>
      <c r="D40" s="7">
        <v>0</v>
      </c>
      <c r="E40" s="3">
        <f t="shared" si="12"/>
        <v>1</v>
      </c>
      <c r="F40" s="3" t="s">
        <v>867</v>
      </c>
      <c r="G40" s="77"/>
      <c r="H40" s="5" t="s">
        <v>1</v>
      </c>
      <c r="I40" s="78">
        <f t="shared" si="13"/>
        <v>0</v>
      </c>
      <c r="J40" s="110">
        <f t="shared" si="14"/>
        <v>75</v>
      </c>
      <c r="K40" s="4">
        <v>11</v>
      </c>
      <c r="L40" s="5" t="s">
        <v>1</v>
      </c>
      <c r="M40" s="80">
        <f t="shared" si="15"/>
        <v>11</v>
      </c>
      <c r="N40" s="78">
        <f t="shared" si="16"/>
        <v>825</v>
      </c>
      <c r="O40" s="78">
        <f t="shared" si="17"/>
        <v>825</v>
      </c>
    </row>
    <row r="41" spans="1:15" x14ac:dyDescent="0.25">
      <c r="A41" s="31">
        <v>5</v>
      </c>
      <c r="B41" s="4" t="s">
        <v>2449</v>
      </c>
      <c r="C41" s="5">
        <v>1</v>
      </c>
      <c r="D41" s="7">
        <v>0</v>
      </c>
      <c r="E41" s="3">
        <f t="shared" si="12"/>
        <v>1</v>
      </c>
      <c r="F41" s="3" t="s">
        <v>867</v>
      </c>
      <c r="G41" s="77"/>
      <c r="H41" s="5" t="s">
        <v>1</v>
      </c>
      <c r="I41" s="78">
        <f t="shared" si="13"/>
        <v>0</v>
      </c>
      <c r="J41" s="110">
        <f t="shared" si="14"/>
        <v>75</v>
      </c>
      <c r="K41" s="4">
        <v>12</v>
      </c>
      <c r="L41" s="5" t="s">
        <v>1</v>
      </c>
      <c r="M41" s="80">
        <f t="shared" si="15"/>
        <v>12</v>
      </c>
      <c r="N41" s="78">
        <f t="shared" si="16"/>
        <v>900</v>
      </c>
      <c r="O41" s="78">
        <f t="shared" si="17"/>
        <v>900</v>
      </c>
    </row>
    <row r="42" spans="1:15" x14ac:dyDescent="0.25">
      <c r="A42" s="31">
        <v>6</v>
      </c>
      <c r="B42" s="4" t="s">
        <v>2448</v>
      </c>
      <c r="C42" s="5">
        <v>1</v>
      </c>
      <c r="D42" s="7">
        <v>0</v>
      </c>
      <c r="E42" s="3">
        <f t="shared" si="12"/>
        <v>1</v>
      </c>
      <c r="F42" s="3" t="s">
        <v>867</v>
      </c>
      <c r="G42" s="77"/>
      <c r="H42" s="5" t="s">
        <v>1</v>
      </c>
      <c r="I42" s="78">
        <f t="shared" si="13"/>
        <v>0</v>
      </c>
      <c r="J42" s="110">
        <f t="shared" si="14"/>
        <v>75</v>
      </c>
      <c r="K42" s="4">
        <v>13</v>
      </c>
      <c r="L42" s="5" t="s">
        <v>1</v>
      </c>
      <c r="M42" s="80">
        <f t="shared" si="15"/>
        <v>13</v>
      </c>
      <c r="N42" s="78">
        <f t="shared" si="16"/>
        <v>975</v>
      </c>
      <c r="O42" s="78">
        <f t="shared" si="17"/>
        <v>975</v>
      </c>
    </row>
    <row r="43" spans="1:15" x14ac:dyDescent="0.25">
      <c r="A43" s="31">
        <v>7</v>
      </c>
      <c r="B43" s="4" t="s">
        <v>2447</v>
      </c>
      <c r="C43" s="5">
        <v>1</v>
      </c>
      <c r="D43" s="7">
        <v>0</v>
      </c>
      <c r="E43" s="3">
        <f t="shared" si="12"/>
        <v>1</v>
      </c>
      <c r="F43" s="3" t="s">
        <v>867</v>
      </c>
      <c r="G43" s="77"/>
      <c r="H43" s="5" t="s">
        <v>1</v>
      </c>
      <c r="I43" s="78">
        <f t="shared" si="13"/>
        <v>0</v>
      </c>
      <c r="J43" s="110">
        <f t="shared" si="14"/>
        <v>75</v>
      </c>
      <c r="K43" s="4">
        <v>15</v>
      </c>
      <c r="L43" s="5" t="s">
        <v>1</v>
      </c>
      <c r="M43" s="80">
        <f t="shared" si="15"/>
        <v>15</v>
      </c>
      <c r="N43" s="78">
        <f t="shared" si="16"/>
        <v>1125</v>
      </c>
      <c r="O43" s="78">
        <f t="shared" si="17"/>
        <v>1125</v>
      </c>
    </row>
    <row r="44" spans="1:15" x14ac:dyDescent="0.25">
      <c r="A44" s="31">
        <v>8</v>
      </c>
      <c r="B44" s="4" t="s">
        <v>2446</v>
      </c>
      <c r="C44" s="5">
        <v>1</v>
      </c>
      <c r="D44" s="7">
        <v>0</v>
      </c>
      <c r="E44" s="3">
        <f t="shared" si="12"/>
        <v>1</v>
      </c>
      <c r="F44" s="3" t="s">
        <v>867</v>
      </c>
      <c r="G44" s="77"/>
      <c r="H44" s="5" t="s">
        <v>1</v>
      </c>
      <c r="I44" s="78">
        <f t="shared" si="13"/>
        <v>0</v>
      </c>
      <c r="J44" s="110">
        <f t="shared" si="14"/>
        <v>75</v>
      </c>
      <c r="K44" s="4">
        <v>18</v>
      </c>
      <c r="L44" s="5" t="s">
        <v>1</v>
      </c>
      <c r="M44" s="80">
        <f t="shared" si="15"/>
        <v>18</v>
      </c>
      <c r="N44" s="78">
        <f t="shared" si="16"/>
        <v>1350</v>
      </c>
      <c r="O44" s="78">
        <f t="shared" si="17"/>
        <v>1350</v>
      </c>
    </row>
    <row r="45" spans="1:15" x14ac:dyDescent="0.25">
      <c r="A45" s="31">
        <v>9</v>
      </c>
      <c r="B45" s="4" t="s">
        <v>2445</v>
      </c>
      <c r="C45" s="5">
        <v>1</v>
      </c>
      <c r="D45" s="7">
        <v>0</v>
      </c>
      <c r="E45" s="3">
        <f t="shared" si="12"/>
        <v>1</v>
      </c>
      <c r="F45" s="3" t="s">
        <v>867</v>
      </c>
      <c r="G45" s="77"/>
      <c r="H45" s="5" t="s">
        <v>1</v>
      </c>
      <c r="I45" s="78">
        <f t="shared" si="13"/>
        <v>0</v>
      </c>
      <c r="J45" s="110">
        <f t="shared" si="14"/>
        <v>75</v>
      </c>
      <c r="K45" s="4">
        <v>22</v>
      </c>
      <c r="L45" s="5" t="s">
        <v>1</v>
      </c>
      <c r="M45" s="80">
        <f t="shared" si="15"/>
        <v>22</v>
      </c>
      <c r="N45" s="78">
        <f t="shared" si="16"/>
        <v>1650</v>
      </c>
      <c r="O45" s="78">
        <f t="shared" si="17"/>
        <v>1650</v>
      </c>
    </row>
    <row r="46" spans="1:15" x14ac:dyDescent="0.25">
      <c r="A46" s="31">
        <v>10</v>
      </c>
      <c r="B46" s="4" t="s">
        <v>2444</v>
      </c>
      <c r="C46" s="5">
        <v>1</v>
      </c>
      <c r="D46" s="7">
        <v>0</v>
      </c>
      <c r="E46" s="3">
        <f t="shared" si="12"/>
        <v>1</v>
      </c>
      <c r="F46" s="3" t="s">
        <v>867</v>
      </c>
      <c r="G46" s="77"/>
      <c r="H46" s="5" t="s">
        <v>1</v>
      </c>
      <c r="I46" s="78">
        <f t="shared" si="13"/>
        <v>0</v>
      </c>
      <c r="J46" s="110">
        <f t="shared" si="14"/>
        <v>75</v>
      </c>
      <c r="K46" s="4">
        <v>27</v>
      </c>
      <c r="L46" s="5" t="s">
        <v>1</v>
      </c>
      <c r="M46" s="80">
        <f t="shared" si="15"/>
        <v>27</v>
      </c>
      <c r="N46" s="78">
        <f t="shared" si="16"/>
        <v>2025</v>
      </c>
      <c r="O46" s="78">
        <f t="shared" si="17"/>
        <v>2025</v>
      </c>
    </row>
    <row r="47" spans="1:15" x14ac:dyDescent="0.25">
      <c r="A47" s="31">
        <v>11</v>
      </c>
      <c r="B47" s="8" t="s">
        <v>2443</v>
      </c>
      <c r="C47" s="5">
        <v>1</v>
      </c>
      <c r="D47" s="7">
        <v>0</v>
      </c>
      <c r="E47" s="3">
        <f t="shared" si="12"/>
        <v>1</v>
      </c>
      <c r="F47" s="3" t="s">
        <v>867</v>
      </c>
      <c r="G47" s="77"/>
      <c r="H47" s="5" t="s">
        <v>1</v>
      </c>
      <c r="I47" s="78">
        <f t="shared" si="13"/>
        <v>0</v>
      </c>
      <c r="J47" s="110">
        <f t="shared" si="14"/>
        <v>75</v>
      </c>
      <c r="K47" s="4">
        <v>33</v>
      </c>
      <c r="L47" s="5" t="s">
        <v>1</v>
      </c>
      <c r="M47" s="80">
        <f t="shared" si="15"/>
        <v>33</v>
      </c>
      <c r="N47" s="78">
        <f t="shared" si="16"/>
        <v>2475</v>
      </c>
      <c r="O47" s="78">
        <f t="shared" si="17"/>
        <v>2475</v>
      </c>
    </row>
    <row r="48" spans="1:15" ht="15.75" thickBot="1" x14ac:dyDescent="0.3">
      <c r="A48" s="31"/>
      <c r="B48" s="258"/>
      <c r="C48" s="259">
        <v>1</v>
      </c>
      <c r="D48" s="259">
        <v>0</v>
      </c>
      <c r="E48" s="259">
        <f t="shared" si="12"/>
        <v>1</v>
      </c>
      <c r="F48" s="259" t="s">
        <v>867</v>
      </c>
      <c r="G48" s="259"/>
      <c r="H48" s="259" t="s">
        <v>1</v>
      </c>
      <c r="I48" s="259">
        <f t="shared" si="13"/>
        <v>0</v>
      </c>
      <c r="J48" s="259">
        <f t="shared" si="14"/>
        <v>75</v>
      </c>
      <c r="K48" s="259"/>
      <c r="L48" s="259" t="s">
        <v>1</v>
      </c>
      <c r="M48" s="259">
        <f t="shared" si="15"/>
        <v>0</v>
      </c>
      <c r="N48" s="259">
        <f t="shared" si="16"/>
        <v>0</v>
      </c>
      <c r="O48" s="259">
        <f t="shared" si="17"/>
        <v>0</v>
      </c>
    </row>
    <row r="49" spans="1:15" ht="15.75" thickBot="1" x14ac:dyDescent="0.3">
      <c r="A49" s="60"/>
      <c r="B49" s="145" t="s">
        <v>2442</v>
      </c>
      <c r="C49" s="5"/>
      <c r="D49" s="7"/>
      <c r="E49" s="3"/>
      <c r="F49" s="3"/>
      <c r="G49" s="9"/>
      <c r="H49" s="5"/>
      <c r="I49" s="9"/>
      <c r="J49" s="9"/>
      <c r="K49" s="15"/>
      <c r="L49" s="5"/>
      <c r="M49" s="15"/>
      <c r="N49" s="4"/>
      <c r="O49" s="4"/>
    </row>
    <row r="50" spans="1:15" x14ac:dyDescent="0.25">
      <c r="A50" s="31">
        <v>1</v>
      </c>
      <c r="B50" s="4" t="s">
        <v>2441</v>
      </c>
      <c r="C50" s="5">
        <v>1</v>
      </c>
      <c r="D50" s="7">
        <v>0</v>
      </c>
      <c r="E50" s="3">
        <f t="shared" ref="E50:E61" si="18">C50+(C50*D50)</f>
        <v>1</v>
      </c>
      <c r="F50" s="3" t="s">
        <v>867</v>
      </c>
      <c r="G50" s="77"/>
      <c r="H50" s="5" t="s">
        <v>1</v>
      </c>
      <c r="I50" s="78">
        <f t="shared" ref="I50:I61" si="19">IF(H50="C",(G50/100)*E50,IF(H50="M",(G50/1000)*E50,G50*E50))</f>
        <v>0</v>
      </c>
      <c r="J50" s="110">
        <f t="shared" ref="J50:J61" si="20">$O$4</f>
        <v>75</v>
      </c>
      <c r="K50" s="4">
        <v>8</v>
      </c>
      <c r="L50" s="5" t="s">
        <v>1</v>
      </c>
      <c r="M50" s="80">
        <f t="shared" ref="M50:M61" si="21">IF(L50="C",(K50/100)*E50,IF(L50="M",(K50/1000)*E50,K50*E50))</f>
        <v>8</v>
      </c>
      <c r="N50" s="78">
        <f t="shared" ref="N50:N61" si="22">M50*J50</f>
        <v>600</v>
      </c>
      <c r="O50" s="78">
        <f t="shared" ref="O50:O61" si="23">N50+I50</f>
        <v>600</v>
      </c>
    </row>
    <row r="51" spans="1:15" x14ac:dyDescent="0.25">
      <c r="A51" s="31">
        <v>2</v>
      </c>
      <c r="B51" s="4" t="s">
        <v>2440</v>
      </c>
      <c r="C51" s="5">
        <v>1</v>
      </c>
      <c r="D51" s="7">
        <v>0</v>
      </c>
      <c r="E51" s="3">
        <f t="shared" si="18"/>
        <v>1</v>
      </c>
      <c r="F51" s="3" t="s">
        <v>867</v>
      </c>
      <c r="G51" s="77"/>
      <c r="H51" s="5" t="s">
        <v>1</v>
      </c>
      <c r="I51" s="78">
        <f t="shared" si="19"/>
        <v>0</v>
      </c>
      <c r="J51" s="110">
        <f t="shared" si="20"/>
        <v>75</v>
      </c>
      <c r="K51" s="4">
        <v>10</v>
      </c>
      <c r="L51" s="5" t="s">
        <v>1</v>
      </c>
      <c r="M51" s="80">
        <f t="shared" si="21"/>
        <v>10</v>
      </c>
      <c r="N51" s="78">
        <f t="shared" si="22"/>
        <v>750</v>
      </c>
      <c r="O51" s="78">
        <f t="shared" si="23"/>
        <v>750</v>
      </c>
    </row>
    <row r="52" spans="1:15" x14ac:dyDescent="0.25">
      <c r="A52" s="31">
        <v>3</v>
      </c>
      <c r="B52" s="4" t="s">
        <v>2439</v>
      </c>
      <c r="C52" s="5">
        <v>1</v>
      </c>
      <c r="D52" s="7">
        <v>0</v>
      </c>
      <c r="E52" s="3">
        <f t="shared" si="18"/>
        <v>1</v>
      </c>
      <c r="F52" s="3" t="s">
        <v>867</v>
      </c>
      <c r="G52" s="77"/>
      <c r="H52" s="5" t="s">
        <v>1</v>
      </c>
      <c r="I52" s="78">
        <f t="shared" si="19"/>
        <v>0</v>
      </c>
      <c r="J52" s="110">
        <f t="shared" si="20"/>
        <v>75</v>
      </c>
      <c r="K52" s="4">
        <v>12</v>
      </c>
      <c r="L52" s="5" t="s">
        <v>1</v>
      </c>
      <c r="M52" s="80">
        <f t="shared" si="21"/>
        <v>12</v>
      </c>
      <c r="N52" s="78">
        <f t="shared" si="22"/>
        <v>900</v>
      </c>
      <c r="O52" s="78">
        <f t="shared" si="23"/>
        <v>900</v>
      </c>
    </row>
    <row r="53" spans="1:15" x14ac:dyDescent="0.25">
      <c r="A53" s="31">
        <v>4</v>
      </c>
      <c r="B53" s="4" t="s">
        <v>2438</v>
      </c>
      <c r="C53" s="5">
        <v>1</v>
      </c>
      <c r="D53" s="7">
        <v>0</v>
      </c>
      <c r="E53" s="3">
        <f t="shared" si="18"/>
        <v>1</v>
      </c>
      <c r="F53" s="3" t="s">
        <v>867</v>
      </c>
      <c r="G53" s="77"/>
      <c r="H53" s="5" t="s">
        <v>1</v>
      </c>
      <c r="I53" s="78">
        <f t="shared" si="19"/>
        <v>0</v>
      </c>
      <c r="J53" s="110">
        <f t="shared" si="20"/>
        <v>75</v>
      </c>
      <c r="K53" s="4">
        <v>14</v>
      </c>
      <c r="L53" s="5" t="s">
        <v>1</v>
      </c>
      <c r="M53" s="80">
        <f t="shared" si="21"/>
        <v>14</v>
      </c>
      <c r="N53" s="78">
        <f t="shared" si="22"/>
        <v>1050</v>
      </c>
      <c r="O53" s="78">
        <f t="shared" si="23"/>
        <v>1050</v>
      </c>
    </row>
    <row r="54" spans="1:15" x14ac:dyDescent="0.25">
      <c r="A54" s="31">
        <v>5</v>
      </c>
      <c r="B54" s="4" t="s">
        <v>2437</v>
      </c>
      <c r="C54" s="5">
        <v>1</v>
      </c>
      <c r="D54" s="7">
        <v>0</v>
      </c>
      <c r="E54" s="3">
        <f t="shared" si="18"/>
        <v>1</v>
      </c>
      <c r="F54" s="3" t="s">
        <v>867</v>
      </c>
      <c r="G54" s="77"/>
      <c r="H54" s="5" t="s">
        <v>1</v>
      </c>
      <c r="I54" s="78">
        <f t="shared" si="19"/>
        <v>0</v>
      </c>
      <c r="J54" s="110">
        <f t="shared" si="20"/>
        <v>75</v>
      </c>
      <c r="K54" s="4">
        <v>15</v>
      </c>
      <c r="L54" s="5" t="s">
        <v>1</v>
      </c>
      <c r="M54" s="80">
        <f t="shared" si="21"/>
        <v>15</v>
      </c>
      <c r="N54" s="78">
        <f t="shared" si="22"/>
        <v>1125</v>
      </c>
      <c r="O54" s="78">
        <f t="shared" si="23"/>
        <v>1125</v>
      </c>
    </row>
    <row r="55" spans="1:15" x14ac:dyDescent="0.25">
      <c r="A55" s="31">
        <v>6</v>
      </c>
      <c r="B55" s="4" t="s">
        <v>2436</v>
      </c>
      <c r="C55" s="5">
        <v>1</v>
      </c>
      <c r="D55" s="7">
        <v>0</v>
      </c>
      <c r="E55" s="3">
        <f t="shared" si="18"/>
        <v>1</v>
      </c>
      <c r="F55" s="3" t="s">
        <v>867</v>
      </c>
      <c r="G55" s="77"/>
      <c r="H55" s="5" t="s">
        <v>1</v>
      </c>
      <c r="I55" s="78">
        <f t="shared" si="19"/>
        <v>0</v>
      </c>
      <c r="J55" s="110">
        <f t="shared" si="20"/>
        <v>75</v>
      </c>
      <c r="K55" s="4">
        <v>16</v>
      </c>
      <c r="L55" s="5" t="s">
        <v>1</v>
      </c>
      <c r="M55" s="80">
        <f t="shared" si="21"/>
        <v>16</v>
      </c>
      <c r="N55" s="78">
        <f t="shared" si="22"/>
        <v>1200</v>
      </c>
      <c r="O55" s="78">
        <f t="shared" si="23"/>
        <v>1200</v>
      </c>
    </row>
    <row r="56" spans="1:15" x14ac:dyDescent="0.25">
      <c r="A56" s="31">
        <v>7</v>
      </c>
      <c r="B56" s="4" t="s">
        <v>2435</v>
      </c>
      <c r="C56" s="5">
        <v>1</v>
      </c>
      <c r="D56" s="7">
        <v>0</v>
      </c>
      <c r="E56" s="3">
        <f t="shared" si="18"/>
        <v>1</v>
      </c>
      <c r="F56" s="3" t="s">
        <v>867</v>
      </c>
      <c r="G56" s="77"/>
      <c r="H56" s="5" t="s">
        <v>1</v>
      </c>
      <c r="I56" s="78">
        <f t="shared" si="19"/>
        <v>0</v>
      </c>
      <c r="J56" s="110">
        <f t="shared" si="20"/>
        <v>75</v>
      </c>
      <c r="K56" s="4">
        <v>18</v>
      </c>
      <c r="L56" s="5" t="s">
        <v>1</v>
      </c>
      <c r="M56" s="80">
        <f t="shared" si="21"/>
        <v>18</v>
      </c>
      <c r="N56" s="78">
        <f t="shared" si="22"/>
        <v>1350</v>
      </c>
      <c r="O56" s="78">
        <f t="shared" si="23"/>
        <v>1350</v>
      </c>
    </row>
    <row r="57" spans="1:15" ht="15" customHeight="1" x14ac:dyDescent="0.25">
      <c r="A57" s="31">
        <v>8</v>
      </c>
      <c r="B57" s="8" t="s">
        <v>2434</v>
      </c>
      <c r="C57" s="5">
        <v>1</v>
      </c>
      <c r="D57" s="7">
        <v>0</v>
      </c>
      <c r="E57" s="3">
        <f t="shared" si="18"/>
        <v>1</v>
      </c>
      <c r="F57" s="3" t="s">
        <v>867</v>
      </c>
      <c r="G57" s="77"/>
      <c r="H57" s="5" t="s">
        <v>1</v>
      </c>
      <c r="I57" s="78">
        <f t="shared" si="19"/>
        <v>0</v>
      </c>
      <c r="J57" s="110">
        <f t="shared" si="20"/>
        <v>75</v>
      </c>
      <c r="K57" s="4">
        <v>22</v>
      </c>
      <c r="L57" s="5" t="s">
        <v>1</v>
      </c>
      <c r="M57" s="80">
        <f t="shared" si="21"/>
        <v>22</v>
      </c>
      <c r="N57" s="78">
        <f t="shared" si="22"/>
        <v>1650</v>
      </c>
      <c r="O57" s="78">
        <f t="shared" si="23"/>
        <v>1650</v>
      </c>
    </row>
    <row r="58" spans="1:15" x14ac:dyDescent="0.25">
      <c r="A58" s="31">
        <v>9</v>
      </c>
      <c r="B58" s="4" t="s">
        <v>2433</v>
      </c>
      <c r="C58" s="5">
        <v>1</v>
      </c>
      <c r="D58" s="7">
        <v>0</v>
      </c>
      <c r="E58" s="3">
        <f t="shared" si="18"/>
        <v>1</v>
      </c>
      <c r="F58" s="3" t="s">
        <v>867</v>
      </c>
      <c r="G58" s="77"/>
      <c r="H58" s="5" t="s">
        <v>1</v>
      </c>
      <c r="I58" s="78">
        <f t="shared" si="19"/>
        <v>0</v>
      </c>
      <c r="J58" s="110">
        <f t="shared" si="20"/>
        <v>75</v>
      </c>
      <c r="K58" s="4">
        <v>26</v>
      </c>
      <c r="L58" s="5" t="s">
        <v>1</v>
      </c>
      <c r="M58" s="80">
        <f t="shared" si="21"/>
        <v>26</v>
      </c>
      <c r="N58" s="78">
        <f t="shared" si="22"/>
        <v>1950</v>
      </c>
      <c r="O58" s="78">
        <f t="shared" si="23"/>
        <v>1950</v>
      </c>
    </row>
    <row r="59" spans="1:15" x14ac:dyDescent="0.25">
      <c r="A59" s="31">
        <v>10</v>
      </c>
      <c r="B59" s="4" t="s">
        <v>2432</v>
      </c>
      <c r="C59" s="5">
        <v>1</v>
      </c>
      <c r="D59" s="7">
        <v>0</v>
      </c>
      <c r="E59" s="3">
        <f t="shared" si="18"/>
        <v>1</v>
      </c>
      <c r="F59" s="3" t="s">
        <v>867</v>
      </c>
      <c r="G59" s="77"/>
      <c r="H59" s="5" t="s">
        <v>1</v>
      </c>
      <c r="I59" s="78">
        <f t="shared" si="19"/>
        <v>0</v>
      </c>
      <c r="J59" s="110">
        <f t="shared" si="20"/>
        <v>75</v>
      </c>
      <c r="K59" s="4">
        <v>32</v>
      </c>
      <c r="L59" s="5" t="s">
        <v>1</v>
      </c>
      <c r="M59" s="80">
        <f t="shared" si="21"/>
        <v>32</v>
      </c>
      <c r="N59" s="78">
        <f t="shared" si="22"/>
        <v>2400</v>
      </c>
      <c r="O59" s="78">
        <f t="shared" si="23"/>
        <v>2400</v>
      </c>
    </row>
    <row r="60" spans="1:15" x14ac:dyDescent="0.25">
      <c r="A60" s="31">
        <v>11</v>
      </c>
      <c r="B60" s="4" t="s">
        <v>2431</v>
      </c>
      <c r="C60" s="5">
        <v>1</v>
      </c>
      <c r="D60" s="7">
        <v>0</v>
      </c>
      <c r="E60" s="3">
        <f t="shared" si="18"/>
        <v>1</v>
      </c>
      <c r="F60" s="3" t="s">
        <v>867</v>
      </c>
      <c r="G60" s="77"/>
      <c r="H60" s="5" t="s">
        <v>1</v>
      </c>
      <c r="I60" s="78">
        <f t="shared" si="19"/>
        <v>0</v>
      </c>
      <c r="J60" s="110">
        <f t="shared" si="20"/>
        <v>75</v>
      </c>
      <c r="K60" s="4">
        <v>36</v>
      </c>
      <c r="L60" s="5" t="s">
        <v>1</v>
      </c>
      <c r="M60" s="80">
        <f t="shared" si="21"/>
        <v>36</v>
      </c>
      <c r="N60" s="78">
        <f t="shared" si="22"/>
        <v>2700</v>
      </c>
      <c r="O60" s="78">
        <f t="shared" si="23"/>
        <v>2700</v>
      </c>
    </row>
    <row r="61" spans="1:15" x14ac:dyDescent="0.25">
      <c r="A61" s="31"/>
      <c r="B61" s="258"/>
      <c r="C61" s="259">
        <v>1</v>
      </c>
      <c r="D61" s="259">
        <v>0</v>
      </c>
      <c r="E61" s="259">
        <f t="shared" si="18"/>
        <v>1</v>
      </c>
      <c r="F61" s="259" t="s">
        <v>867</v>
      </c>
      <c r="G61" s="259"/>
      <c r="H61" s="259" t="s">
        <v>1</v>
      </c>
      <c r="I61" s="259">
        <f t="shared" si="19"/>
        <v>0</v>
      </c>
      <c r="J61" s="259">
        <f t="shared" si="20"/>
        <v>75</v>
      </c>
      <c r="K61" s="259"/>
      <c r="L61" s="259" t="s">
        <v>1</v>
      </c>
      <c r="M61" s="259">
        <f t="shared" si="21"/>
        <v>0</v>
      </c>
      <c r="N61" s="259">
        <f t="shared" si="22"/>
        <v>0</v>
      </c>
      <c r="O61" s="259">
        <f t="shared" si="23"/>
        <v>0</v>
      </c>
    </row>
  </sheetData>
  <mergeCells count="6">
    <mergeCell ref="B61:O61"/>
    <mergeCell ref="B22:O22"/>
    <mergeCell ref="B35:O35"/>
    <mergeCell ref="B48:O48"/>
    <mergeCell ref="M4:N4"/>
    <mergeCell ref="B6:O6"/>
  </mergeCells>
  <pageMargins left="0.7" right="0.7" top="0.75" bottom="0.75" header="0.3" footer="0.3"/>
  <pageSetup scale="5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D435-2B9B-4251-97C0-506A7B7B3A0A}">
  <sheetPr>
    <pageSetUpPr fitToPage="1"/>
  </sheetPr>
  <dimension ref="A3:O118"/>
  <sheetViews>
    <sheetView view="pageBreakPreview" topLeftCell="A64" zoomScale="90" zoomScaleNormal="85" zoomScaleSheetLayoutView="90" workbookViewId="0">
      <selection activeCell="A72" sqref="A72:XFD72"/>
    </sheetView>
  </sheetViews>
  <sheetFormatPr defaultColWidth="9.140625" defaultRowHeight="15" x14ac:dyDescent="0.25"/>
  <cols>
    <col min="1" max="1" width="5.7109375" style="2" customWidth="1"/>
    <col min="2" max="2" width="60.28515625" style="1" customWidth="1"/>
    <col min="3" max="3" width="10" style="2" bestFit="1" customWidth="1"/>
    <col min="4" max="5" width="9.85546875" style="2" bestFit="1" customWidth="1"/>
    <col min="6" max="6" width="5.42578125" style="2" bestFit="1" customWidth="1"/>
    <col min="7" max="7" width="9.140625" style="10" bestFit="1" customWidth="1"/>
    <col min="8" max="8" width="5.28515625" style="2" bestFit="1" customWidth="1"/>
    <col min="9" max="9" width="10.42578125" style="10" bestFit="1" customWidth="1"/>
    <col min="10" max="10" width="7.42578125" style="10" bestFit="1" customWidth="1"/>
    <col min="11" max="11" width="7.42578125" style="46" bestFit="1" customWidth="1"/>
    <col min="12" max="12" width="5.85546875" style="2" bestFit="1" customWidth="1"/>
    <col min="13" max="13" width="7.28515625" style="46" bestFit="1" customWidth="1"/>
    <col min="14" max="14" width="8.140625" style="1" bestFit="1" customWidth="1"/>
    <col min="15" max="15" width="8.42578125" style="1" bestFit="1" customWidth="1"/>
    <col min="16" max="16384" width="9.140625" style="1"/>
  </cols>
  <sheetData>
    <row r="3" spans="1:15" ht="15.75" thickBot="1" x14ac:dyDescent="0.3"/>
    <row r="4" spans="1:15" ht="16.5" thickBot="1" x14ac:dyDescent="0.3">
      <c r="D4" s="1"/>
      <c r="E4" s="1"/>
      <c r="F4" s="1"/>
      <c r="I4" s="43"/>
      <c r="J4" s="1"/>
      <c r="K4" s="1"/>
      <c r="M4" s="253" t="s">
        <v>1199</v>
      </c>
      <c r="N4" s="254"/>
      <c r="O4" s="108">
        <v>75</v>
      </c>
    </row>
    <row r="5" spans="1:15" ht="41.1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285</v>
      </c>
      <c r="L5" s="82" t="s">
        <v>284</v>
      </c>
      <c r="M5" s="81" t="s">
        <v>286</v>
      </c>
      <c r="N5" s="83" t="s">
        <v>871</v>
      </c>
      <c r="O5" s="84" t="s">
        <v>872</v>
      </c>
    </row>
    <row r="6" spans="1:15" ht="15.75" thickBot="1" x14ac:dyDescent="0.3">
      <c r="A6" s="53"/>
      <c r="B6" s="54"/>
      <c r="C6" s="55"/>
      <c r="D6" s="55"/>
      <c r="E6" s="55"/>
      <c r="F6" s="55"/>
      <c r="G6" s="56"/>
      <c r="H6" s="56"/>
      <c r="I6" s="56"/>
      <c r="J6" s="56"/>
      <c r="K6" s="57"/>
      <c r="L6" s="55"/>
      <c r="M6" s="57"/>
      <c r="N6" s="56"/>
      <c r="O6" s="95"/>
    </row>
    <row r="7" spans="1:15" ht="15.75" thickBot="1" x14ac:dyDescent="0.3">
      <c r="A7" s="60"/>
      <c r="B7" s="145" t="s">
        <v>2583</v>
      </c>
      <c r="C7" s="5"/>
      <c r="D7" s="7"/>
      <c r="E7" s="3"/>
      <c r="F7" s="3"/>
      <c r="G7" s="9"/>
      <c r="H7" s="5"/>
      <c r="I7" s="9"/>
      <c r="J7" s="9"/>
      <c r="K7" s="15"/>
      <c r="L7" s="5"/>
      <c r="M7" s="15"/>
      <c r="N7" s="4"/>
      <c r="O7" s="4"/>
    </row>
    <row r="8" spans="1:15" x14ac:dyDescent="0.25">
      <c r="A8" s="31">
        <v>1</v>
      </c>
      <c r="B8" s="4" t="s">
        <v>2582</v>
      </c>
      <c r="C8" s="5">
        <v>1</v>
      </c>
      <c r="D8" s="7">
        <v>0</v>
      </c>
      <c r="E8" s="3">
        <f t="shared" ref="E8:E23" si="0">C8+(C8*D8)</f>
        <v>1</v>
      </c>
      <c r="F8" s="3" t="s">
        <v>867</v>
      </c>
      <c r="G8" s="77"/>
      <c r="H8" s="5" t="s">
        <v>1</v>
      </c>
      <c r="I8" s="78">
        <f t="shared" ref="I8:I23" si="1">IF(H8="C",(G8/100)*E8,IF(H8="M",(G8/1000)*E8,G8*E8))</f>
        <v>0</v>
      </c>
      <c r="J8" s="110">
        <f t="shared" ref="J8:J23" si="2">$O$4</f>
        <v>75</v>
      </c>
      <c r="K8" s="4">
        <v>3.4</v>
      </c>
      <c r="L8" s="5" t="s">
        <v>1</v>
      </c>
      <c r="M8" s="80">
        <f t="shared" ref="M8:M23" si="3">IF(L8="C",(K8/100)*E8,IF(L8="M",(K8/1000)*E8,K8*E8))</f>
        <v>3.4</v>
      </c>
      <c r="N8" s="78">
        <f t="shared" ref="N8:N23" si="4">M8*J8</f>
        <v>255</v>
      </c>
      <c r="O8" s="78">
        <f t="shared" ref="O8:O23" si="5">N8+I8</f>
        <v>255</v>
      </c>
    </row>
    <row r="9" spans="1:15" x14ac:dyDescent="0.25">
      <c r="A9" s="31">
        <v>2</v>
      </c>
      <c r="B9" s="4" t="s">
        <v>2581</v>
      </c>
      <c r="C9" s="5">
        <v>1</v>
      </c>
      <c r="D9" s="7">
        <v>0</v>
      </c>
      <c r="E9" s="3">
        <f t="shared" si="0"/>
        <v>1</v>
      </c>
      <c r="F9" s="3" t="s">
        <v>867</v>
      </c>
      <c r="G9" s="77"/>
      <c r="H9" s="5" t="s">
        <v>1</v>
      </c>
      <c r="I9" s="78">
        <f t="shared" si="1"/>
        <v>0</v>
      </c>
      <c r="J9" s="110">
        <f t="shared" si="2"/>
        <v>75</v>
      </c>
      <c r="K9" s="4">
        <v>4</v>
      </c>
      <c r="L9" s="5" t="s">
        <v>1</v>
      </c>
      <c r="M9" s="80">
        <f t="shared" si="3"/>
        <v>4</v>
      </c>
      <c r="N9" s="78">
        <f t="shared" si="4"/>
        <v>300</v>
      </c>
      <c r="O9" s="78">
        <f t="shared" si="5"/>
        <v>300</v>
      </c>
    </row>
    <row r="10" spans="1:15" x14ac:dyDescent="0.25">
      <c r="A10" s="31">
        <v>3</v>
      </c>
      <c r="B10" s="4" t="s">
        <v>2580</v>
      </c>
      <c r="C10" s="5">
        <v>1</v>
      </c>
      <c r="D10" s="7">
        <v>0</v>
      </c>
      <c r="E10" s="3">
        <f t="shared" si="0"/>
        <v>1</v>
      </c>
      <c r="F10" s="3" t="s">
        <v>867</v>
      </c>
      <c r="G10" s="77"/>
      <c r="H10" s="5" t="s">
        <v>1</v>
      </c>
      <c r="I10" s="78">
        <f t="shared" si="1"/>
        <v>0</v>
      </c>
      <c r="J10" s="110">
        <f t="shared" si="2"/>
        <v>75</v>
      </c>
      <c r="K10" s="4">
        <v>5</v>
      </c>
      <c r="L10" s="5" t="s">
        <v>1</v>
      </c>
      <c r="M10" s="80">
        <f t="shared" si="3"/>
        <v>5</v>
      </c>
      <c r="N10" s="78">
        <f t="shared" si="4"/>
        <v>375</v>
      </c>
      <c r="O10" s="78">
        <f t="shared" si="5"/>
        <v>375</v>
      </c>
    </row>
    <row r="11" spans="1:15" x14ac:dyDescent="0.25">
      <c r="A11" s="31">
        <v>4</v>
      </c>
      <c r="B11" s="4" t="s">
        <v>2579</v>
      </c>
      <c r="C11" s="5">
        <v>1</v>
      </c>
      <c r="D11" s="7">
        <v>0</v>
      </c>
      <c r="E11" s="3">
        <f t="shared" si="0"/>
        <v>1</v>
      </c>
      <c r="F11" s="3" t="s">
        <v>867</v>
      </c>
      <c r="G11" s="77"/>
      <c r="H11" s="5" t="s">
        <v>1</v>
      </c>
      <c r="I11" s="78">
        <f t="shared" si="1"/>
        <v>0</v>
      </c>
      <c r="J11" s="110">
        <f t="shared" si="2"/>
        <v>75</v>
      </c>
      <c r="K11" s="4">
        <v>6.5</v>
      </c>
      <c r="L11" s="5" t="s">
        <v>1</v>
      </c>
      <c r="M11" s="80">
        <f t="shared" si="3"/>
        <v>6.5</v>
      </c>
      <c r="N11" s="78">
        <f t="shared" si="4"/>
        <v>487.5</v>
      </c>
      <c r="O11" s="78">
        <f t="shared" si="5"/>
        <v>487.5</v>
      </c>
    </row>
    <row r="12" spans="1:15" x14ac:dyDescent="0.25">
      <c r="A12" s="31">
        <v>5</v>
      </c>
      <c r="B12" s="4" t="s">
        <v>2578</v>
      </c>
      <c r="C12" s="5">
        <v>1</v>
      </c>
      <c r="D12" s="7">
        <v>0</v>
      </c>
      <c r="E12" s="3">
        <f t="shared" si="0"/>
        <v>1</v>
      </c>
      <c r="F12" s="3" t="s">
        <v>867</v>
      </c>
      <c r="G12" s="77"/>
      <c r="H12" s="5" t="s">
        <v>1</v>
      </c>
      <c r="I12" s="78">
        <f t="shared" si="1"/>
        <v>0</v>
      </c>
      <c r="J12" s="110">
        <f t="shared" si="2"/>
        <v>75</v>
      </c>
      <c r="K12" s="4">
        <v>8</v>
      </c>
      <c r="L12" s="5" t="s">
        <v>1</v>
      </c>
      <c r="M12" s="80">
        <f t="shared" si="3"/>
        <v>8</v>
      </c>
      <c r="N12" s="78">
        <f t="shared" si="4"/>
        <v>600</v>
      </c>
      <c r="O12" s="78">
        <f t="shared" si="5"/>
        <v>600</v>
      </c>
    </row>
    <row r="13" spans="1:15" x14ac:dyDescent="0.25">
      <c r="A13" s="31">
        <v>6</v>
      </c>
      <c r="B13" s="4" t="s">
        <v>2577</v>
      </c>
      <c r="C13" s="5">
        <v>1</v>
      </c>
      <c r="D13" s="7">
        <v>0</v>
      </c>
      <c r="E13" s="3">
        <f t="shared" si="0"/>
        <v>1</v>
      </c>
      <c r="F13" s="3" t="s">
        <v>867</v>
      </c>
      <c r="G13" s="77"/>
      <c r="H13" s="5" t="s">
        <v>1</v>
      </c>
      <c r="I13" s="78">
        <f t="shared" si="1"/>
        <v>0</v>
      </c>
      <c r="J13" s="110">
        <f t="shared" si="2"/>
        <v>75</v>
      </c>
      <c r="K13" s="4">
        <v>8.5</v>
      </c>
      <c r="L13" s="5" t="s">
        <v>1</v>
      </c>
      <c r="M13" s="80">
        <f t="shared" si="3"/>
        <v>8.5</v>
      </c>
      <c r="N13" s="78">
        <f t="shared" si="4"/>
        <v>637.5</v>
      </c>
      <c r="O13" s="78">
        <f t="shared" si="5"/>
        <v>637.5</v>
      </c>
    </row>
    <row r="14" spans="1:15" x14ac:dyDescent="0.25">
      <c r="A14" s="31">
        <v>7</v>
      </c>
      <c r="B14" s="4" t="s">
        <v>2576</v>
      </c>
      <c r="C14" s="5">
        <v>1</v>
      </c>
      <c r="D14" s="7">
        <v>0</v>
      </c>
      <c r="E14" s="3">
        <f t="shared" si="0"/>
        <v>1</v>
      </c>
      <c r="F14" s="3" t="s">
        <v>867</v>
      </c>
      <c r="G14" s="77"/>
      <c r="H14" s="5" t="s">
        <v>1</v>
      </c>
      <c r="I14" s="78">
        <f t="shared" si="1"/>
        <v>0</v>
      </c>
      <c r="J14" s="110">
        <f t="shared" si="2"/>
        <v>75</v>
      </c>
      <c r="K14" s="4">
        <v>9.5</v>
      </c>
      <c r="L14" s="5" t="s">
        <v>1</v>
      </c>
      <c r="M14" s="80">
        <f t="shared" si="3"/>
        <v>9.5</v>
      </c>
      <c r="N14" s="78">
        <f t="shared" si="4"/>
        <v>712.5</v>
      </c>
      <c r="O14" s="78">
        <f t="shared" si="5"/>
        <v>712.5</v>
      </c>
    </row>
    <row r="15" spans="1:15" x14ac:dyDescent="0.25">
      <c r="A15" s="31">
        <v>8</v>
      </c>
      <c r="B15" s="4" t="s">
        <v>2575</v>
      </c>
      <c r="C15" s="5">
        <v>1</v>
      </c>
      <c r="D15" s="7">
        <v>0</v>
      </c>
      <c r="E15" s="3">
        <f t="shared" si="0"/>
        <v>1</v>
      </c>
      <c r="F15" s="3" t="s">
        <v>867</v>
      </c>
      <c r="G15" s="77"/>
      <c r="H15" s="5" t="s">
        <v>1</v>
      </c>
      <c r="I15" s="78">
        <f t="shared" si="1"/>
        <v>0</v>
      </c>
      <c r="J15" s="110">
        <f t="shared" si="2"/>
        <v>75</v>
      </c>
      <c r="K15" s="4">
        <v>11.5</v>
      </c>
      <c r="L15" s="5" t="s">
        <v>1</v>
      </c>
      <c r="M15" s="80">
        <f t="shared" si="3"/>
        <v>11.5</v>
      </c>
      <c r="N15" s="78">
        <f t="shared" si="4"/>
        <v>862.5</v>
      </c>
      <c r="O15" s="78">
        <f t="shared" si="5"/>
        <v>862.5</v>
      </c>
    </row>
    <row r="16" spans="1:15" x14ac:dyDescent="0.25">
      <c r="A16" s="31">
        <v>9</v>
      </c>
      <c r="B16" s="4" t="s">
        <v>2574</v>
      </c>
      <c r="C16" s="5">
        <v>1</v>
      </c>
      <c r="D16" s="7">
        <v>0</v>
      </c>
      <c r="E16" s="3">
        <f t="shared" si="0"/>
        <v>1</v>
      </c>
      <c r="F16" s="3" t="s">
        <v>867</v>
      </c>
      <c r="G16" s="77"/>
      <c r="H16" s="5" t="s">
        <v>1</v>
      </c>
      <c r="I16" s="78">
        <f t="shared" si="1"/>
        <v>0</v>
      </c>
      <c r="J16" s="110">
        <f t="shared" si="2"/>
        <v>75</v>
      </c>
      <c r="K16" s="4">
        <v>13.5</v>
      </c>
      <c r="L16" s="5" t="s">
        <v>1</v>
      </c>
      <c r="M16" s="80">
        <f t="shared" si="3"/>
        <v>13.5</v>
      </c>
      <c r="N16" s="78">
        <f t="shared" si="4"/>
        <v>1012.5</v>
      </c>
      <c r="O16" s="78">
        <f t="shared" si="5"/>
        <v>1012.5</v>
      </c>
    </row>
    <row r="17" spans="1:15" x14ac:dyDescent="0.25">
      <c r="A17" s="31">
        <v>10</v>
      </c>
      <c r="B17" s="4" t="s">
        <v>2573</v>
      </c>
      <c r="C17" s="5">
        <v>1</v>
      </c>
      <c r="D17" s="7">
        <v>0</v>
      </c>
      <c r="E17" s="3">
        <f t="shared" si="0"/>
        <v>1</v>
      </c>
      <c r="F17" s="3" t="s">
        <v>867</v>
      </c>
      <c r="G17" s="77"/>
      <c r="H17" s="5" t="s">
        <v>1</v>
      </c>
      <c r="I17" s="78">
        <f t="shared" si="1"/>
        <v>0</v>
      </c>
      <c r="J17" s="110">
        <f t="shared" si="2"/>
        <v>75</v>
      </c>
      <c r="K17" s="4">
        <v>14.5</v>
      </c>
      <c r="L17" s="5" t="s">
        <v>1</v>
      </c>
      <c r="M17" s="80">
        <f t="shared" si="3"/>
        <v>14.5</v>
      </c>
      <c r="N17" s="78">
        <f t="shared" si="4"/>
        <v>1087.5</v>
      </c>
      <c r="O17" s="78">
        <f t="shared" si="5"/>
        <v>1087.5</v>
      </c>
    </row>
    <row r="18" spans="1:15" x14ac:dyDescent="0.25">
      <c r="A18" s="31">
        <v>11</v>
      </c>
      <c r="B18" s="4" t="s">
        <v>2572</v>
      </c>
      <c r="C18" s="5">
        <v>1</v>
      </c>
      <c r="D18" s="7">
        <v>0</v>
      </c>
      <c r="E18" s="3">
        <f t="shared" si="0"/>
        <v>1</v>
      </c>
      <c r="F18" s="3" t="s">
        <v>867</v>
      </c>
      <c r="G18" s="77"/>
      <c r="H18" s="5" t="s">
        <v>1</v>
      </c>
      <c r="I18" s="78">
        <f t="shared" si="1"/>
        <v>0</v>
      </c>
      <c r="J18" s="110">
        <f t="shared" si="2"/>
        <v>75</v>
      </c>
      <c r="K18" s="4">
        <v>15</v>
      </c>
      <c r="L18" s="5" t="s">
        <v>1</v>
      </c>
      <c r="M18" s="80">
        <f t="shared" si="3"/>
        <v>15</v>
      </c>
      <c r="N18" s="78">
        <f t="shared" si="4"/>
        <v>1125</v>
      </c>
      <c r="O18" s="78">
        <f t="shared" si="5"/>
        <v>1125</v>
      </c>
    </row>
    <row r="19" spans="1:15" x14ac:dyDescent="0.25">
      <c r="A19" s="31">
        <v>12</v>
      </c>
      <c r="B19" s="4" t="s">
        <v>2571</v>
      </c>
      <c r="C19" s="5">
        <v>1</v>
      </c>
      <c r="D19" s="7">
        <v>0</v>
      </c>
      <c r="E19" s="3">
        <f t="shared" si="0"/>
        <v>1</v>
      </c>
      <c r="F19" s="3" t="s">
        <v>867</v>
      </c>
      <c r="G19" s="77"/>
      <c r="H19" s="5" t="s">
        <v>1</v>
      </c>
      <c r="I19" s="78">
        <f t="shared" si="1"/>
        <v>0</v>
      </c>
      <c r="J19" s="110">
        <f t="shared" si="2"/>
        <v>75</v>
      </c>
      <c r="K19" s="4">
        <v>18</v>
      </c>
      <c r="L19" s="5" t="s">
        <v>1</v>
      </c>
      <c r="M19" s="80">
        <f t="shared" si="3"/>
        <v>18</v>
      </c>
      <c r="N19" s="78">
        <f t="shared" si="4"/>
        <v>1350</v>
      </c>
      <c r="O19" s="78">
        <f t="shared" si="5"/>
        <v>1350</v>
      </c>
    </row>
    <row r="20" spans="1:15" x14ac:dyDescent="0.25">
      <c r="A20" s="31">
        <v>13</v>
      </c>
      <c r="B20" s="4" t="s">
        <v>2570</v>
      </c>
      <c r="C20" s="5">
        <v>1</v>
      </c>
      <c r="D20" s="7">
        <v>0</v>
      </c>
      <c r="E20" s="3">
        <f t="shared" si="0"/>
        <v>1</v>
      </c>
      <c r="F20" s="3" t="s">
        <v>867</v>
      </c>
      <c r="G20" s="77"/>
      <c r="H20" s="5" t="s">
        <v>1</v>
      </c>
      <c r="I20" s="78">
        <f t="shared" si="1"/>
        <v>0</v>
      </c>
      <c r="J20" s="110">
        <f t="shared" si="2"/>
        <v>75</v>
      </c>
      <c r="K20" s="4">
        <v>23</v>
      </c>
      <c r="L20" s="5" t="s">
        <v>1</v>
      </c>
      <c r="M20" s="80">
        <f t="shared" si="3"/>
        <v>23</v>
      </c>
      <c r="N20" s="78">
        <f t="shared" si="4"/>
        <v>1725</v>
      </c>
      <c r="O20" s="78">
        <f t="shared" si="5"/>
        <v>1725</v>
      </c>
    </row>
    <row r="21" spans="1:15" x14ac:dyDescent="0.25">
      <c r="A21" s="31">
        <v>14</v>
      </c>
      <c r="B21" s="8" t="s">
        <v>2569</v>
      </c>
      <c r="C21" s="5">
        <v>1</v>
      </c>
      <c r="D21" s="7">
        <v>0</v>
      </c>
      <c r="E21" s="3">
        <f t="shared" si="0"/>
        <v>1</v>
      </c>
      <c r="F21" s="3" t="s">
        <v>867</v>
      </c>
      <c r="G21" s="77"/>
      <c r="H21" s="5" t="s">
        <v>1</v>
      </c>
      <c r="I21" s="78">
        <f t="shared" si="1"/>
        <v>0</v>
      </c>
      <c r="J21" s="110">
        <f t="shared" si="2"/>
        <v>75</v>
      </c>
      <c r="K21" s="4">
        <v>28</v>
      </c>
      <c r="L21" s="5" t="s">
        <v>1</v>
      </c>
      <c r="M21" s="80">
        <f t="shared" si="3"/>
        <v>28</v>
      </c>
      <c r="N21" s="78">
        <f t="shared" si="4"/>
        <v>2100</v>
      </c>
      <c r="O21" s="78">
        <f t="shared" si="5"/>
        <v>2100</v>
      </c>
    </row>
    <row r="22" spans="1:15" x14ac:dyDescent="0.25">
      <c r="A22" s="31">
        <v>15</v>
      </c>
      <c r="B22" s="4" t="s">
        <v>2568</v>
      </c>
      <c r="C22" s="5">
        <v>1</v>
      </c>
      <c r="D22" s="7">
        <v>0</v>
      </c>
      <c r="E22" s="3">
        <f t="shared" si="0"/>
        <v>1</v>
      </c>
      <c r="F22" s="3" t="s">
        <v>867</v>
      </c>
      <c r="G22" s="77"/>
      <c r="H22" s="5" t="s">
        <v>1</v>
      </c>
      <c r="I22" s="78">
        <f t="shared" si="1"/>
        <v>0</v>
      </c>
      <c r="J22" s="110">
        <f t="shared" si="2"/>
        <v>75</v>
      </c>
      <c r="K22" s="4">
        <v>35</v>
      </c>
      <c r="L22" s="5" t="s">
        <v>1</v>
      </c>
      <c r="M22" s="80">
        <f t="shared" si="3"/>
        <v>35</v>
      </c>
      <c r="N22" s="78">
        <f t="shared" si="4"/>
        <v>2625</v>
      </c>
      <c r="O22" s="78">
        <f t="shared" si="5"/>
        <v>2625</v>
      </c>
    </row>
    <row r="23" spans="1:15" ht="15.75" thickBot="1" x14ac:dyDescent="0.3">
      <c r="A23" s="31"/>
      <c r="B23" s="258"/>
      <c r="C23" s="259">
        <v>1</v>
      </c>
      <c r="D23" s="259">
        <v>0</v>
      </c>
      <c r="E23" s="259">
        <f t="shared" si="0"/>
        <v>1</v>
      </c>
      <c r="F23" s="259" t="s">
        <v>867</v>
      </c>
      <c r="G23" s="259"/>
      <c r="H23" s="259" t="s">
        <v>1</v>
      </c>
      <c r="I23" s="259">
        <f t="shared" si="1"/>
        <v>0</v>
      </c>
      <c r="J23" s="259">
        <f t="shared" si="2"/>
        <v>75</v>
      </c>
      <c r="K23" s="259"/>
      <c r="L23" s="259" t="s">
        <v>1</v>
      </c>
      <c r="M23" s="259">
        <f t="shared" si="3"/>
        <v>0</v>
      </c>
      <c r="N23" s="259">
        <f t="shared" si="4"/>
        <v>0</v>
      </c>
      <c r="O23" s="259">
        <f t="shared" si="5"/>
        <v>0</v>
      </c>
    </row>
    <row r="24" spans="1:15" ht="15.75" thickBot="1" x14ac:dyDescent="0.3">
      <c r="A24" s="60"/>
      <c r="B24" s="145" t="s">
        <v>2567</v>
      </c>
      <c r="C24" s="5"/>
      <c r="D24" s="7"/>
      <c r="E24" s="3"/>
      <c r="F24" s="3"/>
      <c r="G24" s="9"/>
      <c r="H24" s="5"/>
      <c r="I24" s="9"/>
      <c r="J24" s="9"/>
      <c r="K24" s="15"/>
      <c r="L24" s="5"/>
      <c r="M24" s="15"/>
      <c r="N24" s="4"/>
      <c r="O24" s="4"/>
    </row>
    <row r="25" spans="1:15" x14ac:dyDescent="0.25">
      <c r="A25" s="31">
        <v>1</v>
      </c>
      <c r="B25" s="4" t="s">
        <v>2566</v>
      </c>
      <c r="C25" s="5">
        <v>1</v>
      </c>
      <c r="D25" s="7">
        <v>0</v>
      </c>
      <c r="E25" s="3">
        <f t="shared" ref="E25:E33" si="6">C25+(C25*D25)</f>
        <v>1</v>
      </c>
      <c r="F25" s="3" t="s">
        <v>867</v>
      </c>
      <c r="G25" s="77"/>
      <c r="H25" s="5" t="s">
        <v>1</v>
      </c>
      <c r="I25" s="78">
        <f t="shared" ref="I25:I33" si="7">IF(H25="C",(G25/100)*E25,IF(H25="M",(G25/1000)*E25,G25*E25))</f>
        <v>0</v>
      </c>
      <c r="J25" s="110">
        <f t="shared" ref="J25:J33" si="8">$O$4</f>
        <v>75</v>
      </c>
      <c r="K25" s="4">
        <v>7.2</v>
      </c>
      <c r="L25" s="5" t="s">
        <v>1</v>
      </c>
      <c r="M25" s="80">
        <f t="shared" ref="M25:M33" si="9">IF(L25="C",(K25/100)*E25,IF(L25="M",(K25/1000)*E25,K25*E25))</f>
        <v>7.2</v>
      </c>
      <c r="N25" s="78">
        <f t="shared" ref="N25:N33" si="10">M25*J25</f>
        <v>540</v>
      </c>
      <c r="O25" s="78">
        <f t="shared" ref="O25:O33" si="11">N25+I25</f>
        <v>540</v>
      </c>
    </row>
    <row r="26" spans="1:15" x14ac:dyDescent="0.25">
      <c r="A26" s="31">
        <v>2</v>
      </c>
      <c r="B26" s="4" t="s">
        <v>2565</v>
      </c>
      <c r="C26" s="5">
        <v>1</v>
      </c>
      <c r="D26" s="7">
        <v>0</v>
      </c>
      <c r="E26" s="3">
        <f t="shared" si="6"/>
        <v>1</v>
      </c>
      <c r="F26" s="3" t="s">
        <v>867</v>
      </c>
      <c r="G26" s="77"/>
      <c r="H26" s="5" t="s">
        <v>1</v>
      </c>
      <c r="I26" s="78">
        <f t="shared" si="7"/>
        <v>0</v>
      </c>
      <c r="J26" s="110">
        <f t="shared" si="8"/>
        <v>75</v>
      </c>
      <c r="K26" s="4">
        <v>8.8000000000000007</v>
      </c>
      <c r="L26" s="5" t="s">
        <v>1</v>
      </c>
      <c r="M26" s="80">
        <f t="shared" si="9"/>
        <v>8.8000000000000007</v>
      </c>
      <c r="N26" s="78">
        <f t="shared" si="10"/>
        <v>660</v>
      </c>
      <c r="O26" s="78">
        <f t="shared" si="11"/>
        <v>660</v>
      </c>
    </row>
    <row r="27" spans="1:15" x14ac:dyDescent="0.25">
      <c r="A27" s="31">
        <v>3</v>
      </c>
      <c r="B27" s="4" t="s">
        <v>2564</v>
      </c>
      <c r="C27" s="5">
        <v>1</v>
      </c>
      <c r="D27" s="7">
        <v>0</v>
      </c>
      <c r="E27" s="3">
        <f t="shared" si="6"/>
        <v>1</v>
      </c>
      <c r="F27" s="3" t="s">
        <v>867</v>
      </c>
      <c r="G27" s="77"/>
      <c r="H27" s="5" t="s">
        <v>1</v>
      </c>
      <c r="I27" s="78">
        <f t="shared" si="7"/>
        <v>0</v>
      </c>
      <c r="J27" s="110">
        <f t="shared" si="8"/>
        <v>75</v>
      </c>
      <c r="K27" s="4">
        <v>9.5</v>
      </c>
      <c r="L27" s="5" t="s">
        <v>1</v>
      </c>
      <c r="M27" s="80">
        <f t="shared" si="9"/>
        <v>9.5</v>
      </c>
      <c r="N27" s="78">
        <f t="shared" si="10"/>
        <v>712.5</v>
      </c>
      <c r="O27" s="78">
        <f t="shared" si="11"/>
        <v>712.5</v>
      </c>
    </row>
    <row r="28" spans="1:15" x14ac:dyDescent="0.25">
      <c r="A28" s="31">
        <v>4</v>
      </c>
      <c r="B28" s="4" t="s">
        <v>2563</v>
      </c>
      <c r="C28" s="5">
        <v>1</v>
      </c>
      <c r="D28" s="7">
        <v>0</v>
      </c>
      <c r="E28" s="3">
        <f t="shared" si="6"/>
        <v>1</v>
      </c>
      <c r="F28" s="3" t="s">
        <v>867</v>
      </c>
      <c r="G28" s="77"/>
      <c r="H28" s="5" t="s">
        <v>1</v>
      </c>
      <c r="I28" s="78">
        <f t="shared" si="7"/>
        <v>0</v>
      </c>
      <c r="J28" s="110">
        <f t="shared" si="8"/>
        <v>75</v>
      </c>
      <c r="K28" s="4">
        <v>12.8</v>
      </c>
      <c r="L28" s="5" t="s">
        <v>1</v>
      </c>
      <c r="M28" s="80">
        <f t="shared" si="9"/>
        <v>12.8</v>
      </c>
      <c r="N28" s="78">
        <f t="shared" si="10"/>
        <v>960</v>
      </c>
      <c r="O28" s="78">
        <f t="shared" si="11"/>
        <v>960</v>
      </c>
    </row>
    <row r="29" spans="1:15" x14ac:dyDescent="0.25">
      <c r="A29" s="31">
        <v>5</v>
      </c>
      <c r="B29" s="4" t="s">
        <v>2562</v>
      </c>
      <c r="C29" s="5">
        <v>1</v>
      </c>
      <c r="D29" s="7">
        <v>0</v>
      </c>
      <c r="E29" s="3">
        <f t="shared" si="6"/>
        <v>1</v>
      </c>
      <c r="F29" s="3" t="s">
        <v>867</v>
      </c>
      <c r="G29" s="77"/>
      <c r="H29" s="5" t="s">
        <v>1</v>
      </c>
      <c r="I29" s="78">
        <f t="shared" si="7"/>
        <v>0</v>
      </c>
      <c r="J29" s="110">
        <f t="shared" si="8"/>
        <v>75</v>
      </c>
      <c r="K29" s="4">
        <v>14.8</v>
      </c>
      <c r="L29" s="5" t="s">
        <v>1</v>
      </c>
      <c r="M29" s="80">
        <f t="shared" si="9"/>
        <v>14.8</v>
      </c>
      <c r="N29" s="78">
        <f t="shared" si="10"/>
        <v>1110</v>
      </c>
      <c r="O29" s="78">
        <f t="shared" si="11"/>
        <v>1110</v>
      </c>
    </row>
    <row r="30" spans="1:15" x14ac:dyDescent="0.25">
      <c r="A30" s="31">
        <v>6</v>
      </c>
      <c r="B30" s="4" t="s">
        <v>2561</v>
      </c>
      <c r="C30" s="5">
        <v>1</v>
      </c>
      <c r="D30" s="7">
        <v>0</v>
      </c>
      <c r="E30" s="3">
        <f t="shared" si="6"/>
        <v>1</v>
      </c>
      <c r="F30" s="3" t="s">
        <v>867</v>
      </c>
      <c r="G30" s="77"/>
      <c r="H30" s="5" t="s">
        <v>1</v>
      </c>
      <c r="I30" s="78">
        <f t="shared" si="7"/>
        <v>0</v>
      </c>
      <c r="J30" s="110">
        <f t="shared" si="8"/>
        <v>75</v>
      </c>
      <c r="K30" s="4">
        <v>16</v>
      </c>
      <c r="L30" s="5" t="s">
        <v>1</v>
      </c>
      <c r="M30" s="80">
        <f t="shared" si="9"/>
        <v>16</v>
      </c>
      <c r="N30" s="78">
        <f t="shared" si="10"/>
        <v>1200</v>
      </c>
      <c r="O30" s="78">
        <f t="shared" si="11"/>
        <v>1200</v>
      </c>
    </row>
    <row r="31" spans="1:15" ht="15" customHeight="1" x14ac:dyDescent="0.25">
      <c r="A31" s="31">
        <v>7</v>
      </c>
      <c r="B31" s="8" t="s">
        <v>2560</v>
      </c>
      <c r="C31" s="5">
        <v>1</v>
      </c>
      <c r="D31" s="7">
        <v>0</v>
      </c>
      <c r="E31" s="3">
        <f t="shared" si="6"/>
        <v>1</v>
      </c>
      <c r="F31" s="3" t="s">
        <v>867</v>
      </c>
      <c r="G31" s="77"/>
      <c r="H31" s="5" t="s">
        <v>1</v>
      </c>
      <c r="I31" s="78">
        <f t="shared" si="7"/>
        <v>0</v>
      </c>
      <c r="J31" s="110">
        <f t="shared" si="8"/>
        <v>75</v>
      </c>
      <c r="K31" s="4">
        <v>19.8</v>
      </c>
      <c r="L31" s="5" t="s">
        <v>1</v>
      </c>
      <c r="M31" s="80">
        <f t="shared" si="9"/>
        <v>19.8</v>
      </c>
      <c r="N31" s="78">
        <f t="shared" si="10"/>
        <v>1485</v>
      </c>
      <c r="O31" s="78">
        <f t="shared" si="11"/>
        <v>1485</v>
      </c>
    </row>
    <row r="32" spans="1:15" x14ac:dyDescent="0.25">
      <c r="A32" s="31">
        <v>8</v>
      </c>
      <c r="B32" s="4" t="s">
        <v>2559</v>
      </c>
      <c r="C32" s="5">
        <v>1</v>
      </c>
      <c r="D32" s="7">
        <v>0</v>
      </c>
      <c r="E32" s="3">
        <f t="shared" si="6"/>
        <v>1</v>
      </c>
      <c r="F32" s="3" t="s">
        <v>867</v>
      </c>
      <c r="G32" s="77"/>
      <c r="H32" s="5" t="s">
        <v>1</v>
      </c>
      <c r="I32" s="78">
        <f t="shared" si="7"/>
        <v>0</v>
      </c>
      <c r="J32" s="110">
        <f t="shared" si="8"/>
        <v>75</v>
      </c>
      <c r="K32" s="4">
        <v>25.2</v>
      </c>
      <c r="L32" s="5" t="s">
        <v>1</v>
      </c>
      <c r="M32" s="80">
        <f t="shared" si="9"/>
        <v>25.2</v>
      </c>
      <c r="N32" s="78">
        <f t="shared" si="10"/>
        <v>1890</v>
      </c>
      <c r="O32" s="78">
        <f t="shared" si="11"/>
        <v>1890</v>
      </c>
    </row>
    <row r="33" spans="1:15" ht="15.75" thickBot="1" x14ac:dyDescent="0.3">
      <c r="A33" s="31"/>
      <c r="B33" s="258"/>
      <c r="C33" s="259">
        <v>1</v>
      </c>
      <c r="D33" s="259">
        <v>0</v>
      </c>
      <c r="E33" s="259">
        <f t="shared" si="6"/>
        <v>1</v>
      </c>
      <c r="F33" s="259" t="s">
        <v>867</v>
      </c>
      <c r="G33" s="259"/>
      <c r="H33" s="259" t="s">
        <v>1</v>
      </c>
      <c r="I33" s="259">
        <f t="shared" si="7"/>
        <v>0</v>
      </c>
      <c r="J33" s="259">
        <f t="shared" si="8"/>
        <v>75</v>
      </c>
      <c r="K33" s="259"/>
      <c r="L33" s="259" t="s">
        <v>1</v>
      </c>
      <c r="M33" s="259">
        <f t="shared" si="9"/>
        <v>0</v>
      </c>
      <c r="N33" s="259">
        <f t="shared" si="10"/>
        <v>0</v>
      </c>
      <c r="O33" s="259">
        <f t="shared" si="11"/>
        <v>0</v>
      </c>
    </row>
    <row r="34" spans="1:15" ht="15.75" thickBot="1" x14ac:dyDescent="0.3">
      <c r="A34" s="60"/>
      <c r="B34" s="145" t="s">
        <v>2558</v>
      </c>
      <c r="C34" s="5"/>
      <c r="D34" s="7"/>
      <c r="E34" s="3"/>
      <c r="F34" s="3"/>
      <c r="G34" s="9"/>
      <c r="H34" s="5"/>
      <c r="I34" s="9"/>
      <c r="J34" s="9"/>
      <c r="K34" s="15"/>
      <c r="L34" s="5"/>
      <c r="M34" s="15"/>
      <c r="N34" s="4"/>
      <c r="O34" s="4"/>
    </row>
    <row r="35" spans="1:15" x14ac:dyDescent="0.25">
      <c r="A35" s="31">
        <v>1</v>
      </c>
      <c r="B35" s="4" t="s">
        <v>2557</v>
      </c>
      <c r="C35" s="5">
        <v>1</v>
      </c>
      <c r="D35" s="7">
        <v>0</v>
      </c>
      <c r="E35" s="3">
        <f t="shared" ref="E35:E48" si="12">C35+(C35*D35)</f>
        <v>1</v>
      </c>
      <c r="F35" s="3" t="s">
        <v>867</v>
      </c>
      <c r="G35" s="77"/>
      <c r="H35" s="5" t="s">
        <v>1</v>
      </c>
      <c r="I35" s="78">
        <f t="shared" ref="I35:I48" si="13">IF(H35="C",(G35/100)*E35,IF(H35="M",(G35/1000)*E35,G35*E35))</f>
        <v>0</v>
      </c>
      <c r="J35" s="110">
        <f t="shared" ref="J35:J48" si="14">$O$4</f>
        <v>75</v>
      </c>
      <c r="K35" s="4">
        <v>2.9</v>
      </c>
      <c r="L35" s="5" t="s">
        <v>1</v>
      </c>
      <c r="M35" s="80">
        <f t="shared" ref="M35:M48" si="15">IF(L35="C",(K35/100)*E35,IF(L35="M",(K35/1000)*E35,K35*E35))</f>
        <v>2.9</v>
      </c>
      <c r="N35" s="78">
        <f t="shared" ref="N35:N48" si="16">M35*J35</f>
        <v>217.5</v>
      </c>
      <c r="O35" s="78">
        <f t="shared" ref="O35:O48" si="17">N35+I35</f>
        <v>217.5</v>
      </c>
    </row>
    <row r="36" spans="1:15" x14ac:dyDescent="0.25">
      <c r="A36" s="31">
        <v>2</v>
      </c>
      <c r="B36" s="4" t="s">
        <v>2556</v>
      </c>
      <c r="C36" s="5">
        <v>1</v>
      </c>
      <c r="D36" s="7">
        <v>0</v>
      </c>
      <c r="E36" s="3">
        <f t="shared" si="12"/>
        <v>1</v>
      </c>
      <c r="F36" s="3" t="s">
        <v>867</v>
      </c>
      <c r="G36" s="77"/>
      <c r="H36" s="5" t="s">
        <v>1</v>
      </c>
      <c r="I36" s="78">
        <f t="shared" si="13"/>
        <v>0</v>
      </c>
      <c r="J36" s="110">
        <f t="shared" si="14"/>
        <v>75</v>
      </c>
      <c r="K36" s="4">
        <v>3.6</v>
      </c>
      <c r="L36" s="5" t="s">
        <v>1</v>
      </c>
      <c r="M36" s="80">
        <f t="shared" si="15"/>
        <v>3.6</v>
      </c>
      <c r="N36" s="78">
        <f t="shared" si="16"/>
        <v>270</v>
      </c>
      <c r="O36" s="78">
        <f t="shared" si="17"/>
        <v>270</v>
      </c>
    </row>
    <row r="37" spans="1:15" x14ac:dyDescent="0.25">
      <c r="A37" s="31">
        <v>3</v>
      </c>
      <c r="B37" s="4" t="s">
        <v>2555</v>
      </c>
      <c r="C37" s="5">
        <v>1</v>
      </c>
      <c r="D37" s="7">
        <v>0</v>
      </c>
      <c r="E37" s="3">
        <f t="shared" si="12"/>
        <v>1</v>
      </c>
      <c r="F37" s="3" t="s">
        <v>867</v>
      </c>
      <c r="G37" s="77"/>
      <c r="H37" s="5" t="s">
        <v>1</v>
      </c>
      <c r="I37" s="78">
        <f t="shared" si="13"/>
        <v>0</v>
      </c>
      <c r="J37" s="110">
        <f t="shared" si="14"/>
        <v>75</v>
      </c>
      <c r="K37" s="4">
        <v>3.8</v>
      </c>
      <c r="L37" s="5" t="s">
        <v>1</v>
      </c>
      <c r="M37" s="80">
        <f t="shared" si="15"/>
        <v>3.8</v>
      </c>
      <c r="N37" s="78">
        <f t="shared" si="16"/>
        <v>285</v>
      </c>
      <c r="O37" s="78">
        <f t="shared" si="17"/>
        <v>285</v>
      </c>
    </row>
    <row r="38" spans="1:15" x14ac:dyDescent="0.25">
      <c r="A38" s="31">
        <v>4</v>
      </c>
      <c r="B38" s="4" t="s">
        <v>2554</v>
      </c>
      <c r="C38" s="5">
        <v>1</v>
      </c>
      <c r="D38" s="7">
        <v>0</v>
      </c>
      <c r="E38" s="3">
        <f t="shared" si="12"/>
        <v>1</v>
      </c>
      <c r="F38" s="3" t="s">
        <v>867</v>
      </c>
      <c r="G38" s="77"/>
      <c r="H38" s="5" t="s">
        <v>1</v>
      </c>
      <c r="I38" s="78">
        <f t="shared" si="13"/>
        <v>0</v>
      </c>
      <c r="J38" s="110">
        <f t="shared" si="14"/>
        <v>75</v>
      </c>
      <c r="K38" s="4">
        <v>4.8</v>
      </c>
      <c r="L38" s="5" t="s">
        <v>1</v>
      </c>
      <c r="M38" s="80">
        <f t="shared" si="15"/>
        <v>4.8</v>
      </c>
      <c r="N38" s="78">
        <f t="shared" si="16"/>
        <v>360</v>
      </c>
      <c r="O38" s="78">
        <f t="shared" si="17"/>
        <v>360</v>
      </c>
    </row>
    <row r="39" spans="1:15" x14ac:dyDescent="0.25">
      <c r="A39" s="31">
        <v>5</v>
      </c>
      <c r="B39" s="4" t="s">
        <v>2553</v>
      </c>
      <c r="C39" s="5">
        <v>1</v>
      </c>
      <c r="D39" s="7">
        <v>0</v>
      </c>
      <c r="E39" s="3">
        <f t="shared" si="12"/>
        <v>1</v>
      </c>
      <c r="F39" s="3" t="s">
        <v>867</v>
      </c>
      <c r="G39" s="77"/>
      <c r="H39" s="5" t="s">
        <v>1</v>
      </c>
      <c r="I39" s="78">
        <f t="shared" si="13"/>
        <v>0</v>
      </c>
      <c r="J39" s="110">
        <f t="shared" si="14"/>
        <v>75</v>
      </c>
      <c r="K39" s="4">
        <v>5.5</v>
      </c>
      <c r="L39" s="5" t="s">
        <v>1</v>
      </c>
      <c r="M39" s="80">
        <f t="shared" si="15"/>
        <v>5.5</v>
      </c>
      <c r="N39" s="78">
        <f t="shared" si="16"/>
        <v>412.5</v>
      </c>
      <c r="O39" s="78">
        <f t="shared" si="17"/>
        <v>412.5</v>
      </c>
    </row>
    <row r="40" spans="1:15" x14ac:dyDescent="0.25">
      <c r="A40" s="31">
        <v>6</v>
      </c>
      <c r="B40" s="4" t="s">
        <v>2552</v>
      </c>
      <c r="C40" s="5">
        <v>1</v>
      </c>
      <c r="D40" s="7">
        <v>0</v>
      </c>
      <c r="E40" s="3">
        <f t="shared" si="12"/>
        <v>1</v>
      </c>
      <c r="F40" s="3" t="s">
        <v>867</v>
      </c>
      <c r="G40" s="77"/>
      <c r="H40" s="5" t="s">
        <v>1</v>
      </c>
      <c r="I40" s="78">
        <f t="shared" si="13"/>
        <v>0</v>
      </c>
      <c r="J40" s="110">
        <f t="shared" si="14"/>
        <v>75</v>
      </c>
      <c r="K40" s="4">
        <v>6.2</v>
      </c>
      <c r="L40" s="5" t="s">
        <v>1</v>
      </c>
      <c r="M40" s="80">
        <f t="shared" si="15"/>
        <v>6.2</v>
      </c>
      <c r="N40" s="78">
        <f t="shared" si="16"/>
        <v>465</v>
      </c>
      <c r="O40" s="78">
        <f t="shared" si="17"/>
        <v>465</v>
      </c>
    </row>
    <row r="41" spans="1:15" x14ac:dyDescent="0.25">
      <c r="A41" s="31">
        <v>7</v>
      </c>
      <c r="B41" s="4" t="s">
        <v>2551</v>
      </c>
      <c r="C41" s="5">
        <v>1</v>
      </c>
      <c r="D41" s="7">
        <v>0</v>
      </c>
      <c r="E41" s="3">
        <f t="shared" si="12"/>
        <v>1</v>
      </c>
      <c r="F41" s="3" t="s">
        <v>867</v>
      </c>
      <c r="G41" s="77"/>
      <c r="H41" s="5" t="s">
        <v>1</v>
      </c>
      <c r="I41" s="78">
        <f t="shared" si="13"/>
        <v>0</v>
      </c>
      <c r="J41" s="110">
        <f t="shared" si="14"/>
        <v>75</v>
      </c>
      <c r="K41" s="4">
        <v>7.6</v>
      </c>
      <c r="L41" s="5" t="s">
        <v>1</v>
      </c>
      <c r="M41" s="80">
        <f t="shared" si="15"/>
        <v>7.6</v>
      </c>
      <c r="N41" s="78">
        <f t="shared" si="16"/>
        <v>570</v>
      </c>
      <c r="O41" s="78">
        <f t="shared" si="17"/>
        <v>570</v>
      </c>
    </row>
    <row r="42" spans="1:15" x14ac:dyDescent="0.25">
      <c r="A42" s="31">
        <v>8</v>
      </c>
      <c r="B42" s="4" t="s">
        <v>2550</v>
      </c>
      <c r="C42" s="5">
        <v>1</v>
      </c>
      <c r="D42" s="7">
        <v>0</v>
      </c>
      <c r="E42" s="3">
        <f t="shared" si="12"/>
        <v>1</v>
      </c>
      <c r="F42" s="3" t="s">
        <v>867</v>
      </c>
      <c r="G42" s="77"/>
      <c r="H42" s="5" t="s">
        <v>1</v>
      </c>
      <c r="I42" s="78">
        <f t="shared" si="13"/>
        <v>0</v>
      </c>
      <c r="J42" s="110">
        <f t="shared" si="14"/>
        <v>75</v>
      </c>
      <c r="K42" s="4">
        <v>8</v>
      </c>
      <c r="L42" s="5" t="s">
        <v>1</v>
      </c>
      <c r="M42" s="80">
        <f t="shared" si="15"/>
        <v>8</v>
      </c>
      <c r="N42" s="78">
        <f t="shared" si="16"/>
        <v>600</v>
      </c>
      <c r="O42" s="78">
        <f t="shared" si="17"/>
        <v>600</v>
      </c>
    </row>
    <row r="43" spans="1:15" x14ac:dyDescent="0.25">
      <c r="A43" s="31">
        <v>9</v>
      </c>
      <c r="B43" s="4" t="s">
        <v>2549</v>
      </c>
      <c r="C43" s="5">
        <v>1</v>
      </c>
      <c r="D43" s="7">
        <v>0</v>
      </c>
      <c r="E43" s="3">
        <f t="shared" si="12"/>
        <v>1</v>
      </c>
      <c r="F43" s="3" t="s">
        <v>867</v>
      </c>
      <c r="G43" s="77"/>
      <c r="H43" s="5" t="s">
        <v>1</v>
      </c>
      <c r="I43" s="78">
        <f t="shared" si="13"/>
        <v>0</v>
      </c>
      <c r="J43" s="110">
        <f t="shared" si="14"/>
        <v>75</v>
      </c>
      <c r="K43" s="4">
        <v>9.5</v>
      </c>
      <c r="L43" s="5" t="s">
        <v>1</v>
      </c>
      <c r="M43" s="80">
        <f t="shared" si="15"/>
        <v>9.5</v>
      </c>
      <c r="N43" s="78">
        <f t="shared" si="16"/>
        <v>712.5</v>
      </c>
      <c r="O43" s="78">
        <f t="shared" si="17"/>
        <v>712.5</v>
      </c>
    </row>
    <row r="44" spans="1:15" x14ac:dyDescent="0.25">
      <c r="A44" s="31">
        <v>10</v>
      </c>
      <c r="B44" s="4" t="s">
        <v>2548</v>
      </c>
      <c r="C44" s="5">
        <v>1</v>
      </c>
      <c r="D44" s="7">
        <v>0</v>
      </c>
      <c r="E44" s="3">
        <f t="shared" si="12"/>
        <v>1</v>
      </c>
      <c r="F44" s="3" t="s">
        <v>867</v>
      </c>
      <c r="G44" s="77"/>
      <c r="H44" s="5" t="s">
        <v>1</v>
      </c>
      <c r="I44" s="78">
        <f t="shared" si="13"/>
        <v>0</v>
      </c>
      <c r="J44" s="110">
        <f t="shared" si="14"/>
        <v>75</v>
      </c>
      <c r="K44" s="4">
        <v>11</v>
      </c>
      <c r="L44" s="5" t="s">
        <v>1</v>
      </c>
      <c r="M44" s="80">
        <f t="shared" si="15"/>
        <v>11</v>
      </c>
      <c r="N44" s="78">
        <f t="shared" si="16"/>
        <v>825</v>
      </c>
      <c r="O44" s="78">
        <f t="shared" si="17"/>
        <v>825</v>
      </c>
    </row>
    <row r="45" spans="1:15" x14ac:dyDescent="0.25">
      <c r="A45" s="31">
        <v>11</v>
      </c>
      <c r="B45" s="4" t="s">
        <v>2547</v>
      </c>
      <c r="C45" s="5">
        <v>1</v>
      </c>
      <c r="D45" s="7">
        <v>0</v>
      </c>
      <c r="E45" s="3">
        <f t="shared" si="12"/>
        <v>1</v>
      </c>
      <c r="F45" s="3" t="s">
        <v>867</v>
      </c>
      <c r="G45" s="77"/>
      <c r="H45" s="5" t="s">
        <v>1</v>
      </c>
      <c r="I45" s="78">
        <f t="shared" si="13"/>
        <v>0</v>
      </c>
      <c r="J45" s="110">
        <f t="shared" si="14"/>
        <v>75</v>
      </c>
      <c r="K45" s="4">
        <v>12.8</v>
      </c>
      <c r="L45" s="5" t="s">
        <v>1</v>
      </c>
      <c r="M45" s="80">
        <f t="shared" si="15"/>
        <v>12.8</v>
      </c>
      <c r="N45" s="78">
        <f t="shared" si="16"/>
        <v>960</v>
      </c>
      <c r="O45" s="78">
        <f t="shared" si="17"/>
        <v>960</v>
      </c>
    </row>
    <row r="46" spans="1:15" x14ac:dyDescent="0.25">
      <c r="A46" s="31">
        <v>12</v>
      </c>
      <c r="B46" s="4" t="s">
        <v>2546</v>
      </c>
      <c r="C46" s="5">
        <v>1</v>
      </c>
      <c r="D46" s="7">
        <v>0</v>
      </c>
      <c r="E46" s="3">
        <f t="shared" si="12"/>
        <v>1</v>
      </c>
      <c r="F46" s="3" t="s">
        <v>867</v>
      </c>
      <c r="G46" s="77"/>
      <c r="H46" s="5" t="s">
        <v>1</v>
      </c>
      <c r="I46" s="78">
        <f t="shared" si="13"/>
        <v>0</v>
      </c>
      <c r="J46" s="110">
        <f t="shared" si="14"/>
        <v>75</v>
      </c>
      <c r="K46" s="4">
        <v>13.8</v>
      </c>
      <c r="L46" s="5" t="s">
        <v>1</v>
      </c>
      <c r="M46" s="80">
        <f t="shared" si="15"/>
        <v>13.8</v>
      </c>
      <c r="N46" s="78">
        <f t="shared" si="16"/>
        <v>1035</v>
      </c>
      <c r="O46" s="78">
        <f t="shared" si="17"/>
        <v>1035</v>
      </c>
    </row>
    <row r="47" spans="1:15" x14ac:dyDescent="0.25">
      <c r="A47" s="31">
        <v>13</v>
      </c>
      <c r="B47" s="4" t="s">
        <v>2545</v>
      </c>
      <c r="C47" s="5">
        <v>1</v>
      </c>
      <c r="D47" s="7">
        <v>0</v>
      </c>
      <c r="E47" s="3">
        <f t="shared" si="12"/>
        <v>1</v>
      </c>
      <c r="F47" s="3" t="s">
        <v>867</v>
      </c>
      <c r="G47" s="77"/>
      <c r="H47" s="5" t="s">
        <v>1</v>
      </c>
      <c r="I47" s="78">
        <f t="shared" si="13"/>
        <v>0</v>
      </c>
      <c r="J47" s="110">
        <f t="shared" si="14"/>
        <v>75</v>
      </c>
      <c r="K47" s="4">
        <v>17.2</v>
      </c>
      <c r="L47" s="5" t="s">
        <v>1</v>
      </c>
      <c r="M47" s="80">
        <f t="shared" si="15"/>
        <v>17.2</v>
      </c>
      <c r="N47" s="78">
        <f t="shared" si="16"/>
        <v>1290</v>
      </c>
      <c r="O47" s="78">
        <f t="shared" si="17"/>
        <v>1290</v>
      </c>
    </row>
    <row r="48" spans="1:15" ht="15.75" thickBot="1" x14ac:dyDescent="0.3">
      <c r="A48" s="31"/>
      <c r="B48" s="258"/>
      <c r="C48" s="259">
        <v>1</v>
      </c>
      <c r="D48" s="259">
        <v>0</v>
      </c>
      <c r="E48" s="259">
        <f t="shared" si="12"/>
        <v>1</v>
      </c>
      <c r="F48" s="259" t="s">
        <v>867</v>
      </c>
      <c r="G48" s="259"/>
      <c r="H48" s="259" t="s">
        <v>1</v>
      </c>
      <c r="I48" s="259">
        <f t="shared" si="13"/>
        <v>0</v>
      </c>
      <c r="J48" s="259">
        <f t="shared" si="14"/>
        <v>75</v>
      </c>
      <c r="K48" s="259"/>
      <c r="L48" s="259" t="s">
        <v>1</v>
      </c>
      <c r="M48" s="259">
        <f t="shared" si="15"/>
        <v>0</v>
      </c>
      <c r="N48" s="259">
        <f t="shared" si="16"/>
        <v>0</v>
      </c>
      <c r="O48" s="259">
        <f t="shared" si="17"/>
        <v>0</v>
      </c>
    </row>
    <row r="49" spans="1:15" ht="15.75" thickBot="1" x14ac:dyDescent="0.3">
      <c r="A49" s="60"/>
      <c r="B49" s="145" t="s">
        <v>2544</v>
      </c>
      <c r="C49" s="5"/>
      <c r="D49" s="7"/>
      <c r="E49" s="3"/>
      <c r="F49" s="3"/>
      <c r="G49" s="9"/>
      <c r="H49" s="5"/>
      <c r="I49" s="9"/>
      <c r="J49" s="9"/>
      <c r="K49" s="15"/>
      <c r="L49" s="5"/>
      <c r="M49" s="15"/>
      <c r="N49" s="4"/>
      <c r="O49" s="4"/>
    </row>
    <row r="50" spans="1:15" x14ac:dyDescent="0.25">
      <c r="A50" s="31">
        <v>1</v>
      </c>
      <c r="B50" s="4" t="s">
        <v>2543</v>
      </c>
      <c r="C50" s="5">
        <v>1</v>
      </c>
      <c r="D50" s="7">
        <v>0</v>
      </c>
      <c r="E50" s="3">
        <f t="shared" ref="E50:E64" si="18">C50+(C50*D50)</f>
        <v>1</v>
      </c>
      <c r="F50" s="3" t="s">
        <v>867</v>
      </c>
      <c r="G50" s="77"/>
      <c r="H50" s="5" t="s">
        <v>1</v>
      </c>
      <c r="I50" s="78">
        <f t="shared" ref="I50:I64" si="19">IF(H50="C",(G50/100)*E50,IF(H50="M",(G50/1000)*E50,G50*E50))</f>
        <v>0</v>
      </c>
      <c r="J50" s="110">
        <f t="shared" ref="J50:J64" si="20">$O$4</f>
        <v>75</v>
      </c>
      <c r="K50" s="4">
        <v>2.5</v>
      </c>
      <c r="L50" s="5" t="s">
        <v>1</v>
      </c>
      <c r="M50" s="80">
        <f t="shared" ref="M50:M64" si="21">IF(L50="C",(K50/100)*E50,IF(L50="M",(K50/1000)*E50,K50*E50))</f>
        <v>2.5</v>
      </c>
      <c r="N50" s="78">
        <f t="shared" ref="N50:N64" si="22">M50*J50</f>
        <v>187.5</v>
      </c>
      <c r="O50" s="78">
        <f t="shared" ref="O50:O64" si="23">N50+I50</f>
        <v>187.5</v>
      </c>
    </row>
    <row r="51" spans="1:15" x14ac:dyDescent="0.25">
      <c r="A51" s="31">
        <v>2</v>
      </c>
      <c r="B51" s="4" t="s">
        <v>2542</v>
      </c>
      <c r="C51" s="5">
        <v>1</v>
      </c>
      <c r="D51" s="7">
        <v>0</v>
      </c>
      <c r="E51" s="3">
        <f t="shared" si="18"/>
        <v>1</v>
      </c>
      <c r="F51" s="3" t="s">
        <v>867</v>
      </c>
      <c r="G51" s="77"/>
      <c r="H51" s="5" t="s">
        <v>1</v>
      </c>
      <c r="I51" s="78">
        <f t="shared" si="19"/>
        <v>0</v>
      </c>
      <c r="J51" s="110">
        <f t="shared" si="20"/>
        <v>75</v>
      </c>
      <c r="K51" s="4">
        <v>3.6</v>
      </c>
      <c r="L51" s="5" t="s">
        <v>1</v>
      </c>
      <c r="M51" s="80">
        <f t="shared" si="21"/>
        <v>3.6</v>
      </c>
      <c r="N51" s="78">
        <f t="shared" si="22"/>
        <v>270</v>
      </c>
      <c r="O51" s="78">
        <f t="shared" si="23"/>
        <v>270</v>
      </c>
    </row>
    <row r="52" spans="1:15" x14ac:dyDescent="0.25">
      <c r="A52" s="31">
        <v>3</v>
      </c>
      <c r="B52" s="4" t="s">
        <v>2541</v>
      </c>
      <c r="C52" s="5">
        <v>1</v>
      </c>
      <c r="D52" s="7">
        <v>0</v>
      </c>
      <c r="E52" s="3">
        <f t="shared" si="18"/>
        <v>1</v>
      </c>
      <c r="F52" s="3" t="s">
        <v>867</v>
      </c>
      <c r="G52" s="77"/>
      <c r="H52" s="5" t="s">
        <v>1</v>
      </c>
      <c r="I52" s="78">
        <f t="shared" si="19"/>
        <v>0</v>
      </c>
      <c r="J52" s="110">
        <f t="shared" si="20"/>
        <v>75</v>
      </c>
      <c r="K52" s="4">
        <v>4</v>
      </c>
      <c r="L52" s="5" t="s">
        <v>1</v>
      </c>
      <c r="M52" s="80">
        <f t="shared" si="21"/>
        <v>4</v>
      </c>
      <c r="N52" s="78">
        <f t="shared" si="22"/>
        <v>300</v>
      </c>
      <c r="O52" s="78">
        <f t="shared" si="23"/>
        <v>300</v>
      </c>
    </row>
    <row r="53" spans="1:15" x14ac:dyDescent="0.25">
      <c r="A53" s="31">
        <v>4</v>
      </c>
      <c r="B53" s="4" t="s">
        <v>2540</v>
      </c>
      <c r="C53" s="5">
        <v>1</v>
      </c>
      <c r="D53" s="7">
        <v>0</v>
      </c>
      <c r="E53" s="3">
        <f t="shared" si="18"/>
        <v>1</v>
      </c>
      <c r="F53" s="3" t="s">
        <v>867</v>
      </c>
      <c r="G53" s="77"/>
      <c r="H53" s="5" t="s">
        <v>1</v>
      </c>
      <c r="I53" s="78">
        <f t="shared" si="19"/>
        <v>0</v>
      </c>
      <c r="J53" s="110">
        <f t="shared" si="20"/>
        <v>75</v>
      </c>
      <c r="K53" s="4">
        <v>4.2</v>
      </c>
      <c r="L53" s="5" t="s">
        <v>1</v>
      </c>
      <c r="M53" s="80">
        <f t="shared" si="21"/>
        <v>4.2</v>
      </c>
      <c r="N53" s="78">
        <f t="shared" si="22"/>
        <v>315</v>
      </c>
      <c r="O53" s="78">
        <f t="shared" si="23"/>
        <v>315</v>
      </c>
    </row>
    <row r="54" spans="1:15" x14ac:dyDescent="0.25">
      <c r="A54" s="31">
        <v>5</v>
      </c>
      <c r="B54" s="4" t="s">
        <v>2539</v>
      </c>
      <c r="C54" s="5">
        <v>1</v>
      </c>
      <c r="D54" s="7">
        <v>0</v>
      </c>
      <c r="E54" s="3">
        <f t="shared" si="18"/>
        <v>1</v>
      </c>
      <c r="F54" s="3" t="s">
        <v>867</v>
      </c>
      <c r="G54" s="77"/>
      <c r="H54" s="5" t="s">
        <v>1</v>
      </c>
      <c r="I54" s="78">
        <f t="shared" si="19"/>
        <v>0</v>
      </c>
      <c r="J54" s="110">
        <f t="shared" si="20"/>
        <v>75</v>
      </c>
      <c r="K54" s="4">
        <v>5.3</v>
      </c>
      <c r="L54" s="5" t="s">
        <v>1</v>
      </c>
      <c r="M54" s="80">
        <f t="shared" si="21"/>
        <v>5.3</v>
      </c>
      <c r="N54" s="78">
        <f t="shared" si="22"/>
        <v>397.5</v>
      </c>
      <c r="O54" s="78">
        <f t="shared" si="23"/>
        <v>397.5</v>
      </c>
    </row>
    <row r="55" spans="1:15" x14ac:dyDescent="0.25">
      <c r="A55" s="31">
        <v>6</v>
      </c>
      <c r="B55" s="4" t="s">
        <v>2538</v>
      </c>
      <c r="C55" s="5">
        <v>1</v>
      </c>
      <c r="D55" s="7">
        <v>0</v>
      </c>
      <c r="E55" s="3">
        <f t="shared" si="18"/>
        <v>1</v>
      </c>
      <c r="F55" s="3" t="s">
        <v>867</v>
      </c>
      <c r="G55" s="77"/>
      <c r="H55" s="5" t="s">
        <v>1</v>
      </c>
      <c r="I55" s="78">
        <f t="shared" si="19"/>
        <v>0</v>
      </c>
      <c r="J55" s="110">
        <f t="shared" si="20"/>
        <v>75</v>
      </c>
      <c r="K55" s="4">
        <v>6.1</v>
      </c>
      <c r="L55" s="5" t="s">
        <v>1</v>
      </c>
      <c r="M55" s="80">
        <f t="shared" si="21"/>
        <v>6.1</v>
      </c>
      <c r="N55" s="78">
        <f t="shared" si="22"/>
        <v>457.5</v>
      </c>
      <c r="O55" s="78">
        <f t="shared" si="23"/>
        <v>457.5</v>
      </c>
    </row>
    <row r="56" spans="1:15" x14ac:dyDescent="0.25">
      <c r="A56" s="31">
        <v>7</v>
      </c>
      <c r="B56" s="4" t="s">
        <v>2537</v>
      </c>
      <c r="C56" s="5">
        <v>1</v>
      </c>
      <c r="D56" s="7">
        <v>0</v>
      </c>
      <c r="E56" s="3">
        <f t="shared" si="18"/>
        <v>1</v>
      </c>
      <c r="F56" s="3" t="s">
        <v>867</v>
      </c>
      <c r="G56" s="77"/>
      <c r="H56" s="5" t="s">
        <v>1</v>
      </c>
      <c r="I56" s="78">
        <f t="shared" si="19"/>
        <v>0</v>
      </c>
      <c r="J56" s="110">
        <f t="shared" si="20"/>
        <v>75</v>
      </c>
      <c r="K56" s="4">
        <v>6.9</v>
      </c>
      <c r="L56" s="5" t="s">
        <v>1</v>
      </c>
      <c r="M56" s="80">
        <f t="shared" si="21"/>
        <v>6.9</v>
      </c>
      <c r="N56" s="78">
        <f t="shared" si="22"/>
        <v>517.5</v>
      </c>
      <c r="O56" s="78">
        <f t="shared" si="23"/>
        <v>517.5</v>
      </c>
    </row>
    <row r="57" spans="1:15" x14ac:dyDescent="0.25">
      <c r="A57" s="31">
        <v>8</v>
      </c>
      <c r="B57" s="4" t="s">
        <v>2536</v>
      </c>
      <c r="C57" s="5">
        <v>1</v>
      </c>
      <c r="D57" s="7">
        <v>0</v>
      </c>
      <c r="E57" s="3">
        <f t="shared" si="18"/>
        <v>1</v>
      </c>
      <c r="F57" s="3" t="s">
        <v>867</v>
      </c>
      <c r="G57" s="77"/>
      <c r="H57" s="5" t="s">
        <v>1</v>
      </c>
      <c r="I57" s="78">
        <f t="shared" si="19"/>
        <v>0</v>
      </c>
      <c r="J57" s="110">
        <f t="shared" si="20"/>
        <v>75</v>
      </c>
      <c r="K57" s="4">
        <v>8.4</v>
      </c>
      <c r="L57" s="5" t="s">
        <v>1</v>
      </c>
      <c r="M57" s="80">
        <f t="shared" si="21"/>
        <v>8.4</v>
      </c>
      <c r="N57" s="78">
        <f t="shared" si="22"/>
        <v>630</v>
      </c>
      <c r="O57" s="78">
        <f t="shared" si="23"/>
        <v>630</v>
      </c>
    </row>
    <row r="58" spans="1:15" x14ac:dyDescent="0.25">
      <c r="A58" s="31">
        <v>9</v>
      </c>
      <c r="B58" s="4" t="s">
        <v>2535</v>
      </c>
      <c r="C58" s="5">
        <v>1</v>
      </c>
      <c r="D58" s="7">
        <v>0</v>
      </c>
      <c r="E58" s="3">
        <f t="shared" si="18"/>
        <v>1</v>
      </c>
      <c r="F58" s="3" t="s">
        <v>867</v>
      </c>
      <c r="G58" s="77"/>
      <c r="H58" s="5" t="s">
        <v>1</v>
      </c>
      <c r="I58" s="78">
        <f t="shared" si="19"/>
        <v>0</v>
      </c>
      <c r="J58" s="110">
        <f t="shared" si="20"/>
        <v>75</v>
      </c>
      <c r="K58" s="4">
        <v>9</v>
      </c>
      <c r="L58" s="5" t="s">
        <v>1</v>
      </c>
      <c r="M58" s="80">
        <f t="shared" si="21"/>
        <v>9</v>
      </c>
      <c r="N58" s="78">
        <f t="shared" si="22"/>
        <v>675</v>
      </c>
      <c r="O58" s="78">
        <f t="shared" si="23"/>
        <v>675</v>
      </c>
    </row>
    <row r="59" spans="1:15" x14ac:dyDescent="0.25">
      <c r="A59" s="31">
        <v>10</v>
      </c>
      <c r="B59" s="4" t="s">
        <v>2534</v>
      </c>
      <c r="C59" s="5">
        <v>1</v>
      </c>
      <c r="D59" s="7">
        <v>0</v>
      </c>
      <c r="E59" s="3">
        <f t="shared" si="18"/>
        <v>1</v>
      </c>
      <c r="F59" s="3" t="s">
        <v>867</v>
      </c>
      <c r="G59" s="77"/>
      <c r="H59" s="5" t="s">
        <v>1</v>
      </c>
      <c r="I59" s="78">
        <f t="shared" si="19"/>
        <v>0</v>
      </c>
      <c r="J59" s="110">
        <f t="shared" si="20"/>
        <v>75</v>
      </c>
      <c r="K59" s="4">
        <v>12.2</v>
      </c>
      <c r="L59" s="5" t="s">
        <v>1</v>
      </c>
      <c r="M59" s="80">
        <f t="shared" si="21"/>
        <v>12.2</v>
      </c>
      <c r="N59" s="78">
        <f t="shared" si="22"/>
        <v>915</v>
      </c>
      <c r="O59" s="78">
        <f t="shared" si="23"/>
        <v>915</v>
      </c>
    </row>
    <row r="60" spans="1:15" x14ac:dyDescent="0.25">
      <c r="A60" s="31">
        <v>11</v>
      </c>
      <c r="B60" s="4" t="s">
        <v>2533</v>
      </c>
      <c r="C60" s="5">
        <v>1</v>
      </c>
      <c r="D60" s="7">
        <v>0</v>
      </c>
      <c r="E60" s="3">
        <f t="shared" si="18"/>
        <v>1</v>
      </c>
      <c r="F60" s="3" t="s">
        <v>867</v>
      </c>
      <c r="G60" s="77"/>
      <c r="H60" s="5" t="s">
        <v>1</v>
      </c>
      <c r="I60" s="78">
        <f t="shared" si="19"/>
        <v>0</v>
      </c>
      <c r="J60" s="110">
        <f t="shared" si="20"/>
        <v>75</v>
      </c>
      <c r="K60" s="4">
        <v>14.2</v>
      </c>
      <c r="L60" s="5" t="s">
        <v>1</v>
      </c>
      <c r="M60" s="80">
        <f t="shared" si="21"/>
        <v>14.2</v>
      </c>
      <c r="N60" s="78">
        <f t="shared" si="22"/>
        <v>1065</v>
      </c>
      <c r="O60" s="78">
        <f t="shared" si="23"/>
        <v>1065</v>
      </c>
    </row>
    <row r="61" spans="1:15" x14ac:dyDescent="0.25">
      <c r="A61" s="31">
        <v>12</v>
      </c>
      <c r="B61" s="4" t="s">
        <v>2532</v>
      </c>
      <c r="C61" s="5">
        <v>1</v>
      </c>
      <c r="D61" s="7">
        <v>0</v>
      </c>
      <c r="E61" s="3">
        <f t="shared" si="18"/>
        <v>1</v>
      </c>
      <c r="F61" s="3" t="s">
        <v>867</v>
      </c>
      <c r="G61" s="77"/>
      <c r="H61" s="5" t="s">
        <v>1</v>
      </c>
      <c r="I61" s="78">
        <f t="shared" si="19"/>
        <v>0</v>
      </c>
      <c r="J61" s="110">
        <f t="shared" si="20"/>
        <v>75</v>
      </c>
      <c r="K61" s="4">
        <v>15.2</v>
      </c>
      <c r="L61" s="5" t="s">
        <v>1</v>
      </c>
      <c r="M61" s="80">
        <f t="shared" si="21"/>
        <v>15.2</v>
      </c>
      <c r="N61" s="78">
        <f t="shared" si="22"/>
        <v>1140</v>
      </c>
      <c r="O61" s="78">
        <f t="shared" si="23"/>
        <v>1140</v>
      </c>
    </row>
    <row r="62" spans="1:15" x14ac:dyDescent="0.25">
      <c r="A62" s="31">
        <v>13</v>
      </c>
      <c r="B62" s="4" t="s">
        <v>2531</v>
      </c>
      <c r="C62" s="5">
        <v>1</v>
      </c>
      <c r="D62" s="7">
        <v>0</v>
      </c>
      <c r="E62" s="3">
        <f t="shared" si="18"/>
        <v>1</v>
      </c>
      <c r="F62" s="3" t="s">
        <v>867</v>
      </c>
      <c r="G62" s="77"/>
      <c r="H62" s="5" t="s">
        <v>1</v>
      </c>
      <c r="I62" s="78">
        <f t="shared" si="19"/>
        <v>0</v>
      </c>
      <c r="J62" s="110">
        <f t="shared" si="20"/>
        <v>75</v>
      </c>
      <c r="K62" s="4">
        <v>19</v>
      </c>
      <c r="L62" s="5" t="s">
        <v>1</v>
      </c>
      <c r="M62" s="80">
        <f t="shared" si="21"/>
        <v>19</v>
      </c>
      <c r="N62" s="78">
        <f t="shared" si="22"/>
        <v>1425</v>
      </c>
      <c r="O62" s="78">
        <f t="shared" si="23"/>
        <v>1425</v>
      </c>
    </row>
    <row r="63" spans="1:15" x14ac:dyDescent="0.25">
      <c r="A63" s="31">
        <v>14</v>
      </c>
      <c r="B63" s="4" t="s">
        <v>2530</v>
      </c>
      <c r="C63" s="5">
        <v>1</v>
      </c>
      <c r="D63" s="7">
        <v>0</v>
      </c>
      <c r="E63" s="3">
        <f t="shared" si="18"/>
        <v>1</v>
      </c>
      <c r="F63" s="3" t="s">
        <v>867</v>
      </c>
      <c r="G63" s="77"/>
      <c r="H63" s="5" t="s">
        <v>1</v>
      </c>
      <c r="I63" s="78">
        <f t="shared" si="19"/>
        <v>0</v>
      </c>
      <c r="J63" s="110">
        <f t="shared" si="20"/>
        <v>75</v>
      </c>
      <c r="K63" s="4">
        <v>24</v>
      </c>
      <c r="L63" s="5" t="s">
        <v>1</v>
      </c>
      <c r="M63" s="80">
        <f t="shared" si="21"/>
        <v>24</v>
      </c>
      <c r="N63" s="78">
        <f t="shared" si="22"/>
        <v>1800</v>
      </c>
      <c r="O63" s="78">
        <f t="shared" si="23"/>
        <v>1800</v>
      </c>
    </row>
    <row r="64" spans="1:15" ht="15.75" thickBot="1" x14ac:dyDescent="0.3">
      <c r="A64" s="31"/>
      <c r="B64" s="258"/>
      <c r="C64" s="259">
        <v>1</v>
      </c>
      <c r="D64" s="259">
        <v>0</v>
      </c>
      <c r="E64" s="259">
        <f t="shared" si="18"/>
        <v>1</v>
      </c>
      <c r="F64" s="259" t="s">
        <v>867</v>
      </c>
      <c r="G64" s="259"/>
      <c r="H64" s="259" t="s">
        <v>1</v>
      </c>
      <c r="I64" s="259">
        <f t="shared" si="19"/>
        <v>0</v>
      </c>
      <c r="J64" s="259">
        <f t="shared" si="20"/>
        <v>75</v>
      </c>
      <c r="K64" s="259"/>
      <c r="L64" s="259" t="s">
        <v>1</v>
      </c>
      <c r="M64" s="259">
        <f t="shared" si="21"/>
        <v>0</v>
      </c>
      <c r="N64" s="259">
        <f t="shared" si="22"/>
        <v>0</v>
      </c>
      <c r="O64" s="259">
        <f t="shared" si="23"/>
        <v>0</v>
      </c>
    </row>
    <row r="65" spans="1:15" ht="15.75" thickBot="1" x14ac:dyDescent="0.3">
      <c r="A65" s="60"/>
      <c r="B65" s="145" t="s">
        <v>2529</v>
      </c>
      <c r="C65" s="5"/>
      <c r="D65" s="7"/>
      <c r="E65" s="3"/>
      <c r="F65" s="3"/>
      <c r="G65" s="9"/>
      <c r="H65" s="5"/>
      <c r="I65" s="9"/>
      <c r="J65" s="9"/>
      <c r="K65" s="15"/>
      <c r="L65" s="5"/>
      <c r="M65" s="15"/>
      <c r="N65" s="4"/>
      <c r="O65" s="4"/>
    </row>
    <row r="66" spans="1:15" x14ac:dyDescent="0.25">
      <c r="A66" s="31">
        <v>1</v>
      </c>
      <c r="B66" s="4" t="s">
        <v>2528</v>
      </c>
      <c r="C66" s="5">
        <v>1</v>
      </c>
      <c r="D66" s="7">
        <v>0</v>
      </c>
      <c r="E66" s="3"/>
      <c r="F66" s="3" t="s">
        <v>867</v>
      </c>
      <c r="G66" s="77"/>
      <c r="H66" s="5" t="s">
        <v>1</v>
      </c>
      <c r="I66" s="78">
        <f>IF(H66="C",(G66/100)*E66,IF(H66="M",(G66/1000)*E66,G66*E66))</f>
        <v>0</v>
      </c>
      <c r="J66" s="110">
        <f>$O$4</f>
        <v>75</v>
      </c>
      <c r="K66" s="4">
        <v>1</v>
      </c>
      <c r="L66" s="5" t="s">
        <v>1</v>
      </c>
      <c r="M66" s="80">
        <f>IF(L66="C",(K66/100)*E66,IF(L66="M",(K66/1000)*E66,K66*E66))</f>
        <v>0</v>
      </c>
      <c r="N66" s="78">
        <f>M66*J66</f>
        <v>0</v>
      </c>
      <c r="O66" s="78">
        <f>N66+I66</f>
        <v>0</v>
      </c>
    </row>
    <row r="67" spans="1:15" x14ac:dyDescent="0.25">
      <c r="A67" s="60">
        <v>2</v>
      </c>
      <c r="B67" s="8" t="s">
        <v>2527</v>
      </c>
      <c r="C67" s="5">
        <v>1</v>
      </c>
      <c r="D67" s="7">
        <v>0</v>
      </c>
      <c r="E67" s="3">
        <f>C67+(C67*D67)</f>
        <v>1</v>
      </c>
      <c r="F67" s="3" t="s">
        <v>867</v>
      </c>
      <c r="G67" s="77"/>
      <c r="H67" s="5" t="s">
        <v>1</v>
      </c>
      <c r="I67" s="78">
        <f>IF(H67="C",(G67/100)*E67,IF(H67="M",(G67/1000)*E67,G67*E67))</f>
        <v>0</v>
      </c>
      <c r="J67" s="110">
        <f>$O$4</f>
        <v>75</v>
      </c>
      <c r="K67" s="4">
        <v>1.5</v>
      </c>
      <c r="L67" s="5" t="s">
        <v>1</v>
      </c>
      <c r="M67" s="80">
        <f>IF(L67="C",(K67/100)*E67,IF(L67="M",(K67/1000)*E67,K67*E67))</f>
        <v>1.5</v>
      </c>
      <c r="N67" s="78">
        <f>M67*J67</f>
        <v>112.5</v>
      </c>
      <c r="O67" s="78">
        <f>N67+I67</f>
        <v>112.5</v>
      </c>
    </row>
    <row r="68" spans="1:15" x14ac:dyDescent="0.25">
      <c r="A68" s="31">
        <v>3</v>
      </c>
      <c r="B68" s="4" t="s">
        <v>2526</v>
      </c>
      <c r="C68" s="5">
        <v>1</v>
      </c>
      <c r="D68" s="7">
        <v>0</v>
      </c>
      <c r="E68" s="3">
        <f>C68+(C68*D68)</f>
        <v>1</v>
      </c>
      <c r="F68" s="3" t="s">
        <v>867</v>
      </c>
      <c r="G68" s="77"/>
      <c r="H68" s="5" t="s">
        <v>1</v>
      </c>
      <c r="I68" s="78">
        <f>IF(H68="C",(G68/100)*E68,IF(H68="M",(G68/1000)*E68,G68*E68))</f>
        <v>0</v>
      </c>
      <c r="J68" s="110">
        <f>$O$4</f>
        <v>75</v>
      </c>
      <c r="K68" s="4">
        <v>2</v>
      </c>
      <c r="L68" s="5" t="s">
        <v>1</v>
      </c>
      <c r="M68" s="80">
        <f>IF(L68="C",(K68/100)*E68,IF(L68="M",(K68/1000)*E68,K68*E68))</f>
        <v>2</v>
      </c>
      <c r="N68" s="78">
        <f>M68*J68</f>
        <v>150</v>
      </c>
      <c r="O68" s="78">
        <f>N68+I68</f>
        <v>150</v>
      </c>
    </row>
    <row r="69" spans="1:15" ht="15.75" thickBot="1" x14ac:dyDescent="0.3">
      <c r="A69" s="31"/>
      <c r="B69" s="258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</row>
    <row r="70" spans="1:15" ht="15.75" thickBot="1" x14ac:dyDescent="0.3">
      <c r="A70" s="60"/>
      <c r="B70" s="145" t="s">
        <v>2525</v>
      </c>
      <c r="C70" s="5"/>
      <c r="D70" s="7"/>
      <c r="E70" s="3"/>
      <c r="F70" s="3"/>
      <c r="G70" s="9"/>
      <c r="H70" s="5"/>
      <c r="I70" s="9"/>
      <c r="J70" s="9"/>
      <c r="K70" s="15"/>
      <c r="L70" s="5"/>
      <c r="M70" s="15"/>
      <c r="N70" s="4"/>
      <c r="O70" s="4"/>
    </row>
    <row r="71" spans="1:15" x14ac:dyDescent="0.25">
      <c r="A71" s="31">
        <v>1</v>
      </c>
      <c r="B71" s="4" t="s">
        <v>2524</v>
      </c>
      <c r="C71" s="5">
        <v>1</v>
      </c>
      <c r="D71" s="7">
        <v>0</v>
      </c>
      <c r="E71" s="3">
        <f t="shared" ref="E71:E87" si="24">C71+(C71*D71)</f>
        <v>1</v>
      </c>
      <c r="F71" s="3" t="s">
        <v>867</v>
      </c>
      <c r="G71" s="77"/>
      <c r="H71" s="5" t="s">
        <v>1</v>
      </c>
      <c r="I71" s="78">
        <f t="shared" ref="I71:I87" si="25">IF(H71="C",(G71/100)*E71,IF(H71="M",(G71/1000)*E71,G71*E71))</f>
        <v>0</v>
      </c>
      <c r="J71" s="110">
        <f t="shared" ref="J71:J87" si="26">$O$4</f>
        <v>75</v>
      </c>
      <c r="K71" s="4">
        <v>3</v>
      </c>
      <c r="L71" s="5" t="s">
        <v>1</v>
      </c>
      <c r="M71" s="80">
        <f t="shared" ref="M71:M87" si="27">IF(L71="C",(K71/100)*E71,IF(L71="M",(K71/1000)*E71,K71*E71))</f>
        <v>3</v>
      </c>
      <c r="N71" s="78">
        <f t="shared" ref="N71:N87" si="28">M71*J71</f>
        <v>225</v>
      </c>
      <c r="O71" s="78">
        <f t="shared" ref="O71:O87" si="29">N71+I71</f>
        <v>225</v>
      </c>
    </row>
    <row r="72" spans="1:15" x14ac:dyDescent="0.25">
      <c r="A72" s="31">
        <v>2</v>
      </c>
      <c r="B72" s="4" t="s">
        <v>2523</v>
      </c>
      <c r="C72" s="5">
        <v>1</v>
      </c>
      <c r="D72" s="7">
        <v>0</v>
      </c>
      <c r="E72" s="3">
        <f t="shared" si="24"/>
        <v>1</v>
      </c>
      <c r="F72" s="3" t="s">
        <v>867</v>
      </c>
      <c r="G72" s="77"/>
      <c r="H72" s="5" t="s">
        <v>1</v>
      </c>
      <c r="I72" s="78">
        <f t="shared" si="25"/>
        <v>0</v>
      </c>
      <c r="J72" s="110">
        <f t="shared" si="26"/>
        <v>75</v>
      </c>
      <c r="K72" s="4">
        <v>5</v>
      </c>
      <c r="L72" s="5" t="s">
        <v>1</v>
      </c>
      <c r="M72" s="80">
        <f t="shared" si="27"/>
        <v>5</v>
      </c>
      <c r="N72" s="78">
        <f t="shared" si="28"/>
        <v>375</v>
      </c>
      <c r="O72" s="78">
        <f t="shared" si="29"/>
        <v>375</v>
      </c>
    </row>
    <row r="73" spans="1:15" x14ac:dyDescent="0.25">
      <c r="A73" s="31">
        <v>3</v>
      </c>
      <c r="B73" s="4" t="s">
        <v>2522</v>
      </c>
      <c r="C73" s="5">
        <v>1</v>
      </c>
      <c r="D73" s="7">
        <v>0</v>
      </c>
      <c r="E73" s="3">
        <f t="shared" si="24"/>
        <v>1</v>
      </c>
      <c r="F73" s="3" t="s">
        <v>867</v>
      </c>
      <c r="G73" s="77"/>
      <c r="H73" s="5" t="s">
        <v>1</v>
      </c>
      <c r="I73" s="78">
        <f t="shared" si="25"/>
        <v>0</v>
      </c>
      <c r="J73" s="110">
        <f t="shared" si="26"/>
        <v>75</v>
      </c>
      <c r="K73" s="4">
        <v>8</v>
      </c>
      <c r="L73" s="5" t="s">
        <v>1</v>
      </c>
      <c r="M73" s="80">
        <f t="shared" si="27"/>
        <v>8</v>
      </c>
      <c r="N73" s="78">
        <f t="shared" si="28"/>
        <v>600</v>
      </c>
      <c r="O73" s="78">
        <f t="shared" si="29"/>
        <v>600</v>
      </c>
    </row>
    <row r="74" spans="1:15" x14ac:dyDescent="0.25">
      <c r="A74" s="31">
        <v>4</v>
      </c>
      <c r="B74" s="4" t="s">
        <v>2521</v>
      </c>
      <c r="C74" s="5">
        <v>1</v>
      </c>
      <c r="D74" s="7">
        <v>0</v>
      </c>
      <c r="E74" s="3">
        <f t="shared" si="24"/>
        <v>1</v>
      </c>
      <c r="F74" s="3" t="s">
        <v>867</v>
      </c>
      <c r="G74" s="77"/>
      <c r="H74" s="5" t="s">
        <v>1</v>
      </c>
      <c r="I74" s="78">
        <f t="shared" si="25"/>
        <v>0</v>
      </c>
      <c r="J74" s="110">
        <f t="shared" si="26"/>
        <v>75</v>
      </c>
      <c r="K74" s="4">
        <v>10</v>
      </c>
      <c r="L74" s="5" t="s">
        <v>1</v>
      </c>
      <c r="M74" s="80">
        <f t="shared" si="27"/>
        <v>10</v>
      </c>
      <c r="N74" s="78">
        <f t="shared" si="28"/>
        <v>750</v>
      </c>
      <c r="O74" s="78">
        <f t="shared" si="29"/>
        <v>750</v>
      </c>
    </row>
    <row r="75" spans="1:15" x14ac:dyDescent="0.25">
      <c r="A75" s="31">
        <v>5</v>
      </c>
      <c r="B75" s="4" t="s">
        <v>2520</v>
      </c>
      <c r="C75" s="5">
        <v>1</v>
      </c>
      <c r="D75" s="7">
        <v>0</v>
      </c>
      <c r="E75" s="3">
        <f t="shared" si="24"/>
        <v>1</v>
      </c>
      <c r="F75" s="3" t="s">
        <v>867</v>
      </c>
      <c r="G75" s="77"/>
      <c r="H75" s="5" t="s">
        <v>1</v>
      </c>
      <c r="I75" s="78">
        <f t="shared" si="25"/>
        <v>0</v>
      </c>
      <c r="J75" s="110">
        <f t="shared" si="26"/>
        <v>75</v>
      </c>
      <c r="K75" s="4">
        <v>12</v>
      </c>
      <c r="L75" s="5" t="s">
        <v>1</v>
      </c>
      <c r="M75" s="80">
        <f t="shared" si="27"/>
        <v>12</v>
      </c>
      <c r="N75" s="78">
        <f t="shared" si="28"/>
        <v>900</v>
      </c>
      <c r="O75" s="78">
        <f t="shared" si="29"/>
        <v>900</v>
      </c>
    </row>
    <row r="76" spans="1:15" x14ac:dyDescent="0.25">
      <c r="A76" s="31">
        <v>6</v>
      </c>
      <c r="B76" s="4" t="s">
        <v>2519</v>
      </c>
      <c r="C76" s="5">
        <v>1</v>
      </c>
      <c r="D76" s="7">
        <v>0</v>
      </c>
      <c r="E76" s="3">
        <f t="shared" si="24"/>
        <v>1</v>
      </c>
      <c r="F76" s="3" t="s">
        <v>867</v>
      </c>
      <c r="G76" s="77"/>
      <c r="H76" s="5" t="s">
        <v>1</v>
      </c>
      <c r="I76" s="78">
        <f t="shared" si="25"/>
        <v>0</v>
      </c>
      <c r="J76" s="110">
        <f t="shared" si="26"/>
        <v>75</v>
      </c>
      <c r="K76" s="4">
        <v>16</v>
      </c>
      <c r="L76" s="5" t="s">
        <v>1</v>
      </c>
      <c r="M76" s="80">
        <f t="shared" si="27"/>
        <v>16</v>
      </c>
      <c r="N76" s="78">
        <f t="shared" si="28"/>
        <v>1200</v>
      </c>
      <c r="O76" s="78">
        <f t="shared" si="29"/>
        <v>1200</v>
      </c>
    </row>
    <row r="77" spans="1:15" x14ac:dyDescent="0.25">
      <c r="A77" s="31">
        <v>7</v>
      </c>
      <c r="B77" s="4" t="s">
        <v>2518</v>
      </c>
      <c r="C77" s="5">
        <v>1</v>
      </c>
      <c r="D77" s="7">
        <v>0</v>
      </c>
      <c r="E77" s="3">
        <f t="shared" si="24"/>
        <v>1</v>
      </c>
      <c r="F77" s="3" t="s">
        <v>867</v>
      </c>
      <c r="G77" s="77"/>
      <c r="H77" s="5" t="s">
        <v>1</v>
      </c>
      <c r="I77" s="78">
        <f t="shared" si="25"/>
        <v>0</v>
      </c>
      <c r="J77" s="110">
        <f t="shared" si="26"/>
        <v>75</v>
      </c>
      <c r="K77" s="4">
        <v>20</v>
      </c>
      <c r="L77" s="5" t="s">
        <v>1</v>
      </c>
      <c r="M77" s="80">
        <f t="shared" si="27"/>
        <v>20</v>
      </c>
      <c r="N77" s="78">
        <f t="shared" si="28"/>
        <v>1500</v>
      </c>
      <c r="O77" s="78">
        <f t="shared" si="29"/>
        <v>1500</v>
      </c>
    </row>
    <row r="78" spans="1:15" x14ac:dyDescent="0.25">
      <c r="A78" s="31">
        <v>8</v>
      </c>
      <c r="B78" s="4" t="s">
        <v>2517</v>
      </c>
      <c r="C78" s="5">
        <v>1</v>
      </c>
      <c r="D78" s="7">
        <v>0</v>
      </c>
      <c r="E78" s="3">
        <f t="shared" si="24"/>
        <v>1</v>
      </c>
      <c r="F78" s="3" t="s">
        <v>867</v>
      </c>
      <c r="G78" s="77"/>
      <c r="H78" s="5" t="s">
        <v>1</v>
      </c>
      <c r="I78" s="78">
        <f t="shared" si="25"/>
        <v>0</v>
      </c>
      <c r="J78" s="110">
        <f t="shared" si="26"/>
        <v>75</v>
      </c>
      <c r="K78" s="4">
        <v>30</v>
      </c>
      <c r="L78" s="5" t="s">
        <v>1</v>
      </c>
      <c r="M78" s="80">
        <f t="shared" si="27"/>
        <v>30</v>
      </c>
      <c r="N78" s="78">
        <f t="shared" si="28"/>
        <v>2250</v>
      </c>
      <c r="O78" s="78">
        <f t="shared" si="29"/>
        <v>2250</v>
      </c>
    </row>
    <row r="79" spans="1:15" x14ac:dyDescent="0.25">
      <c r="A79" s="31">
        <v>9</v>
      </c>
      <c r="B79" s="4" t="s">
        <v>2516</v>
      </c>
      <c r="C79" s="5">
        <v>1</v>
      </c>
      <c r="D79" s="7">
        <v>0</v>
      </c>
      <c r="E79" s="3">
        <f t="shared" si="24"/>
        <v>1</v>
      </c>
      <c r="F79" s="3" t="s">
        <v>867</v>
      </c>
      <c r="G79" s="77"/>
      <c r="H79" s="5" t="s">
        <v>1</v>
      </c>
      <c r="I79" s="78">
        <f t="shared" si="25"/>
        <v>0</v>
      </c>
      <c r="J79" s="110">
        <f t="shared" si="26"/>
        <v>75</v>
      </c>
      <c r="K79" s="4">
        <v>42</v>
      </c>
      <c r="L79" s="5" t="s">
        <v>1</v>
      </c>
      <c r="M79" s="80">
        <f t="shared" si="27"/>
        <v>42</v>
      </c>
      <c r="N79" s="78">
        <f t="shared" si="28"/>
        <v>3150</v>
      </c>
      <c r="O79" s="78">
        <f t="shared" si="29"/>
        <v>3150</v>
      </c>
    </row>
    <row r="80" spans="1:15" x14ac:dyDescent="0.25">
      <c r="A80" s="31">
        <v>10</v>
      </c>
      <c r="B80" s="4" t="s">
        <v>2515</v>
      </c>
      <c r="C80" s="5">
        <v>1</v>
      </c>
      <c r="D80" s="7">
        <v>0</v>
      </c>
      <c r="E80" s="3">
        <f t="shared" si="24"/>
        <v>1</v>
      </c>
      <c r="F80" s="3" t="s">
        <v>867</v>
      </c>
      <c r="G80" s="77"/>
      <c r="H80" s="5" t="s">
        <v>1</v>
      </c>
      <c r="I80" s="78">
        <f t="shared" si="25"/>
        <v>0</v>
      </c>
      <c r="J80" s="110">
        <f t="shared" si="26"/>
        <v>75</v>
      </c>
      <c r="K80" s="4">
        <v>56</v>
      </c>
      <c r="L80" s="5" t="s">
        <v>1</v>
      </c>
      <c r="M80" s="80">
        <f t="shared" si="27"/>
        <v>56</v>
      </c>
      <c r="N80" s="78">
        <f t="shared" si="28"/>
        <v>4200</v>
      </c>
      <c r="O80" s="78">
        <f t="shared" si="29"/>
        <v>4200</v>
      </c>
    </row>
    <row r="81" spans="1:15" x14ac:dyDescent="0.25">
      <c r="A81" s="31">
        <v>11</v>
      </c>
      <c r="B81" s="4" t="s">
        <v>2514</v>
      </c>
      <c r="C81" s="5">
        <v>1</v>
      </c>
      <c r="D81" s="7">
        <v>0</v>
      </c>
      <c r="E81" s="3">
        <f t="shared" si="24"/>
        <v>1</v>
      </c>
      <c r="F81" s="3" t="s">
        <v>867</v>
      </c>
      <c r="G81" s="77"/>
      <c r="H81" s="5" t="s">
        <v>1</v>
      </c>
      <c r="I81" s="78">
        <f t="shared" si="25"/>
        <v>0</v>
      </c>
      <c r="J81" s="110">
        <f t="shared" si="26"/>
        <v>75</v>
      </c>
      <c r="K81" s="4">
        <v>68</v>
      </c>
      <c r="L81" s="5" t="s">
        <v>1</v>
      </c>
      <c r="M81" s="80">
        <f t="shared" si="27"/>
        <v>68</v>
      </c>
      <c r="N81" s="78">
        <f t="shared" si="28"/>
        <v>5100</v>
      </c>
      <c r="O81" s="78">
        <f t="shared" si="29"/>
        <v>5100</v>
      </c>
    </row>
    <row r="82" spans="1:15" x14ac:dyDescent="0.25">
      <c r="A82" s="31">
        <v>12</v>
      </c>
      <c r="B82" s="4" t="s">
        <v>2513</v>
      </c>
      <c r="C82" s="5">
        <v>1</v>
      </c>
      <c r="D82" s="7">
        <v>0</v>
      </c>
      <c r="E82" s="3">
        <f t="shared" si="24"/>
        <v>1</v>
      </c>
      <c r="F82" s="3" t="s">
        <v>867</v>
      </c>
      <c r="G82" s="77"/>
      <c r="H82" s="5" t="s">
        <v>1</v>
      </c>
      <c r="I82" s="78">
        <f t="shared" si="25"/>
        <v>0</v>
      </c>
      <c r="J82" s="110">
        <f t="shared" si="26"/>
        <v>75</v>
      </c>
      <c r="K82" s="4">
        <v>0</v>
      </c>
      <c r="L82" s="5" t="s">
        <v>1</v>
      </c>
      <c r="M82" s="80">
        <f t="shared" si="27"/>
        <v>0</v>
      </c>
      <c r="N82" s="78">
        <f t="shared" si="28"/>
        <v>0</v>
      </c>
      <c r="O82" s="78">
        <f t="shared" si="29"/>
        <v>0</v>
      </c>
    </row>
    <row r="83" spans="1:15" x14ac:dyDescent="0.25">
      <c r="A83" s="31">
        <v>13</v>
      </c>
      <c r="B83" s="8" t="s">
        <v>2512</v>
      </c>
      <c r="C83" s="5">
        <v>1</v>
      </c>
      <c r="D83" s="7">
        <v>0</v>
      </c>
      <c r="E83" s="3">
        <f t="shared" si="24"/>
        <v>1</v>
      </c>
      <c r="F83" s="3" t="s">
        <v>867</v>
      </c>
      <c r="G83" s="77"/>
      <c r="H83" s="5" t="s">
        <v>1</v>
      </c>
      <c r="I83" s="78">
        <f t="shared" si="25"/>
        <v>0</v>
      </c>
      <c r="J83" s="110">
        <f t="shared" si="26"/>
        <v>75</v>
      </c>
      <c r="K83" s="4">
        <v>0</v>
      </c>
      <c r="L83" s="5" t="s">
        <v>1</v>
      </c>
      <c r="M83" s="80">
        <f t="shared" si="27"/>
        <v>0</v>
      </c>
      <c r="N83" s="78">
        <f t="shared" si="28"/>
        <v>0</v>
      </c>
      <c r="O83" s="78">
        <f t="shared" si="29"/>
        <v>0</v>
      </c>
    </row>
    <row r="84" spans="1:15" x14ac:dyDescent="0.25">
      <c r="A84" s="31">
        <v>14</v>
      </c>
      <c r="B84" s="4" t="s">
        <v>2511</v>
      </c>
      <c r="C84" s="5">
        <v>1</v>
      </c>
      <c r="D84" s="7">
        <v>0</v>
      </c>
      <c r="E84" s="3">
        <f t="shared" si="24"/>
        <v>1</v>
      </c>
      <c r="F84" s="3" t="s">
        <v>867</v>
      </c>
      <c r="G84" s="77"/>
      <c r="H84" s="5" t="s">
        <v>1</v>
      </c>
      <c r="I84" s="78">
        <f t="shared" si="25"/>
        <v>0</v>
      </c>
      <c r="J84" s="110">
        <f t="shared" si="26"/>
        <v>75</v>
      </c>
      <c r="K84" s="4">
        <v>0</v>
      </c>
      <c r="L84" s="5" t="s">
        <v>1</v>
      </c>
      <c r="M84" s="80">
        <f t="shared" si="27"/>
        <v>0</v>
      </c>
      <c r="N84" s="78">
        <f t="shared" si="28"/>
        <v>0</v>
      </c>
      <c r="O84" s="78">
        <f t="shared" si="29"/>
        <v>0</v>
      </c>
    </row>
    <row r="85" spans="1:15" x14ac:dyDescent="0.25">
      <c r="A85" s="31">
        <v>15</v>
      </c>
      <c r="B85" s="4" t="s">
        <v>2510</v>
      </c>
      <c r="C85" s="5">
        <v>1</v>
      </c>
      <c r="D85" s="7">
        <v>0</v>
      </c>
      <c r="E85" s="3">
        <f t="shared" si="24"/>
        <v>1</v>
      </c>
      <c r="F85" s="3" t="s">
        <v>867</v>
      </c>
      <c r="G85" s="77"/>
      <c r="H85" s="5" t="s">
        <v>1</v>
      </c>
      <c r="I85" s="78">
        <f t="shared" si="25"/>
        <v>0</v>
      </c>
      <c r="J85" s="110">
        <f t="shared" si="26"/>
        <v>75</v>
      </c>
      <c r="K85" s="4">
        <v>0</v>
      </c>
      <c r="L85" s="5" t="s">
        <v>1</v>
      </c>
      <c r="M85" s="80">
        <f t="shared" si="27"/>
        <v>0</v>
      </c>
      <c r="N85" s="78">
        <f t="shared" si="28"/>
        <v>0</v>
      </c>
      <c r="O85" s="78">
        <f t="shared" si="29"/>
        <v>0</v>
      </c>
    </row>
    <row r="86" spans="1:15" x14ac:dyDescent="0.25">
      <c r="A86" s="31">
        <v>16</v>
      </c>
      <c r="B86" s="4" t="s">
        <v>2509</v>
      </c>
      <c r="C86" s="5">
        <v>1</v>
      </c>
      <c r="D86" s="7">
        <v>0</v>
      </c>
      <c r="E86" s="3">
        <f t="shared" si="24"/>
        <v>1</v>
      </c>
      <c r="F86" s="3" t="s">
        <v>867</v>
      </c>
      <c r="G86" s="77"/>
      <c r="H86" s="5" t="s">
        <v>1</v>
      </c>
      <c r="I86" s="78">
        <f t="shared" si="25"/>
        <v>0</v>
      </c>
      <c r="J86" s="110">
        <f t="shared" si="26"/>
        <v>75</v>
      </c>
      <c r="K86" s="4">
        <v>0</v>
      </c>
      <c r="L86" s="5" t="s">
        <v>1</v>
      </c>
      <c r="M86" s="80">
        <f t="shared" si="27"/>
        <v>0</v>
      </c>
      <c r="N86" s="78">
        <f t="shared" si="28"/>
        <v>0</v>
      </c>
      <c r="O86" s="78">
        <f t="shared" si="29"/>
        <v>0</v>
      </c>
    </row>
    <row r="87" spans="1:15" ht="15.75" thickBot="1" x14ac:dyDescent="0.3">
      <c r="A87" s="31"/>
      <c r="B87" s="258"/>
      <c r="C87" s="259">
        <v>1</v>
      </c>
      <c r="D87" s="259">
        <v>0</v>
      </c>
      <c r="E87" s="259">
        <f t="shared" si="24"/>
        <v>1</v>
      </c>
      <c r="F87" s="259" t="s">
        <v>867</v>
      </c>
      <c r="G87" s="259"/>
      <c r="H87" s="259" t="s">
        <v>1</v>
      </c>
      <c r="I87" s="259">
        <f t="shared" si="25"/>
        <v>0</v>
      </c>
      <c r="J87" s="259">
        <f t="shared" si="26"/>
        <v>75</v>
      </c>
      <c r="K87" s="259"/>
      <c r="L87" s="259" t="s">
        <v>1</v>
      </c>
      <c r="M87" s="259">
        <f t="shared" si="27"/>
        <v>0</v>
      </c>
      <c r="N87" s="259">
        <f t="shared" si="28"/>
        <v>0</v>
      </c>
      <c r="O87" s="259">
        <f t="shared" si="29"/>
        <v>0</v>
      </c>
    </row>
    <row r="88" spans="1:15" ht="15.75" thickBot="1" x14ac:dyDescent="0.3">
      <c r="A88" s="60"/>
      <c r="B88" s="145" t="s">
        <v>2508</v>
      </c>
      <c r="C88" s="5"/>
      <c r="D88" s="7"/>
      <c r="E88" s="3"/>
      <c r="F88" s="3"/>
      <c r="G88" s="9"/>
      <c r="H88" s="5"/>
      <c r="I88" s="9"/>
      <c r="J88" s="9"/>
      <c r="K88" s="15"/>
      <c r="L88" s="5"/>
      <c r="M88" s="15"/>
      <c r="N88" s="4"/>
      <c r="O88" s="4"/>
    </row>
    <row r="89" spans="1:15" x14ac:dyDescent="0.25">
      <c r="A89" s="31">
        <v>1</v>
      </c>
      <c r="B89" s="4" t="s">
        <v>2507</v>
      </c>
      <c r="C89" s="5">
        <v>1</v>
      </c>
      <c r="D89" s="7">
        <v>0</v>
      </c>
      <c r="E89" s="3">
        <f t="shared" ref="E89:E98" si="30">C89+(C89*D89)</f>
        <v>1</v>
      </c>
      <c r="F89" s="3" t="s">
        <v>867</v>
      </c>
      <c r="G89" s="77"/>
      <c r="H89" s="5" t="s">
        <v>1</v>
      </c>
      <c r="I89" s="78">
        <f t="shared" ref="I89:I98" si="31">IF(H89="C",(G89/100)*E89,IF(H89="M",(G89/1000)*E89,G89*E89))</f>
        <v>0</v>
      </c>
      <c r="J89" s="110">
        <f t="shared" ref="J89:J98" si="32">$O$4</f>
        <v>75</v>
      </c>
      <c r="K89" s="4">
        <v>1</v>
      </c>
      <c r="L89" s="5" t="s">
        <v>1</v>
      </c>
      <c r="M89" s="80">
        <f t="shared" ref="M89:M98" si="33">IF(L89="C",(K89/100)*E89,IF(L89="M",(K89/1000)*E89,K89*E89))</f>
        <v>1</v>
      </c>
      <c r="N89" s="78">
        <f t="shared" ref="N89:N98" si="34">M89*J89</f>
        <v>75</v>
      </c>
      <c r="O89" s="78">
        <f t="shared" ref="O89:O98" si="35">N89+I89</f>
        <v>75</v>
      </c>
    </row>
    <row r="90" spans="1:15" x14ac:dyDescent="0.25">
      <c r="A90" s="31">
        <v>2</v>
      </c>
      <c r="B90" s="4" t="s">
        <v>2506</v>
      </c>
      <c r="C90" s="5">
        <v>1</v>
      </c>
      <c r="D90" s="7">
        <v>0</v>
      </c>
      <c r="E90" s="3">
        <f t="shared" si="30"/>
        <v>1</v>
      </c>
      <c r="F90" s="3" t="s">
        <v>867</v>
      </c>
      <c r="G90" s="77"/>
      <c r="H90" s="5" t="s">
        <v>1</v>
      </c>
      <c r="I90" s="78">
        <f t="shared" si="31"/>
        <v>0</v>
      </c>
      <c r="J90" s="110">
        <f t="shared" si="32"/>
        <v>75</v>
      </c>
      <c r="K90" s="4">
        <v>1</v>
      </c>
      <c r="L90" s="5" t="s">
        <v>1</v>
      </c>
      <c r="M90" s="80">
        <f t="shared" si="33"/>
        <v>1</v>
      </c>
      <c r="N90" s="78">
        <f t="shared" si="34"/>
        <v>75</v>
      </c>
      <c r="O90" s="78">
        <f t="shared" si="35"/>
        <v>75</v>
      </c>
    </row>
    <row r="91" spans="1:15" x14ac:dyDescent="0.25">
      <c r="A91" s="31">
        <v>3</v>
      </c>
      <c r="B91" s="4" t="s">
        <v>2505</v>
      </c>
      <c r="C91" s="5">
        <v>1</v>
      </c>
      <c r="D91" s="7">
        <v>0</v>
      </c>
      <c r="E91" s="3">
        <f t="shared" si="30"/>
        <v>1</v>
      </c>
      <c r="F91" s="3" t="s">
        <v>867</v>
      </c>
      <c r="G91" s="77"/>
      <c r="H91" s="5" t="s">
        <v>1</v>
      </c>
      <c r="I91" s="78">
        <f t="shared" si="31"/>
        <v>0</v>
      </c>
      <c r="J91" s="110">
        <f t="shared" si="32"/>
        <v>75</v>
      </c>
      <c r="K91" s="4">
        <v>1.2</v>
      </c>
      <c r="L91" s="5" t="s">
        <v>1</v>
      </c>
      <c r="M91" s="80">
        <f t="shared" si="33"/>
        <v>1.2</v>
      </c>
      <c r="N91" s="78">
        <f t="shared" si="34"/>
        <v>90</v>
      </c>
      <c r="O91" s="78">
        <f t="shared" si="35"/>
        <v>90</v>
      </c>
    </row>
    <row r="92" spans="1:15" x14ac:dyDescent="0.25">
      <c r="A92" s="31">
        <v>4</v>
      </c>
      <c r="B92" s="4" t="s">
        <v>2504</v>
      </c>
      <c r="C92" s="5">
        <v>1</v>
      </c>
      <c r="D92" s="7">
        <v>0</v>
      </c>
      <c r="E92" s="3">
        <f t="shared" si="30"/>
        <v>1</v>
      </c>
      <c r="F92" s="3" t="s">
        <v>867</v>
      </c>
      <c r="G92" s="77"/>
      <c r="H92" s="5" t="s">
        <v>1</v>
      </c>
      <c r="I92" s="78">
        <f t="shared" si="31"/>
        <v>0</v>
      </c>
      <c r="J92" s="110">
        <f t="shared" si="32"/>
        <v>75</v>
      </c>
      <c r="K92" s="4">
        <v>1.4</v>
      </c>
      <c r="L92" s="5" t="s">
        <v>1</v>
      </c>
      <c r="M92" s="80">
        <f t="shared" si="33"/>
        <v>1.4</v>
      </c>
      <c r="N92" s="78">
        <f t="shared" si="34"/>
        <v>105</v>
      </c>
      <c r="O92" s="78">
        <f t="shared" si="35"/>
        <v>105</v>
      </c>
    </row>
    <row r="93" spans="1:15" ht="15" customHeight="1" x14ac:dyDescent="0.25">
      <c r="A93" s="31">
        <v>5</v>
      </c>
      <c r="B93" s="8" t="s">
        <v>2503</v>
      </c>
      <c r="C93" s="5">
        <v>1</v>
      </c>
      <c r="D93" s="7">
        <v>0</v>
      </c>
      <c r="E93" s="3">
        <f t="shared" si="30"/>
        <v>1</v>
      </c>
      <c r="F93" s="3" t="s">
        <v>867</v>
      </c>
      <c r="G93" s="77"/>
      <c r="H93" s="5" t="s">
        <v>1</v>
      </c>
      <c r="I93" s="78">
        <f t="shared" si="31"/>
        <v>0</v>
      </c>
      <c r="J93" s="110">
        <f t="shared" si="32"/>
        <v>75</v>
      </c>
      <c r="K93" s="4">
        <v>1</v>
      </c>
      <c r="L93" s="5" t="s">
        <v>1</v>
      </c>
      <c r="M93" s="80">
        <f t="shared" si="33"/>
        <v>1</v>
      </c>
      <c r="N93" s="78">
        <f t="shared" si="34"/>
        <v>75</v>
      </c>
      <c r="O93" s="78">
        <f t="shared" si="35"/>
        <v>75</v>
      </c>
    </row>
    <row r="94" spans="1:15" x14ac:dyDescent="0.25">
      <c r="A94" s="31">
        <v>6</v>
      </c>
      <c r="B94" s="4" t="s">
        <v>2502</v>
      </c>
      <c r="C94" s="5">
        <v>1</v>
      </c>
      <c r="D94" s="7">
        <v>0</v>
      </c>
      <c r="E94" s="3">
        <f t="shared" si="30"/>
        <v>1</v>
      </c>
      <c r="F94" s="3" t="s">
        <v>867</v>
      </c>
      <c r="G94" s="77"/>
      <c r="H94" s="5" t="s">
        <v>1</v>
      </c>
      <c r="I94" s="78">
        <f t="shared" si="31"/>
        <v>0</v>
      </c>
      <c r="J94" s="110">
        <f t="shared" si="32"/>
        <v>75</v>
      </c>
      <c r="K94" s="4">
        <v>1.2</v>
      </c>
      <c r="L94" s="5" t="s">
        <v>1</v>
      </c>
      <c r="M94" s="80">
        <f t="shared" si="33"/>
        <v>1.2</v>
      </c>
      <c r="N94" s="78">
        <f t="shared" si="34"/>
        <v>90</v>
      </c>
      <c r="O94" s="78">
        <f t="shared" si="35"/>
        <v>90</v>
      </c>
    </row>
    <row r="95" spans="1:15" x14ac:dyDescent="0.25">
      <c r="A95" s="31">
        <v>7</v>
      </c>
      <c r="B95" s="4" t="s">
        <v>2501</v>
      </c>
      <c r="C95" s="5">
        <v>1</v>
      </c>
      <c r="D95" s="7">
        <v>0</v>
      </c>
      <c r="E95" s="3">
        <f t="shared" si="30"/>
        <v>1</v>
      </c>
      <c r="F95" s="3" t="s">
        <v>867</v>
      </c>
      <c r="G95" s="77"/>
      <c r="H95" s="5" t="s">
        <v>1</v>
      </c>
      <c r="I95" s="78">
        <f t="shared" si="31"/>
        <v>0</v>
      </c>
      <c r="J95" s="110">
        <f t="shared" si="32"/>
        <v>75</v>
      </c>
      <c r="K95" s="4">
        <v>1.4</v>
      </c>
      <c r="L95" s="5" t="s">
        <v>1</v>
      </c>
      <c r="M95" s="80">
        <f t="shared" si="33"/>
        <v>1.4</v>
      </c>
      <c r="N95" s="78">
        <f t="shared" si="34"/>
        <v>105</v>
      </c>
      <c r="O95" s="78">
        <f t="shared" si="35"/>
        <v>105</v>
      </c>
    </row>
    <row r="96" spans="1:15" x14ac:dyDescent="0.25">
      <c r="A96" s="31">
        <v>8</v>
      </c>
      <c r="B96" s="4" t="s">
        <v>2500</v>
      </c>
      <c r="C96" s="5">
        <v>1</v>
      </c>
      <c r="D96" s="7">
        <v>0</v>
      </c>
      <c r="E96" s="3">
        <f t="shared" si="30"/>
        <v>1</v>
      </c>
      <c r="F96" s="3" t="s">
        <v>867</v>
      </c>
      <c r="G96" s="77"/>
      <c r="H96" s="5" t="s">
        <v>1</v>
      </c>
      <c r="I96" s="78">
        <f t="shared" si="31"/>
        <v>0</v>
      </c>
      <c r="J96" s="110">
        <f t="shared" si="32"/>
        <v>75</v>
      </c>
      <c r="K96" s="4">
        <v>2</v>
      </c>
      <c r="L96" s="5" t="s">
        <v>1</v>
      </c>
      <c r="M96" s="80">
        <f t="shared" si="33"/>
        <v>2</v>
      </c>
      <c r="N96" s="78">
        <f t="shared" si="34"/>
        <v>150</v>
      </c>
      <c r="O96" s="78">
        <f t="shared" si="35"/>
        <v>150</v>
      </c>
    </row>
    <row r="97" spans="1:15" x14ac:dyDescent="0.25">
      <c r="A97" s="31">
        <v>9</v>
      </c>
      <c r="B97" s="4" t="s">
        <v>2499</v>
      </c>
      <c r="C97" s="5">
        <v>1</v>
      </c>
      <c r="D97" s="7">
        <v>0</v>
      </c>
      <c r="E97" s="3">
        <f t="shared" si="30"/>
        <v>1</v>
      </c>
      <c r="F97" s="3" t="s">
        <v>867</v>
      </c>
      <c r="G97" s="77"/>
      <c r="H97" s="5" t="s">
        <v>1</v>
      </c>
      <c r="I97" s="78">
        <f t="shared" si="31"/>
        <v>0</v>
      </c>
      <c r="J97" s="110">
        <f t="shared" si="32"/>
        <v>75</v>
      </c>
      <c r="K97" s="4">
        <v>3</v>
      </c>
      <c r="L97" s="5" t="s">
        <v>1</v>
      </c>
      <c r="M97" s="80">
        <f t="shared" si="33"/>
        <v>3</v>
      </c>
      <c r="N97" s="78">
        <f t="shared" si="34"/>
        <v>225</v>
      </c>
      <c r="O97" s="78">
        <f t="shared" si="35"/>
        <v>225</v>
      </c>
    </row>
    <row r="98" spans="1:15" ht="15.75" thickBot="1" x14ac:dyDescent="0.3">
      <c r="A98" s="31"/>
      <c r="B98" s="258"/>
      <c r="C98" s="259">
        <v>1</v>
      </c>
      <c r="D98" s="259">
        <v>0</v>
      </c>
      <c r="E98" s="259">
        <f t="shared" si="30"/>
        <v>1</v>
      </c>
      <c r="F98" s="259" t="s">
        <v>867</v>
      </c>
      <c r="G98" s="259"/>
      <c r="H98" s="259" t="s">
        <v>1</v>
      </c>
      <c r="I98" s="259">
        <f t="shared" si="31"/>
        <v>0</v>
      </c>
      <c r="J98" s="259">
        <f t="shared" si="32"/>
        <v>75</v>
      </c>
      <c r="K98" s="259"/>
      <c r="L98" s="259" t="s">
        <v>1</v>
      </c>
      <c r="M98" s="259">
        <f t="shared" si="33"/>
        <v>0</v>
      </c>
      <c r="N98" s="259">
        <f t="shared" si="34"/>
        <v>0</v>
      </c>
      <c r="O98" s="259">
        <f t="shared" si="35"/>
        <v>0</v>
      </c>
    </row>
    <row r="99" spans="1:15" ht="15.75" thickBot="1" x14ac:dyDescent="0.3">
      <c r="A99" s="60"/>
      <c r="B99" s="145" t="s">
        <v>2498</v>
      </c>
      <c r="C99" s="5"/>
      <c r="D99" s="7"/>
      <c r="E99" s="3"/>
      <c r="F99" s="3"/>
      <c r="G99" s="9"/>
      <c r="H99" s="5"/>
      <c r="I99" s="9"/>
      <c r="J99" s="9"/>
      <c r="K99" s="15"/>
      <c r="L99" s="5"/>
      <c r="M99" s="15"/>
      <c r="N99" s="4"/>
      <c r="O99" s="4"/>
    </row>
    <row r="100" spans="1:15" x14ac:dyDescent="0.25">
      <c r="A100" s="31">
        <v>1</v>
      </c>
      <c r="B100" s="4" t="s">
        <v>2497</v>
      </c>
      <c r="C100" s="5">
        <v>1</v>
      </c>
      <c r="D100" s="7">
        <v>0</v>
      </c>
      <c r="E100" s="3">
        <f t="shared" ref="E100:E106" si="36">C100+(C100*D100)</f>
        <v>1</v>
      </c>
      <c r="F100" s="3" t="s">
        <v>867</v>
      </c>
      <c r="G100" s="77"/>
      <c r="H100" s="5" t="s">
        <v>1</v>
      </c>
      <c r="I100" s="78">
        <f t="shared" ref="I100:I106" si="37">IF(H100="C",(G100/100)*E100,IF(H100="M",(G100/1000)*E100,G100*E100))</f>
        <v>0</v>
      </c>
      <c r="J100" s="110">
        <f t="shared" ref="J100:J106" si="38">$O$4</f>
        <v>75</v>
      </c>
      <c r="K100" s="4">
        <v>1.2</v>
      </c>
      <c r="L100" s="5" t="s">
        <v>1</v>
      </c>
      <c r="M100" s="80">
        <f t="shared" ref="M100:M106" si="39">IF(L100="C",(K100/100)*E100,IF(L100="M",(K100/1000)*E100,K100*E100))</f>
        <v>1.2</v>
      </c>
      <c r="N100" s="78">
        <f t="shared" ref="N100:N106" si="40">M100*J100</f>
        <v>90</v>
      </c>
      <c r="O100" s="78">
        <f t="shared" ref="O100:O106" si="41">N100+I100</f>
        <v>90</v>
      </c>
    </row>
    <row r="101" spans="1:15" x14ac:dyDescent="0.25">
      <c r="A101" s="31">
        <v>2</v>
      </c>
      <c r="B101" s="4" t="s">
        <v>2496</v>
      </c>
      <c r="C101" s="5">
        <v>1</v>
      </c>
      <c r="D101" s="7">
        <v>0</v>
      </c>
      <c r="E101" s="3">
        <f t="shared" si="36"/>
        <v>1</v>
      </c>
      <c r="F101" s="3" t="s">
        <v>867</v>
      </c>
      <c r="G101" s="77"/>
      <c r="H101" s="5" t="s">
        <v>1</v>
      </c>
      <c r="I101" s="78">
        <f t="shared" si="37"/>
        <v>0</v>
      </c>
      <c r="J101" s="110">
        <f t="shared" si="38"/>
        <v>75</v>
      </c>
      <c r="K101" s="4">
        <v>1.4</v>
      </c>
      <c r="L101" s="5" t="s">
        <v>1</v>
      </c>
      <c r="M101" s="80">
        <f t="shared" si="39"/>
        <v>1.4</v>
      </c>
      <c r="N101" s="78">
        <f t="shared" si="40"/>
        <v>105</v>
      </c>
      <c r="O101" s="78">
        <f t="shared" si="41"/>
        <v>105</v>
      </c>
    </row>
    <row r="102" spans="1:15" x14ac:dyDescent="0.25">
      <c r="A102" s="31">
        <v>3</v>
      </c>
      <c r="B102" s="4" t="s">
        <v>2495</v>
      </c>
      <c r="C102" s="5">
        <v>1</v>
      </c>
      <c r="D102" s="7">
        <v>0</v>
      </c>
      <c r="E102" s="3">
        <f t="shared" si="36"/>
        <v>1</v>
      </c>
      <c r="F102" s="3" t="s">
        <v>867</v>
      </c>
      <c r="G102" s="77"/>
      <c r="H102" s="5" t="s">
        <v>1</v>
      </c>
      <c r="I102" s="78">
        <f t="shared" si="37"/>
        <v>0</v>
      </c>
      <c r="J102" s="110">
        <f t="shared" si="38"/>
        <v>75</v>
      </c>
      <c r="K102" s="4">
        <v>2</v>
      </c>
      <c r="L102" s="5" t="s">
        <v>1</v>
      </c>
      <c r="M102" s="80">
        <f t="shared" si="39"/>
        <v>2</v>
      </c>
      <c r="N102" s="78">
        <f t="shared" si="40"/>
        <v>150</v>
      </c>
      <c r="O102" s="78">
        <f t="shared" si="41"/>
        <v>150</v>
      </c>
    </row>
    <row r="103" spans="1:15" x14ac:dyDescent="0.25">
      <c r="A103" s="31">
        <v>4</v>
      </c>
      <c r="B103" s="4" t="s">
        <v>2494</v>
      </c>
      <c r="C103" s="5">
        <v>1</v>
      </c>
      <c r="D103" s="7">
        <v>0</v>
      </c>
      <c r="E103" s="3">
        <f t="shared" si="36"/>
        <v>1</v>
      </c>
      <c r="F103" s="3" t="s">
        <v>867</v>
      </c>
      <c r="G103" s="77"/>
      <c r="H103" s="5" t="s">
        <v>1</v>
      </c>
      <c r="I103" s="78">
        <f t="shared" si="37"/>
        <v>0</v>
      </c>
      <c r="J103" s="110">
        <f t="shared" si="38"/>
        <v>75</v>
      </c>
      <c r="K103" s="4">
        <v>3</v>
      </c>
      <c r="L103" s="5" t="s">
        <v>1</v>
      </c>
      <c r="M103" s="80">
        <f t="shared" si="39"/>
        <v>3</v>
      </c>
      <c r="N103" s="78">
        <f t="shared" si="40"/>
        <v>225</v>
      </c>
      <c r="O103" s="78">
        <f t="shared" si="41"/>
        <v>225</v>
      </c>
    </row>
    <row r="104" spans="1:15" x14ac:dyDescent="0.25">
      <c r="A104" s="31">
        <v>5</v>
      </c>
      <c r="B104" s="4" t="s">
        <v>2493</v>
      </c>
      <c r="C104" s="5">
        <v>1</v>
      </c>
      <c r="D104" s="7">
        <v>0</v>
      </c>
      <c r="E104" s="3">
        <f t="shared" si="36"/>
        <v>1</v>
      </c>
      <c r="F104" s="3" t="s">
        <v>867</v>
      </c>
      <c r="G104" s="77"/>
      <c r="H104" s="5" t="s">
        <v>1</v>
      </c>
      <c r="I104" s="78">
        <f t="shared" si="37"/>
        <v>0</v>
      </c>
      <c r="J104" s="110">
        <f t="shared" si="38"/>
        <v>75</v>
      </c>
      <c r="K104" s="4">
        <v>3.5</v>
      </c>
      <c r="L104" s="5" t="s">
        <v>1</v>
      </c>
      <c r="M104" s="80">
        <f t="shared" si="39"/>
        <v>3.5</v>
      </c>
      <c r="N104" s="78">
        <f t="shared" si="40"/>
        <v>262.5</v>
      </c>
      <c r="O104" s="78">
        <f t="shared" si="41"/>
        <v>262.5</v>
      </c>
    </row>
    <row r="105" spans="1:15" x14ac:dyDescent="0.25">
      <c r="A105" s="31">
        <v>6</v>
      </c>
      <c r="B105" s="4" t="s">
        <v>2492</v>
      </c>
      <c r="C105" s="5">
        <v>1</v>
      </c>
      <c r="D105" s="7">
        <v>0</v>
      </c>
      <c r="E105" s="3">
        <f t="shared" si="36"/>
        <v>1</v>
      </c>
      <c r="F105" s="3" t="s">
        <v>867</v>
      </c>
      <c r="G105" s="77"/>
      <c r="H105" s="5" t="s">
        <v>1</v>
      </c>
      <c r="I105" s="78">
        <f t="shared" si="37"/>
        <v>0</v>
      </c>
      <c r="J105" s="110">
        <f t="shared" si="38"/>
        <v>75</v>
      </c>
      <c r="K105" s="4">
        <v>4</v>
      </c>
      <c r="L105" s="5" t="s">
        <v>1</v>
      </c>
      <c r="M105" s="80">
        <f t="shared" si="39"/>
        <v>4</v>
      </c>
      <c r="N105" s="78">
        <f t="shared" si="40"/>
        <v>300</v>
      </c>
      <c r="O105" s="78">
        <f t="shared" si="41"/>
        <v>300</v>
      </c>
    </row>
    <row r="106" spans="1:15" ht="15.75" thickBot="1" x14ac:dyDescent="0.3">
      <c r="A106" s="31"/>
      <c r="B106" s="258"/>
      <c r="C106" s="259">
        <v>1</v>
      </c>
      <c r="D106" s="259">
        <v>0</v>
      </c>
      <c r="E106" s="259">
        <f t="shared" si="36"/>
        <v>1</v>
      </c>
      <c r="F106" s="259" t="s">
        <v>867</v>
      </c>
      <c r="G106" s="259"/>
      <c r="H106" s="259" t="s">
        <v>1</v>
      </c>
      <c r="I106" s="259">
        <f t="shared" si="37"/>
        <v>0</v>
      </c>
      <c r="J106" s="259">
        <f t="shared" si="38"/>
        <v>75</v>
      </c>
      <c r="K106" s="259"/>
      <c r="L106" s="259" t="s">
        <v>1</v>
      </c>
      <c r="M106" s="259">
        <f t="shared" si="39"/>
        <v>0</v>
      </c>
      <c r="N106" s="259">
        <f t="shared" si="40"/>
        <v>0</v>
      </c>
      <c r="O106" s="259">
        <f t="shared" si="41"/>
        <v>0</v>
      </c>
    </row>
    <row r="107" spans="1:15" ht="15.75" thickBot="1" x14ac:dyDescent="0.3">
      <c r="A107" s="60"/>
      <c r="B107" s="145" t="s">
        <v>2491</v>
      </c>
      <c r="C107" s="5"/>
      <c r="D107" s="7"/>
      <c r="E107" s="3"/>
      <c r="F107" s="3"/>
      <c r="G107" s="9"/>
      <c r="H107" s="5"/>
      <c r="I107" s="9"/>
      <c r="J107" s="9"/>
      <c r="K107" s="15"/>
      <c r="L107" s="5"/>
      <c r="M107" s="15"/>
      <c r="N107" s="4"/>
      <c r="O107" s="4"/>
    </row>
    <row r="108" spans="1:15" x14ac:dyDescent="0.25">
      <c r="A108" s="31">
        <v>1</v>
      </c>
      <c r="B108" s="4" t="s">
        <v>2490</v>
      </c>
      <c r="C108" s="5">
        <v>1</v>
      </c>
      <c r="D108" s="7">
        <v>0</v>
      </c>
      <c r="E108" s="3">
        <f>C108+(C108*D108)</f>
        <v>1</v>
      </c>
      <c r="F108" s="3" t="s">
        <v>867</v>
      </c>
      <c r="G108" s="77"/>
      <c r="H108" s="5" t="s">
        <v>1</v>
      </c>
      <c r="I108" s="78">
        <f>IF(H108="C",(G108/100)*E108,IF(H108="M",(G108/1000)*E108,G108*E108))</f>
        <v>0</v>
      </c>
      <c r="J108" s="110">
        <f>$O$4</f>
        <v>75</v>
      </c>
      <c r="K108" s="4">
        <v>0.2</v>
      </c>
      <c r="L108" s="5" t="s">
        <v>1</v>
      </c>
      <c r="M108" s="80">
        <f>IF(L108="C",(K108/100)*E108,IF(L108="M",(K108/1000)*E108,K108*E108))</f>
        <v>0.2</v>
      </c>
      <c r="N108" s="78">
        <f>M108*J108</f>
        <v>15</v>
      </c>
      <c r="O108" s="78">
        <f>N108+I108</f>
        <v>15</v>
      </c>
    </row>
    <row r="109" spans="1:15" x14ac:dyDescent="0.25">
      <c r="A109" s="31">
        <v>2</v>
      </c>
      <c r="B109" s="4" t="s">
        <v>2489</v>
      </c>
      <c r="C109" s="5">
        <v>1</v>
      </c>
      <c r="D109" s="7">
        <v>0</v>
      </c>
      <c r="E109" s="3">
        <f>C109+(C109*D109)</f>
        <v>1</v>
      </c>
      <c r="F109" s="3" t="s">
        <v>867</v>
      </c>
      <c r="G109" s="77"/>
      <c r="H109" s="5" t="s">
        <v>1</v>
      </c>
      <c r="I109" s="78">
        <f>IF(H109="C",(G109/100)*E109,IF(H109="M",(G109/1000)*E109,G109*E109))</f>
        <v>0</v>
      </c>
      <c r="J109" s="110">
        <f>$O$4</f>
        <v>75</v>
      </c>
      <c r="K109" s="4">
        <v>0.2</v>
      </c>
      <c r="L109" s="5" t="s">
        <v>1</v>
      </c>
      <c r="M109" s="80">
        <f>IF(L109="C",(K109/100)*E109,IF(L109="M",(K109/1000)*E109,K109*E109))</f>
        <v>0.2</v>
      </c>
      <c r="N109" s="78">
        <f>M109*J109</f>
        <v>15</v>
      </c>
      <c r="O109" s="78">
        <f>N109+I109</f>
        <v>15</v>
      </c>
    </row>
    <row r="110" spans="1:15" x14ac:dyDescent="0.25">
      <c r="A110" s="31">
        <v>3</v>
      </c>
      <c r="B110" s="4" t="s">
        <v>2488</v>
      </c>
      <c r="C110" s="5">
        <v>1</v>
      </c>
      <c r="D110" s="7">
        <v>0</v>
      </c>
      <c r="E110" s="3">
        <f>C110+(C110*D110)</f>
        <v>1</v>
      </c>
      <c r="F110" s="3" t="s">
        <v>867</v>
      </c>
      <c r="G110" s="77"/>
      <c r="H110" s="5" t="s">
        <v>1</v>
      </c>
      <c r="I110" s="78">
        <f>IF(H110="C",(G110/100)*E110,IF(H110="M",(G110/1000)*E110,G110*E110))</f>
        <v>0</v>
      </c>
      <c r="J110" s="110">
        <f>$O$4</f>
        <v>75</v>
      </c>
      <c r="K110" s="4">
        <v>0.2</v>
      </c>
      <c r="L110" s="5" t="s">
        <v>1</v>
      </c>
      <c r="M110" s="80">
        <f>IF(L110="C",(K110/100)*E110,IF(L110="M",(K110/1000)*E110,K110*E110))</f>
        <v>0.2</v>
      </c>
      <c r="N110" s="78">
        <f>M110*J110</f>
        <v>15</v>
      </c>
      <c r="O110" s="78">
        <f>N110+I110</f>
        <v>15</v>
      </c>
    </row>
    <row r="111" spans="1:15" ht="15.75" thickBot="1" x14ac:dyDescent="0.3">
      <c r="A111" s="31"/>
      <c r="B111" s="258"/>
      <c r="C111" s="259">
        <v>1</v>
      </c>
      <c r="D111" s="259">
        <v>0</v>
      </c>
      <c r="E111" s="259">
        <f>C111+(C111*D111)</f>
        <v>1</v>
      </c>
      <c r="F111" s="259" t="s">
        <v>867</v>
      </c>
      <c r="G111" s="259"/>
      <c r="H111" s="259" t="s">
        <v>1</v>
      </c>
      <c r="I111" s="259">
        <f>IF(H111="C",(G111/100)*E111,IF(H111="M",(G111/1000)*E111,G111*E111))</f>
        <v>0</v>
      </c>
      <c r="J111" s="259">
        <f>$O$4</f>
        <v>75</v>
      </c>
      <c r="K111" s="259"/>
      <c r="L111" s="259" t="s">
        <v>1</v>
      </c>
      <c r="M111" s="259">
        <f>IF(L111="C",(K111/100)*E111,IF(L111="M",(K111/1000)*E111,K111*E111))</f>
        <v>0</v>
      </c>
      <c r="N111" s="259">
        <f>M111*J111</f>
        <v>0</v>
      </c>
      <c r="O111" s="259">
        <f>N111+I111</f>
        <v>0</v>
      </c>
    </row>
    <row r="112" spans="1:15" ht="15.75" thickBot="1" x14ac:dyDescent="0.3">
      <c r="A112" s="60"/>
      <c r="B112" s="145" t="s">
        <v>2487</v>
      </c>
      <c r="C112" s="5"/>
      <c r="D112" s="7"/>
      <c r="E112" s="3"/>
      <c r="F112" s="3"/>
      <c r="G112" s="9"/>
      <c r="H112" s="5"/>
      <c r="I112" s="9"/>
      <c r="J112" s="9"/>
      <c r="K112" s="15"/>
      <c r="L112" s="5"/>
      <c r="M112" s="15"/>
      <c r="N112" s="4"/>
      <c r="O112" s="4"/>
    </row>
    <row r="113" spans="1:15" x14ac:dyDescent="0.25">
      <c r="A113" s="31">
        <v>1</v>
      </c>
      <c r="B113" s="4" t="s">
        <v>2486</v>
      </c>
      <c r="C113" s="5">
        <v>1</v>
      </c>
      <c r="D113" s="7">
        <v>0</v>
      </c>
      <c r="E113" s="3">
        <f>C113+(C113*D113)</f>
        <v>1</v>
      </c>
      <c r="F113" s="3" t="s">
        <v>867</v>
      </c>
      <c r="G113" s="77"/>
      <c r="H113" s="5" t="s">
        <v>1</v>
      </c>
      <c r="I113" s="78">
        <f>IF(H113="C",(G113/100)*E113,IF(H113="M",(G113/1000)*E113,G113*E113))</f>
        <v>0</v>
      </c>
      <c r="J113" s="110">
        <f>$O$4</f>
        <v>75</v>
      </c>
      <c r="K113" s="4">
        <v>0.3</v>
      </c>
      <c r="L113" s="5" t="s">
        <v>1</v>
      </c>
      <c r="M113" s="80">
        <f>IF(L113="C",(K113/100)*E113,IF(L113="M",(K113/1000)*E113,K113*E113))</f>
        <v>0.3</v>
      </c>
      <c r="N113" s="78">
        <f>M113*J113</f>
        <v>22.5</v>
      </c>
      <c r="O113" s="78">
        <f>N113+I113</f>
        <v>22.5</v>
      </c>
    </row>
    <row r="114" spans="1:15" x14ac:dyDescent="0.25">
      <c r="A114" s="31">
        <v>2</v>
      </c>
      <c r="B114" s="4" t="s">
        <v>2485</v>
      </c>
      <c r="C114" s="5">
        <v>1</v>
      </c>
      <c r="D114" s="7">
        <v>0</v>
      </c>
      <c r="E114" s="3">
        <f>C114+(C114*D114)</f>
        <v>1</v>
      </c>
      <c r="F114" s="3" t="s">
        <v>867</v>
      </c>
      <c r="G114" s="77"/>
      <c r="H114" s="5" t="s">
        <v>1</v>
      </c>
      <c r="I114" s="78">
        <f>IF(H114="C",(G114/100)*E114,IF(H114="M",(G114/1000)*E114,G114*E114))</f>
        <v>0</v>
      </c>
      <c r="J114" s="110">
        <f>$O$4</f>
        <v>75</v>
      </c>
      <c r="K114" s="4">
        <v>0.3</v>
      </c>
      <c r="L114" s="5" t="s">
        <v>1</v>
      </c>
      <c r="M114" s="80">
        <f>IF(L114="C",(K114/100)*E114,IF(L114="M",(K114/1000)*E114,K114*E114))</f>
        <v>0.3</v>
      </c>
      <c r="N114" s="78">
        <f>M114*J114</f>
        <v>22.5</v>
      </c>
      <c r="O114" s="78">
        <f>N114+I114</f>
        <v>22.5</v>
      </c>
    </row>
    <row r="115" spans="1:15" x14ac:dyDescent="0.25">
      <c r="A115" s="31">
        <v>3</v>
      </c>
      <c r="B115" s="4" t="s">
        <v>2484</v>
      </c>
      <c r="C115" s="5">
        <v>1</v>
      </c>
      <c r="D115" s="7">
        <v>0</v>
      </c>
      <c r="E115" s="3">
        <f>C115+(C115*D115)</f>
        <v>1</v>
      </c>
      <c r="F115" s="3" t="s">
        <v>867</v>
      </c>
      <c r="G115" s="77"/>
      <c r="H115" s="5" t="s">
        <v>1</v>
      </c>
      <c r="I115" s="78">
        <f>IF(H115="C",(G115/100)*E115,IF(H115="M",(G115/1000)*E115,G115*E115))</f>
        <v>0</v>
      </c>
      <c r="J115" s="110">
        <f>$O$4</f>
        <v>75</v>
      </c>
      <c r="K115" s="4">
        <v>0.3</v>
      </c>
      <c r="L115" s="5" t="s">
        <v>1</v>
      </c>
      <c r="M115" s="80">
        <f>IF(L115="C",(K115/100)*E115,IF(L115="M",(K115/1000)*E115,K115*E115))</f>
        <v>0.3</v>
      </c>
      <c r="N115" s="78">
        <f>M115*J115</f>
        <v>22.5</v>
      </c>
      <c r="O115" s="78">
        <f>N115+I115</f>
        <v>22.5</v>
      </c>
    </row>
    <row r="116" spans="1:15" x14ac:dyDescent="0.25">
      <c r="A116" s="31">
        <v>4</v>
      </c>
      <c r="B116" s="4" t="s">
        <v>2483</v>
      </c>
      <c r="C116" s="5">
        <v>1</v>
      </c>
      <c r="D116" s="7">
        <v>0</v>
      </c>
      <c r="E116" s="3">
        <f>C116+(C116*D116)</f>
        <v>1</v>
      </c>
      <c r="F116" s="3" t="s">
        <v>867</v>
      </c>
      <c r="G116" s="77"/>
      <c r="H116" s="5" t="s">
        <v>1</v>
      </c>
      <c r="I116" s="78">
        <f>IF(H116="C",(G116/100)*E116,IF(H116="M",(G116/1000)*E116,G116*E116))</f>
        <v>0</v>
      </c>
      <c r="J116" s="110">
        <f>$O$4</f>
        <v>75</v>
      </c>
      <c r="K116" s="4">
        <v>0.3</v>
      </c>
      <c r="L116" s="5" t="s">
        <v>1</v>
      </c>
      <c r="M116" s="80">
        <f>IF(L116="C",(K116/100)*E116,IF(L116="M",(K116/1000)*E116,K116*E116))</f>
        <v>0.3</v>
      </c>
      <c r="N116" s="78">
        <f>M116*J116</f>
        <v>22.5</v>
      </c>
      <c r="O116" s="78">
        <f>N116+I116</f>
        <v>22.5</v>
      </c>
    </row>
    <row r="117" spans="1:15" x14ac:dyDescent="0.25">
      <c r="A117" s="31">
        <v>5</v>
      </c>
      <c r="B117" s="4" t="s">
        <v>2482</v>
      </c>
      <c r="C117" s="5">
        <v>1</v>
      </c>
      <c r="D117" s="7">
        <v>0</v>
      </c>
      <c r="E117" s="3">
        <f>C117+(C117*D117)</f>
        <v>1</v>
      </c>
      <c r="F117" s="3" t="s">
        <v>867</v>
      </c>
      <c r="G117" s="77"/>
      <c r="H117" s="5" t="s">
        <v>1</v>
      </c>
      <c r="I117" s="78">
        <f>IF(H117="C",(G117/100)*E117,IF(H117="M",(G117/1000)*E117,G117*E117))</f>
        <v>0</v>
      </c>
      <c r="J117" s="110">
        <f>$O$4</f>
        <v>75</v>
      </c>
      <c r="K117" s="4">
        <v>0.3</v>
      </c>
      <c r="L117" s="5" t="s">
        <v>1</v>
      </c>
      <c r="M117" s="80">
        <f>IF(L117="C",(K117/100)*E117,IF(L117="M",(K117/1000)*E117,K117*E117))</f>
        <v>0.3</v>
      </c>
      <c r="N117" s="78">
        <f>M117*J117</f>
        <v>22.5</v>
      </c>
      <c r="O117" s="78">
        <f>N117+I117</f>
        <v>22.5</v>
      </c>
    </row>
    <row r="118" spans="1:15" x14ac:dyDescent="0.25">
      <c r="A118" s="31"/>
      <c r="B118" s="258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</row>
  </sheetData>
  <mergeCells count="11">
    <mergeCell ref="B87:O87"/>
    <mergeCell ref="B98:O98"/>
    <mergeCell ref="B106:O106"/>
    <mergeCell ref="B111:O111"/>
    <mergeCell ref="B118:O118"/>
    <mergeCell ref="B69:O69"/>
    <mergeCell ref="M4:N4"/>
    <mergeCell ref="B23:O23"/>
    <mergeCell ref="B33:O33"/>
    <mergeCell ref="B48:O48"/>
    <mergeCell ref="B64:O64"/>
  </mergeCells>
  <pageMargins left="0.7" right="0.7" top="0.75" bottom="0.75" header="0.3" footer="0.3"/>
  <pageSetup scale="5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0408-E191-4940-AC89-7B70318AED73}">
  <sheetPr>
    <pageSetUpPr fitToPage="1"/>
  </sheetPr>
  <dimension ref="A3:R18"/>
  <sheetViews>
    <sheetView view="pageBreakPreview" zoomScale="90" zoomScaleNormal="85" zoomScaleSheetLayoutView="90" workbookViewId="0">
      <selection activeCell="A8" sqref="A8"/>
    </sheetView>
  </sheetViews>
  <sheetFormatPr defaultColWidth="9.140625" defaultRowHeight="15" x14ac:dyDescent="0.25"/>
  <cols>
    <col min="1" max="1" width="5.7109375" style="2" customWidth="1"/>
    <col min="2" max="2" width="60.28515625" style="1" customWidth="1"/>
    <col min="3" max="3" width="10" style="2" bestFit="1" customWidth="1"/>
    <col min="4" max="5" width="9.85546875" style="2" bestFit="1" customWidth="1"/>
    <col min="6" max="6" width="5.42578125" style="2" bestFit="1" customWidth="1"/>
    <col min="7" max="7" width="9.140625" style="10" bestFit="1" customWidth="1"/>
    <col min="8" max="8" width="5.28515625" style="2" bestFit="1" customWidth="1"/>
    <col min="9" max="9" width="10.42578125" style="10" bestFit="1" customWidth="1"/>
    <col min="10" max="10" width="7.42578125" style="10" bestFit="1" customWidth="1"/>
    <col min="11" max="11" width="7.42578125" style="46" bestFit="1" customWidth="1"/>
    <col min="12" max="12" width="5.85546875" style="2" bestFit="1" customWidth="1"/>
    <col min="13" max="13" width="7.28515625" style="46" bestFit="1" customWidth="1"/>
    <col min="14" max="14" width="8.140625" style="1" bestFit="1" customWidth="1"/>
    <col min="15" max="15" width="8.42578125" style="1" bestFit="1" customWidth="1"/>
    <col min="16" max="16" width="7.5703125" style="1" bestFit="1" customWidth="1"/>
    <col min="17" max="18" width="8.140625" style="1" bestFit="1" customWidth="1"/>
    <col min="19" max="16384" width="9.140625" style="1"/>
  </cols>
  <sheetData>
    <row r="3" spans="1:18" ht="15.75" thickBot="1" x14ac:dyDescent="0.3"/>
    <row r="4" spans="1:18" ht="16.5" thickBot="1" x14ac:dyDescent="0.3">
      <c r="D4" s="1"/>
      <c r="E4" s="1"/>
      <c r="F4" s="1"/>
      <c r="I4" s="43"/>
      <c r="J4" s="1"/>
      <c r="K4" s="1"/>
      <c r="M4" s="253" t="s">
        <v>1199</v>
      </c>
      <c r="N4" s="254"/>
      <c r="O4" s="108">
        <v>75</v>
      </c>
    </row>
    <row r="5" spans="1:18" ht="41.1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285</v>
      </c>
      <c r="L5" s="82" t="s">
        <v>284</v>
      </c>
      <c r="M5" s="81" t="s">
        <v>286</v>
      </c>
      <c r="N5" s="83" t="s">
        <v>871</v>
      </c>
      <c r="O5" s="84" t="s">
        <v>872</v>
      </c>
      <c r="P5" s="84" t="s">
        <v>290</v>
      </c>
      <c r="Q5" s="84" t="s">
        <v>291</v>
      </c>
      <c r="R5" s="84" t="s">
        <v>292</v>
      </c>
    </row>
    <row r="6" spans="1:18" ht="15.75" thickBot="1" x14ac:dyDescent="0.3">
      <c r="A6" s="53"/>
      <c r="B6" s="54"/>
      <c r="C6" s="55"/>
      <c r="D6" s="55"/>
      <c r="E6" s="55"/>
      <c r="F6" s="55"/>
      <c r="G6" s="56"/>
      <c r="H6" s="56"/>
      <c r="I6" s="56"/>
      <c r="J6" s="56"/>
      <c r="K6" s="57"/>
      <c r="L6" s="55"/>
      <c r="M6" s="57"/>
      <c r="N6" s="56"/>
      <c r="O6" s="95"/>
      <c r="P6" s="57"/>
      <c r="Q6" s="193"/>
      <c r="R6" s="192"/>
    </row>
    <row r="7" spans="1:18" ht="15.75" thickBot="1" x14ac:dyDescent="0.3">
      <c r="A7" s="60"/>
      <c r="B7" s="120" t="s">
        <v>2584</v>
      </c>
      <c r="C7" s="5"/>
      <c r="D7" s="7"/>
      <c r="E7" s="3"/>
      <c r="F7" s="3"/>
      <c r="G7" s="9"/>
      <c r="H7" s="5"/>
      <c r="I7" s="9"/>
      <c r="J7" s="9"/>
      <c r="K7" s="15"/>
      <c r="L7" s="5"/>
      <c r="M7" s="15"/>
      <c r="N7" s="4"/>
      <c r="O7" s="4"/>
      <c r="P7" s="15"/>
      <c r="Q7" s="191"/>
      <c r="R7" s="190"/>
    </row>
    <row r="8" spans="1:18" x14ac:dyDescent="0.25">
      <c r="A8" s="31">
        <v>1</v>
      </c>
      <c r="B8" s="4" t="s">
        <v>2585</v>
      </c>
      <c r="C8" s="5">
        <v>1</v>
      </c>
      <c r="D8" s="7">
        <v>0</v>
      </c>
      <c r="E8" s="3">
        <f t="shared" ref="E8:E17" si="0">C8+(C8*D8)</f>
        <v>1</v>
      </c>
      <c r="F8" s="3" t="s">
        <v>867</v>
      </c>
      <c r="G8" s="77">
        <v>46.74</v>
      </c>
      <c r="H8" s="5" t="s">
        <v>1</v>
      </c>
      <c r="I8" s="78">
        <f t="shared" ref="I8:I17" si="1">IF(H8="C",(G8/100)*E8,IF(H8="M",(G8/1000)*E8,G8*E8))</f>
        <v>46.74</v>
      </c>
      <c r="J8" s="110">
        <f t="shared" ref="J8:J17" si="2">$O$4</f>
        <v>75</v>
      </c>
      <c r="K8" s="4">
        <v>1</v>
      </c>
      <c r="L8" s="5" t="s">
        <v>1</v>
      </c>
      <c r="M8" s="80">
        <f t="shared" ref="M8:M17" si="3">IF(L8="C",(K8/100)*E8,IF(L8="M",(K8/1000)*E8,K8*E8))</f>
        <v>1</v>
      </c>
      <c r="N8" s="78">
        <f t="shared" ref="N8:N17" si="4">M8*J8</f>
        <v>75</v>
      </c>
      <c r="O8" s="78">
        <f t="shared" ref="O8:O17" si="5">N8+I8</f>
        <v>121.74000000000001</v>
      </c>
      <c r="P8" s="4">
        <v>1.5</v>
      </c>
      <c r="Q8" s="4">
        <v>2</v>
      </c>
      <c r="R8" s="49">
        <v>2.5</v>
      </c>
    </row>
    <row r="9" spans="1:18" x14ac:dyDescent="0.25">
      <c r="A9" s="31">
        <v>2</v>
      </c>
      <c r="B9" s="4" t="s">
        <v>2586</v>
      </c>
      <c r="C9" s="5">
        <v>1</v>
      </c>
      <c r="D9" s="7">
        <v>0</v>
      </c>
      <c r="E9" s="3">
        <f t="shared" si="0"/>
        <v>1</v>
      </c>
      <c r="F9" s="3" t="s">
        <v>867</v>
      </c>
      <c r="G9" s="77">
        <v>37.119999999999997</v>
      </c>
      <c r="H9" s="5" t="s">
        <v>1</v>
      </c>
      <c r="I9" s="78">
        <f t="shared" si="1"/>
        <v>37.119999999999997</v>
      </c>
      <c r="J9" s="110">
        <f t="shared" si="2"/>
        <v>75</v>
      </c>
      <c r="K9" s="4">
        <v>1</v>
      </c>
      <c r="L9" s="5" t="s">
        <v>1</v>
      </c>
      <c r="M9" s="80">
        <f t="shared" si="3"/>
        <v>1</v>
      </c>
      <c r="N9" s="78">
        <f t="shared" si="4"/>
        <v>75</v>
      </c>
      <c r="O9" s="78">
        <f t="shared" si="5"/>
        <v>112.12</v>
      </c>
      <c r="P9" s="4">
        <v>1.5</v>
      </c>
      <c r="Q9" s="4">
        <v>2</v>
      </c>
      <c r="R9" s="49">
        <v>2.5</v>
      </c>
    </row>
    <row r="10" spans="1:18" x14ac:dyDescent="0.25">
      <c r="A10" s="31">
        <v>3</v>
      </c>
      <c r="B10" s="4" t="s">
        <v>2587</v>
      </c>
      <c r="C10" s="5">
        <v>1</v>
      </c>
      <c r="D10" s="7">
        <v>0</v>
      </c>
      <c r="E10" s="3">
        <f t="shared" si="0"/>
        <v>1</v>
      </c>
      <c r="F10" s="3" t="s">
        <v>867</v>
      </c>
      <c r="G10" s="77">
        <v>33.29</v>
      </c>
      <c r="H10" s="5" t="s">
        <v>1</v>
      </c>
      <c r="I10" s="78">
        <f t="shared" si="1"/>
        <v>33.29</v>
      </c>
      <c r="J10" s="110">
        <f t="shared" si="2"/>
        <v>75</v>
      </c>
      <c r="K10" s="4">
        <v>1</v>
      </c>
      <c r="L10" s="5" t="s">
        <v>1</v>
      </c>
      <c r="M10" s="80">
        <f t="shared" si="3"/>
        <v>1</v>
      </c>
      <c r="N10" s="78">
        <f t="shared" si="4"/>
        <v>75</v>
      </c>
      <c r="O10" s="78">
        <f t="shared" si="5"/>
        <v>108.28999999999999</v>
      </c>
      <c r="P10" s="4">
        <v>1.5</v>
      </c>
      <c r="Q10" s="4">
        <v>2</v>
      </c>
      <c r="R10" s="49">
        <v>2.5</v>
      </c>
    </row>
    <row r="11" spans="1:18" x14ac:dyDescent="0.25">
      <c r="A11" s="31">
        <v>4</v>
      </c>
      <c r="B11" s="4" t="s">
        <v>2588</v>
      </c>
      <c r="C11" s="5">
        <v>1</v>
      </c>
      <c r="D11" s="7">
        <v>0</v>
      </c>
      <c r="E11" s="3">
        <f t="shared" si="0"/>
        <v>1</v>
      </c>
      <c r="F11" s="3" t="s">
        <v>867</v>
      </c>
      <c r="G11" s="77">
        <v>27.98</v>
      </c>
      <c r="H11" s="5" t="s">
        <v>1</v>
      </c>
      <c r="I11" s="78">
        <f t="shared" si="1"/>
        <v>27.98</v>
      </c>
      <c r="J11" s="110">
        <f t="shared" si="2"/>
        <v>75</v>
      </c>
      <c r="K11" s="4">
        <v>1</v>
      </c>
      <c r="L11" s="5" t="s">
        <v>1</v>
      </c>
      <c r="M11" s="80">
        <f t="shared" si="3"/>
        <v>1</v>
      </c>
      <c r="N11" s="78">
        <f t="shared" si="4"/>
        <v>75</v>
      </c>
      <c r="O11" s="78">
        <f t="shared" si="5"/>
        <v>102.98</v>
      </c>
      <c r="P11" s="4">
        <v>1.5</v>
      </c>
      <c r="Q11" s="4">
        <v>2</v>
      </c>
      <c r="R11" s="49">
        <v>2.5</v>
      </c>
    </row>
    <row r="12" spans="1:18" x14ac:dyDescent="0.25">
      <c r="A12" s="31">
        <v>2</v>
      </c>
      <c r="B12" s="4" t="s">
        <v>2594</v>
      </c>
      <c r="C12" s="5">
        <v>1</v>
      </c>
      <c r="D12" s="7">
        <v>0</v>
      </c>
      <c r="E12" s="3">
        <f t="shared" si="0"/>
        <v>1</v>
      </c>
      <c r="F12" s="3" t="s">
        <v>867</v>
      </c>
      <c r="G12" s="77">
        <v>312.85000000000002</v>
      </c>
      <c r="H12" s="5" t="s">
        <v>1</v>
      </c>
      <c r="I12" s="78">
        <f t="shared" si="1"/>
        <v>312.85000000000002</v>
      </c>
      <c r="J12" s="110">
        <f t="shared" si="2"/>
        <v>75</v>
      </c>
      <c r="K12" s="4">
        <v>1</v>
      </c>
      <c r="L12" s="5" t="s">
        <v>1</v>
      </c>
      <c r="M12" s="80">
        <f t="shared" si="3"/>
        <v>1</v>
      </c>
      <c r="N12" s="78">
        <f t="shared" si="4"/>
        <v>75</v>
      </c>
      <c r="O12" s="78">
        <f t="shared" si="5"/>
        <v>387.85</v>
      </c>
      <c r="P12" s="4">
        <v>1.5</v>
      </c>
      <c r="Q12" s="4">
        <v>2</v>
      </c>
      <c r="R12" s="49">
        <v>2.5</v>
      </c>
    </row>
    <row r="13" spans="1:18" x14ac:dyDescent="0.25">
      <c r="A13" s="31">
        <v>5</v>
      </c>
      <c r="B13" s="4" t="s">
        <v>2589</v>
      </c>
      <c r="C13" s="5">
        <v>1</v>
      </c>
      <c r="D13" s="7">
        <v>0</v>
      </c>
      <c r="E13" s="3">
        <f t="shared" si="0"/>
        <v>1</v>
      </c>
      <c r="F13" s="3" t="s">
        <v>867</v>
      </c>
      <c r="G13" s="77">
        <v>85.99</v>
      </c>
      <c r="H13" s="5" t="s">
        <v>1</v>
      </c>
      <c r="I13" s="78">
        <f t="shared" si="1"/>
        <v>85.99</v>
      </c>
      <c r="J13" s="110">
        <f t="shared" si="2"/>
        <v>75</v>
      </c>
      <c r="K13" s="4">
        <v>0.5</v>
      </c>
      <c r="L13" s="5" t="s">
        <v>1</v>
      </c>
      <c r="M13" s="80">
        <f t="shared" si="3"/>
        <v>0.5</v>
      </c>
      <c r="N13" s="78">
        <f t="shared" si="4"/>
        <v>37.5</v>
      </c>
      <c r="O13" s="78">
        <f t="shared" si="5"/>
        <v>123.49</v>
      </c>
      <c r="P13" s="4">
        <v>0.8</v>
      </c>
      <c r="Q13" s="4">
        <v>1</v>
      </c>
      <c r="R13" s="49">
        <v>1.2</v>
      </c>
    </row>
    <row r="14" spans="1:18" x14ac:dyDescent="0.25">
      <c r="A14" s="31">
        <v>6</v>
      </c>
      <c r="B14" s="4" t="s">
        <v>2590</v>
      </c>
      <c r="C14" s="5">
        <v>1</v>
      </c>
      <c r="D14" s="7">
        <v>0</v>
      </c>
      <c r="E14" s="3">
        <f t="shared" si="0"/>
        <v>1</v>
      </c>
      <c r="F14" s="3" t="s">
        <v>867</v>
      </c>
      <c r="G14" s="77">
        <v>85.99</v>
      </c>
      <c r="H14" s="5" t="s">
        <v>1</v>
      </c>
      <c r="I14" s="78">
        <f t="shared" si="1"/>
        <v>85.99</v>
      </c>
      <c r="J14" s="110">
        <f t="shared" si="2"/>
        <v>75</v>
      </c>
      <c r="K14" s="4">
        <v>0.5</v>
      </c>
      <c r="L14" s="5" t="s">
        <v>1</v>
      </c>
      <c r="M14" s="80">
        <f t="shared" si="3"/>
        <v>0.5</v>
      </c>
      <c r="N14" s="78">
        <f t="shared" si="4"/>
        <v>37.5</v>
      </c>
      <c r="O14" s="78">
        <f t="shared" si="5"/>
        <v>123.49</v>
      </c>
      <c r="P14" s="4">
        <v>0.8</v>
      </c>
      <c r="Q14" s="4">
        <v>1</v>
      </c>
      <c r="R14" s="49">
        <v>1.2</v>
      </c>
    </row>
    <row r="15" spans="1:18" x14ac:dyDescent="0.25">
      <c r="A15" s="31">
        <v>7</v>
      </c>
      <c r="B15" s="4" t="s">
        <v>2591</v>
      </c>
      <c r="C15" s="5">
        <v>1</v>
      </c>
      <c r="D15" s="7">
        <v>0</v>
      </c>
      <c r="E15" s="3">
        <f t="shared" si="0"/>
        <v>1</v>
      </c>
      <c r="F15" s="3" t="s">
        <v>867</v>
      </c>
      <c r="G15" s="77">
        <v>149.36000000000001</v>
      </c>
      <c r="H15" s="5" t="s">
        <v>1</v>
      </c>
      <c r="I15" s="78">
        <f t="shared" si="1"/>
        <v>149.36000000000001</v>
      </c>
      <c r="J15" s="110">
        <f t="shared" si="2"/>
        <v>75</v>
      </c>
      <c r="K15" s="4">
        <v>1</v>
      </c>
      <c r="L15" s="5" t="s">
        <v>1</v>
      </c>
      <c r="M15" s="80">
        <f t="shared" si="3"/>
        <v>1</v>
      </c>
      <c r="N15" s="78">
        <f t="shared" si="4"/>
        <v>75</v>
      </c>
      <c r="O15" s="78">
        <f t="shared" si="5"/>
        <v>224.36</v>
      </c>
      <c r="P15" s="4">
        <v>1.5</v>
      </c>
      <c r="Q15" s="4">
        <v>2</v>
      </c>
      <c r="R15" s="49">
        <v>2.5</v>
      </c>
    </row>
    <row r="16" spans="1:18" x14ac:dyDescent="0.25">
      <c r="A16" s="31">
        <v>8</v>
      </c>
      <c r="B16" s="4" t="s">
        <v>2592</v>
      </c>
      <c r="C16" s="5">
        <v>1</v>
      </c>
      <c r="D16" s="7">
        <v>0</v>
      </c>
      <c r="E16" s="3">
        <f t="shared" si="0"/>
        <v>1</v>
      </c>
      <c r="F16" s="3" t="s">
        <v>867</v>
      </c>
      <c r="G16" s="77">
        <v>298.99</v>
      </c>
      <c r="H16" s="5" t="s">
        <v>1</v>
      </c>
      <c r="I16" s="78">
        <f t="shared" si="1"/>
        <v>298.99</v>
      </c>
      <c r="J16" s="110">
        <f t="shared" si="2"/>
        <v>75</v>
      </c>
      <c r="K16" s="4">
        <v>1.5</v>
      </c>
      <c r="L16" s="5" t="s">
        <v>1</v>
      </c>
      <c r="M16" s="80">
        <f t="shared" si="3"/>
        <v>1.5</v>
      </c>
      <c r="N16" s="78">
        <f t="shared" si="4"/>
        <v>112.5</v>
      </c>
      <c r="O16" s="78">
        <f t="shared" si="5"/>
        <v>411.49</v>
      </c>
      <c r="P16" s="4">
        <v>2</v>
      </c>
      <c r="Q16" s="4">
        <v>2.5</v>
      </c>
      <c r="R16" s="49">
        <v>3</v>
      </c>
    </row>
    <row r="17" spans="1:18" x14ac:dyDescent="0.25">
      <c r="A17" s="31">
        <v>9</v>
      </c>
      <c r="B17" s="4" t="s">
        <v>2593</v>
      </c>
      <c r="C17" s="5">
        <v>1</v>
      </c>
      <c r="D17" s="7">
        <v>0</v>
      </c>
      <c r="E17" s="3">
        <f t="shared" si="0"/>
        <v>1</v>
      </c>
      <c r="F17" s="3" t="s">
        <v>867</v>
      </c>
      <c r="G17" s="77">
        <v>98.25</v>
      </c>
      <c r="H17" s="5" t="s">
        <v>1</v>
      </c>
      <c r="I17" s="78">
        <f t="shared" si="1"/>
        <v>98.25</v>
      </c>
      <c r="J17" s="110">
        <f t="shared" si="2"/>
        <v>75</v>
      </c>
      <c r="K17" s="4">
        <v>0.5</v>
      </c>
      <c r="L17" s="5" t="s">
        <v>1</v>
      </c>
      <c r="M17" s="80">
        <f t="shared" si="3"/>
        <v>0.5</v>
      </c>
      <c r="N17" s="78">
        <f t="shared" si="4"/>
        <v>37.5</v>
      </c>
      <c r="O17" s="78">
        <f t="shared" si="5"/>
        <v>135.75</v>
      </c>
      <c r="P17" s="4">
        <v>0.65</v>
      </c>
      <c r="Q17" s="4">
        <v>0.8</v>
      </c>
      <c r="R17" s="49">
        <v>1</v>
      </c>
    </row>
    <row r="18" spans="1:18" x14ac:dyDescent="0.25">
      <c r="A18" s="31"/>
      <c r="B18" s="4"/>
      <c r="C18" s="5"/>
      <c r="D18" s="7"/>
      <c r="E18" s="3"/>
      <c r="F18" s="3"/>
      <c r="G18" s="77"/>
      <c r="H18" s="5"/>
      <c r="I18" s="78"/>
      <c r="J18" s="110"/>
      <c r="K18" s="4"/>
      <c r="L18" s="5"/>
      <c r="M18" s="80"/>
      <c r="N18" s="78"/>
      <c r="O18" s="78"/>
      <c r="P18" s="4"/>
      <c r="Q18" s="4"/>
      <c r="R18" s="49"/>
    </row>
  </sheetData>
  <mergeCells count="1">
    <mergeCell ref="M4:N4"/>
  </mergeCells>
  <pageMargins left="0.7" right="0.7" top="0.75" bottom="0.75" header="0.3" footer="0.3"/>
  <pageSetup scale="46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71"/>
  <sheetViews>
    <sheetView view="pageBreakPreview" topLeftCell="A162" zoomScale="90" zoomScaleNormal="90" zoomScaleSheetLayoutView="90" workbookViewId="0">
      <selection activeCell="A231" sqref="A231:XFD231"/>
    </sheetView>
  </sheetViews>
  <sheetFormatPr defaultColWidth="9.140625" defaultRowHeight="15" x14ac:dyDescent="0.25"/>
  <cols>
    <col min="1" max="1" width="4.42578125" style="2" bestFit="1" customWidth="1"/>
    <col min="2" max="2" width="45.85546875" style="1" bestFit="1" customWidth="1"/>
    <col min="3" max="3" width="10" style="2" bestFit="1" customWidth="1"/>
    <col min="4" max="5" width="9.85546875" style="2" bestFit="1" customWidth="1"/>
    <col min="6" max="6" width="5.85546875" style="2" bestFit="1" customWidth="1"/>
    <col min="7" max="7" width="11.85546875" style="10" bestFit="1" customWidth="1"/>
    <col min="8" max="8" width="5.7109375" style="2" bestFit="1" customWidth="1"/>
    <col min="9" max="9" width="10" style="10" bestFit="1" customWidth="1"/>
    <col min="10" max="10" width="7" style="1" bestFit="1" customWidth="1"/>
    <col min="11" max="11" width="6.85546875" style="46" bestFit="1" customWidth="1"/>
    <col min="12" max="12" width="5.28515625" style="2" bestFit="1" customWidth="1"/>
    <col min="13" max="13" width="7.28515625" style="46" bestFit="1" customWidth="1"/>
    <col min="14" max="14" width="7.42578125" style="1" bestFit="1" customWidth="1"/>
    <col min="15" max="15" width="9.140625" style="43" bestFit="1" customWidth="1"/>
    <col min="16" max="17" width="7.85546875" style="1" customWidth="1"/>
    <col min="18" max="18" width="7.5703125" style="170" bestFit="1" customWidth="1"/>
    <col min="19" max="19" width="8.140625" style="225" bestFit="1" customWidth="1"/>
    <col min="20" max="20" width="9.28515625" style="1" customWidth="1"/>
    <col min="21" max="21" width="11.28515625" style="1" bestFit="1" customWidth="1"/>
    <col min="22" max="16384" width="9.140625" style="1"/>
  </cols>
  <sheetData>
    <row r="1" spans="1:21" x14ac:dyDescent="0.25">
      <c r="D1" s="1"/>
      <c r="E1" s="1"/>
      <c r="F1" s="1"/>
      <c r="I1" s="43"/>
      <c r="K1" s="1"/>
      <c r="M1" s="1"/>
      <c r="N1" s="43"/>
    </row>
    <row r="2" spans="1:21" x14ac:dyDescent="0.25">
      <c r="D2" s="1"/>
      <c r="E2" s="1"/>
      <c r="F2" s="1"/>
      <c r="I2" s="43"/>
      <c r="K2" s="1"/>
      <c r="M2" s="1"/>
      <c r="N2" s="43"/>
    </row>
    <row r="3" spans="1:21" ht="15.75" thickBot="1" x14ac:dyDescent="0.3">
      <c r="D3" s="1"/>
      <c r="E3" s="1"/>
      <c r="F3" s="1"/>
      <c r="I3" s="43"/>
      <c r="K3" s="1"/>
      <c r="M3" s="1"/>
      <c r="N3" s="43"/>
    </row>
    <row r="4" spans="1:21" ht="16.5" thickBot="1" x14ac:dyDescent="0.3">
      <c r="D4" s="1"/>
      <c r="E4" s="1"/>
      <c r="F4" s="1"/>
      <c r="I4" s="43"/>
      <c r="K4" s="1"/>
      <c r="M4" s="253" t="s">
        <v>1199</v>
      </c>
      <c r="N4" s="254"/>
      <c r="O4" s="108">
        <v>75</v>
      </c>
    </row>
    <row r="5" spans="1:21" ht="44.25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285</v>
      </c>
      <c r="L5" s="82" t="s">
        <v>284</v>
      </c>
      <c r="M5" s="81" t="s">
        <v>286</v>
      </c>
      <c r="N5" s="83" t="s">
        <v>871</v>
      </c>
      <c r="O5" s="84" t="s">
        <v>872</v>
      </c>
      <c r="P5" s="109" t="s">
        <v>288</v>
      </c>
      <c r="Q5" s="84" t="s">
        <v>289</v>
      </c>
      <c r="R5" s="171" t="s">
        <v>290</v>
      </c>
      <c r="S5" s="226" t="s">
        <v>291</v>
      </c>
      <c r="T5" s="84" t="s">
        <v>292</v>
      </c>
      <c r="U5" s="109" t="s">
        <v>1200</v>
      </c>
    </row>
    <row r="6" spans="1:21" ht="15.75" thickBot="1" x14ac:dyDescent="0.3">
      <c r="A6" s="31"/>
      <c r="B6" s="6"/>
      <c r="C6" s="6"/>
      <c r="D6" s="6"/>
      <c r="E6" s="6"/>
      <c r="F6" s="6"/>
      <c r="G6" s="11"/>
      <c r="H6" s="6"/>
      <c r="I6" s="11"/>
      <c r="J6" s="6"/>
      <c r="K6" s="44"/>
      <c r="L6" s="6"/>
      <c r="M6" s="44"/>
      <c r="N6" s="4"/>
      <c r="O6" s="42"/>
      <c r="P6" s="136"/>
      <c r="Q6" s="119"/>
      <c r="R6" s="172"/>
      <c r="S6" s="227"/>
      <c r="T6" s="119"/>
      <c r="U6" s="139"/>
    </row>
    <row r="7" spans="1:21" ht="15.75" thickBot="1" x14ac:dyDescent="0.3">
      <c r="A7" s="32"/>
      <c r="B7" s="145" t="s">
        <v>275</v>
      </c>
      <c r="C7" s="5"/>
      <c r="D7" s="5"/>
      <c r="E7" s="5"/>
      <c r="F7" s="5"/>
      <c r="G7" s="9"/>
      <c r="H7" s="5"/>
      <c r="I7" s="9"/>
      <c r="J7" s="4"/>
      <c r="K7" s="15"/>
      <c r="L7" s="5"/>
      <c r="M7" s="15"/>
      <c r="N7" s="4"/>
      <c r="O7" s="42"/>
      <c r="P7" s="125"/>
      <c r="Q7" s="49"/>
      <c r="R7" s="173"/>
      <c r="S7" s="228"/>
      <c r="T7" s="49"/>
      <c r="U7" s="138"/>
    </row>
    <row r="8" spans="1:21" x14ac:dyDescent="0.25">
      <c r="A8" s="31"/>
      <c r="B8" s="4"/>
      <c r="C8" s="5"/>
      <c r="D8" s="7"/>
      <c r="E8" s="3"/>
      <c r="F8" s="3"/>
      <c r="G8" s="77"/>
      <c r="H8" s="5"/>
      <c r="I8" s="78"/>
      <c r="J8" s="110"/>
      <c r="K8" s="4"/>
      <c r="L8" s="5"/>
      <c r="M8" s="80"/>
      <c r="N8" s="78"/>
      <c r="O8" s="111"/>
      <c r="P8" s="125"/>
      <c r="Q8" s="49"/>
      <c r="R8" s="173"/>
      <c r="S8" s="228"/>
      <c r="T8" s="49"/>
      <c r="U8" s="138"/>
    </row>
    <row r="9" spans="1:21" x14ac:dyDescent="0.25">
      <c r="A9" s="31">
        <v>1</v>
      </c>
      <c r="B9" s="4" t="s">
        <v>176</v>
      </c>
      <c r="C9" s="5">
        <v>1</v>
      </c>
      <c r="D9" s="7">
        <v>0</v>
      </c>
      <c r="E9" s="3">
        <v>1</v>
      </c>
      <c r="F9" s="3" t="s">
        <v>867</v>
      </c>
      <c r="G9" s="77">
        <v>43.5</v>
      </c>
      <c r="H9" s="5" t="s">
        <v>1</v>
      </c>
      <c r="I9" s="78">
        <f t="shared" ref="I9:I25" si="0">G9*E9</f>
        <v>43.5</v>
      </c>
      <c r="J9" s="110">
        <f>$O$4</f>
        <v>75</v>
      </c>
      <c r="K9" s="4">
        <v>0.15</v>
      </c>
      <c r="L9" s="5" t="s">
        <v>1</v>
      </c>
      <c r="M9" s="80">
        <f t="shared" ref="M9:M25" si="1">K9*E9</f>
        <v>0.15</v>
      </c>
      <c r="N9" s="78">
        <f t="shared" ref="N9:N25" si="2">M9*J9</f>
        <v>11.25</v>
      </c>
      <c r="O9" s="111">
        <f t="shared" ref="O9:O25" si="3">N9+I9</f>
        <v>54.75</v>
      </c>
      <c r="P9" s="125">
        <v>0.19</v>
      </c>
      <c r="Q9" s="49">
        <v>0.23</v>
      </c>
      <c r="R9" s="173">
        <v>0.32</v>
      </c>
      <c r="S9" s="228">
        <v>0.4</v>
      </c>
      <c r="T9" s="49">
        <v>0.48</v>
      </c>
      <c r="U9" s="138">
        <v>147990</v>
      </c>
    </row>
    <row r="10" spans="1:21" x14ac:dyDescent="0.25">
      <c r="A10" s="31">
        <v>2</v>
      </c>
      <c r="B10" s="4" t="s">
        <v>179</v>
      </c>
      <c r="C10" s="5">
        <v>1</v>
      </c>
      <c r="D10" s="7">
        <v>0</v>
      </c>
      <c r="E10" s="3">
        <f t="shared" ref="E10:E25" si="4">C10+(C10*D10)</f>
        <v>1</v>
      </c>
      <c r="F10" s="3" t="s">
        <v>867</v>
      </c>
      <c r="G10" s="77">
        <v>43.5</v>
      </c>
      <c r="H10" s="5" t="s">
        <v>1</v>
      </c>
      <c r="I10" s="78">
        <f t="shared" si="0"/>
        <v>43.5</v>
      </c>
      <c r="J10" s="110">
        <f t="shared" ref="J10:J25" si="5">$O$4</f>
        <v>75</v>
      </c>
      <c r="K10" s="4">
        <v>0.15</v>
      </c>
      <c r="L10" s="5" t="s">
        <v>1</v>
      </c>
      <c r="M10" s="80">
        <f t="shared" si="1"/>
        <v>0.15</v>
      </c>
      <c r="N10" s="78">
        <f t="shared" si="2"/>
        <v>11.25</v>
      </c>
      <c r="O10" s="111">
        <f t="shared" si="3"/>
        <v>54.75</v>
      </c>
      <c r="P10" s="125">
        <v>0.19</v>
      </c>
      <c r="Q10" s="49">
        <v>0.23</v>
      </c>
      <c r="R10" s="173">
        <v>0.34</v>
      </c>
      <c r="S10" s="228">
        <v>0.43</v>
      </c>
      <c r="T10" s="49">
        <v>0.51</v>
      </c>
      <c r="U10" s="138">
        <v>147993</v>
      </c>
    </row>
    <row r="11" spans="1:21" x14ac:dyDescent="0.25">
      <c r="A11" s="31">
        <v>3</v>
      </c>
      <c r="B11" s="4" t="s">
        <v>182</v>
      </c>
      <c r="C11" s="5">
        <v>1</v>
      </c>
      <c r="D11" s="7">
        <v>0</v>
      </c>
      <c r="E11" s="3">
        <f t="shared" si="4"/>
        <v>1</v>
      </c>
      <c r="F11" s="3" t="s">
        <v>867</v>
      </c>
      <c r="G11" s="77">
        <v>43.5</v>
      </c>
      <c r="H11" s="5" t="s">
        <v>1</v>
      </c>
      <c r="I11" s="78">
        <f t="shared" si="0"/>
        <v>43.5</v>
      </c>
      <c r="J11" s="110">
        <f t="shared" si="5"/>
        <v>75</v>
      </c>
      <c r="K11" s="4">
        <v>0.15</v>
      </c>
      <c r="L11" s="5" t="s">
        <v>1</v>
      </c>
      <c r="M11" s="80">
        <f t="shared" si="1"/>
        <v>0.15</v>
      </c>
      <c r="N11" s="78">
        <f t="shared" si="2"/>
        <v>11.25</v>
      </c>
      <c r="O11" s="111">
        <f t="shared" si="3"/>
        <v>54.75</v>
      </c>
      <c r="P11" s="125">
        <v>0.19</v>
      </c>
      <c r="Q11" s="49">
        <v>0.23</v>
      </c>
      <c r="R11" s="173">
        <v>0.38</v>
      </c>
      <c r="S11" s="228">
        <v>0.48</v>
      </c>
      <c r="T11" s="49">
        <v>0.56999999999999995</v>
      </c>
      <c r="U11" s="138">
        <v>147996</v>
      </c>
    </row>
    <row r="12" spans="1:21" x14ac:dyDescent="0.25">
      <c r="A12" s="31">
        <v>4</v>
      </c>
      <c r="B12" s="4" t="s">
        <v>183</v>
      </c>
      <c r="C12" s="5">
        <v>1</v>
      </c>
      <c r="D12" s="7">
        <v>0</v>
      </c>
      <c r="E12" s="3">
        <f t="shared" si="4"/>
        <v>1</v>
      </c>
      <c r="F12" s="3" t="s">
        <v>867</v>
      </c>
      <c r="G12" s="77">
        <v>43.5</v>
      </c>
      <c r="H12" s="5" t="s">
        <v>1</v>
      </c>
      <c r="I12" s="78">
        <f t="shared" si="0"/>
        <v>43.5</v>
      </c>
      <c r="J12" s="110">
        <f t="shared" si="5"/>
        <v>75</v>
      </c>
      <c r="K12" s="4">
        <v>0.15</v>
      </c>
      <c r="L12" s="5" t="s">
        <v>1</v>
      </c>
      <c r="M12" s="80">
        <f t="shared" si="1"/>
        <v>0.15</v>
      </c>
      <c r="N12" s="78">
        <f t="shared" si="2"/>
        <v>11.25</v>
      </c>
      <c r="O12" s="111">
        <f t="shared" si="3"/>
        <v>54.75</v>
      </c>
      <c r="P12" s="125">
        <v>0.19</v>
      </c>
      <c r="Q12" s="49">
        <v>0.23</v>
      </c>
      <c r="R12" s="173">
        <v>0.38</v>
      </c>
      <c r="S12" s="228">
        <v>0.48</v>
      </c>
      <c r="T12" s="49">
        <v>0.56999999999999995</v>
      </c>
      <c r="U12" s="138">
        <v>147999</v>
      </c>
    </row>
    <row r="13" spans="1:21" x14ac:dyDescent="0.25">
      <c r="A13" s="31">
        <v>5</v>
      </c>
      <c r="B13" s="4" t="s">
        <v>184</v>
      </c>
      <c r="C13" s="5">
        <v>1</v>
      </c>
      <c r="D13" s="7">
        <v>0</v>
      </c>
      <c r="E13" s="3">
        <f t="shared" si="4"/>
        <v>1</v>
      </c>
      <c r="F13" s="3" t="s">
        <v>867</v>
      </c>
      <c r="G13" s="77">
        <v>43.5</v>
      </c>
      <c r="H13" s="5" t="s">
        <v>1</v>
      </c>
      <c r="I13" s="78">
        <f t="shared" si="0"/>
        <v>43.5</v>
      </c>
      <c r="J13" s="110">
        <f t="shared" si="5"/>
        <v>75</v>
      </c>
      <c r="K13" s="4">
        <v>0.15</v>
      </c>
      <c r="L13" s="5" t="s">
        <v>1</v>
      </c>
      <c r="M13" s="80">
        <f t="shared" si="1"/>
        <v>0.15</v>
      </c>
      <c r="N13" s="78">
        <f t="shared" si="2"/>
        <v>11.25</v>
      </c>
      <c r="O13" s="111">
        <f t="shared" si="3"/>
        <v>54.75</v>
      </c>
      <c r="P13" s="125">
        <v>0.19</v>
      </c>
      <c r="Q13" s="49">
        <v>0.23</v>
      </c>
      <c r="R13" s="173">
        <v>0.42</v>
      </c>
      <c r="S13" s="228">
        <v>0.53</v>
      </c>
      <c r="T13" s="49">
        <v>0.63</v>
      </c>
      <c r="U13" s="138">
        <v>148002</v>
      </c>
    </row>
    <row r="14" spans="1:21" x14ac:dyDescent="0.25">
      <c r="A14" s="31">
        <v>6</v>
      </c>
      <c r="B14" s="4" t="s">
        <v>185</v>
      </c>
      <c r="C14" s="5">
        <v>1</v>
      </c>
      <c r="D14" s="7">
        <v>0</v>
      </c>
      <c r="E14" s="3">
        <f t="shared" si="4"/>
        <v>1</v>
      </c>
      <c r="F14" s="3" t="s">
        <v>867</v>
      </c>
      <c r="G14" s="77">
        <v>43.5</v>
      </c>
      <c r="H14" s="5" t="s">
        <v>1</v>
      </c>
      <c r="I14" s="78">
        <f t="shared" si="0"/>
        <v>43.5</v>
      </c>
      <c r="J14" s="110">
        <f t="shared" si="5"/>
        <v>75</v>
      </c>
      <c r="K14" s="4">
        <v>0.15</v>
      </c>
      <c r="L14" s="5" t="s">
        <v>1</v>
      </c>
      <c r="M14" s="80">
        <f t="shared" si="1"/>
        <v>0.15</v>
      </c>
      <c r="N14" s="78">
        <f t="shared" si="2"/>
        <v>11.25</v>
      </c>
      <c r="O14" s="111">
        <f t="shared" si="3"/>
        <v>54.75</v>
      </c>
      <c r="P14" s="125">
        <v>0.19</v>
      </c>
      <c r="Q14" s="49">
        <v>0.23</v>
      </c>
      <c r="R14" s="173">
        <v>0.42</v>
      </c>
      <c r="S14" s="228">
        <v>0.53</v>
      </c>
      <c r="T14" s="49">
        <v>0.63</v>
      </c>
      <c r="U14" s="138">
        <v>148005</v>
      </c>
    </row>
    <row r="15" spans="1:21" x14ac:dyDescent="0.25">
      <c r="A15" s="31">
        <v>7</v>
      </c>
      <c r="B15" s="4" t="s">
        <v>186</v>
      </c>
      <c r="C15" s="5">
        <v>1</v>
      </c>
      <c r="D15" s="7">
        <v>0</v>
      </c>
      <c r="E15" s="3">
        <f t="shared" si="4"/>
        <v>1</v>
      </c>
      <c r="F15" s="3" t="s">
        <v>867</v>
      </c>
      <c r="G15" s="77">
        <v>43.5</v>
      </c>
      <c r="H15" s="5" t="s">
        <v>1</v>
      </c>
      <c r="I15" s="78">
        <f t="shared" si="0"/>
        <v>43.5</v>
      </c>
      <c r="J15" s="110">
        <f t="shared" si="5"/>
        <v>75</v>
      </c>
      <c r="K15" s="4">
        <v>0.15</v>
      </c>
      <c r="L15" s="5" t="s">
        <v>1</v>
      </c>
      <c r="M15" s="80">
        <f t="shared" si="1"/>
        <v>0.15</v>
      </c>
      <c r="N15" s="78">
        <f t="shared" si="2"/>
        <v>11.25</v>
      </c>
      <c r="O15" s="111">
        <f t="shared" si="3"/>
        <v>54.75</v>
      </c>
      <c r="P15" s="125">
        <v>0.19</v>
      </c>
      <c r="Q15" s="49">
        <v>0.23</v>
      </c>
      <c r="R15" s="173">
        <v>0.42</v>
      </c>
      <c r="S15" s="228">
        <v>0.53</v>
      </c>
      <c r="T15" s="49">
        <v>0.63</v>
      </c>
      <c r="U15" s="138">
        <v>148008</v>
      </c>
    </row>
    <row r="16" spans="1:21" x14ac:dyDescent="0.25">
      <c r="A16" s="31">
        <v>8</v>
      </c>
      <c r="B16" s="4" t="s">
        <v>187</v>
      </c>
      <c r="C16" s="5">
        <v>1</v>
      </c>
      <c r="D16" s="7">
        <v>0</v>
      </c>
      <c r="E16" s="3">
        <f t="shared" si="4"/>
        <v>1</v>
      </c>
      <c r="F16" s="3" t="s">
        <v>867</v>
      </c>
      <c r="G16" s="77">
        <v>43.5</v>
      </c>
      <c r="H16" s="5" t="s">
        <v>1</v>
      </c>
      <c r="I16" s="78">
        <f t="shared" si="0"/>
        <v>43.5</v>
      </c>
      <c r="J16" s="110">
        <f t="shared" si="5"/>
        <v>75</v>
      </c>
      <c r="K16" s="4">
        <v>0.15</v>
      </c>
      <c r="L16" s="5" t="s">
        <v>1</v>
      </c>
      <c r="M16" s="80">
        <f t="shared" si="1"/>
        <v>0.15</v>
      </c>
      <c r="N16" s="78">
        <f t="shared" si="2"/>
        <v>11.25</v>
      </c>
      <c r="O16" s="111">
        <f t="shared" si="3"/>
        <v>54.75</v>
      </c>
      <c r="P16" s="125">
        <v>0.19</v>
      </c>
      <c r="Q16" s="49">
        <v>0.23</v>
      </c>
      <c r="R16" s="173">
        <v>0.42</v>
      </c>
      <c r="S16" s="228">
        <v>0.53</v>
      </c>
      <c r="T16" s="49">
        <v>0.63</v>
      </c>
      <c r="U16" s="138">
        <v>148011</v>
      </c>
    </row>
    <row r="17" spans="1:21" x14ac:dyDescent="0.25">
      <c r="A17" s="31">
        <v>9</v>
      </c>
      <c r="B17" s="4" t="s">
        <v>188</v>
      </c>
      <c r="C17" s="5">
        <v>1</v>
      </c>
      <c r="D17" s="7">
        <v>0</v>
      </c>
      <c r="E17" s="3">
        <f t="shared" si="4"/>
        <v>1</v>
      </c>
      <c r="F17" s="3" t="s">
        <v>867</v>
      </c>
      <c r="G17" s="77">
        <v>43.5</v>
      </c>
      <c r="H17" s="5" t="s">
        <v>1</v>
      </c>
      <c r="I17" s="78">
        <f t="shared" si="0"/>
        <v>43.5</v>
      </c>
      <c r="J17" s="110">
        <f t="shared" si="5"/>
        <v>75</v>
      </c>
      <c r="K17" s="4">
        <v>0.15</v>
      </c>
      <c r="L17" s="5" t="s">
        <v>1</v>
      </c>
      <c r="M17" s="80">
        <f t="shared" si="1"/>
        <v>0.15</v>
      </c>
      <c r="N17" s="78">
        <f t="shared" si="2"/>
        <v>11.25</v>
      </c>
      <c r="O17" s="111">
        <f t="shared" si="3"/>
        <v>54.75</v>
      </c>
      <c r="P17" s="125">
        <v>0.19</v>
      </c>
      <c r="Q17" s="49">
        <v>0.23</v>
      </c>
      <c r="R17" s="173">
        <v>0.47</v>
      </c>
      <c r="S17" s="228">
        <v>0.59</v>
      </c>
      <c r="T17" s="49">
        <v>0.71</v>
      </c>
      <c r="U17" s="138">
        <v>148014</v>
      </c>
    </row>
    <row r="18" spans="1:21" x14ac:dyDescent="0.25">
      <c r="A18" s="31">
        <v>10</v>
      </c>
      <c r="B18" s="4" t="s">
        <v>189</v>
      </c>
      <c r="C18" s="5">
        <v>1</v>
      </c>
      <c r="D18" s="7">
        <v>0</v>
      </c>
      <c r="E18" s="3">
        <f t="shared" si="4"/>
        <v>1</v>
      </c>
      <c r="F18" s="3" t="s">
        <v>867</v>
      </c>
      <c r="G18" s="77">
        <v>43.5</v>
      </c>
      <c r="H18" s="5" t="s">
        <v>1</v>
      </c>
      <c r="I18" s="78">
        <f t="shared" si="0"/>
        <v>43.5</v>
      </c>
      <c r="J18" s="110">
        <f t="shared" si="5"/>
        <v>75</v>
      </c>
      <c r="K18" s="4">
        <v>0.15</v>
      </c>
      <c r="L18" s="5" t="s">
        <v>1</v>
      </c>
      <c r="M18" s="80">
        <f t="shared" si="1"/>
        <v>0.15</v>
      </c>
      <c r="N18" s="78">
        <f t="shared" si="2"/>
        <v>11.25</v>
      </c>
      <c r="O18" s="111">
        <f t="shared" si="3"/>
        <v>54.75</v>
      </c>
      <c r="P18" s="125">
        <v>0.19</v>
      </c>
      <c r="Q18" s="49">
        <v>0.23</v>
      </c>
      <c r="R18" s="173">
        <v>0.47</v>
      </c>
      <c r="S18" s="228">
        <v>0.59</v>
      </c>
      <c r="T18" s="49">
        <v>0.71</v>
      </c>
      <c r="U18" s="138">
        <v>148017</v>
      </c>
    </row>
    <row r="19" spans="1:21" x14ac:dyDescent="0.25">
      <c r="A19" s="31">
        <v>11</v>
      </c>
      <c r="B19" s="4" t="s">
        <v>190</v>
      </c>
      <c r="C19" s="5">
        <v>1</v>
      </c>
      <c r="D19" s="7">
        <v>0</v>
      </c>
      <c r="E19" s="3">
        <f t="shared" si="4"/>
        <v>1</v>
      </c>
      <c r="F19" s="3" t="s">
        <v>867</v>
      </c>
      <c r="G19" s="77">
        <v>43.5</v>
      </c>
      <c r="H19" s="5" t="s">
        <v>1</v>
      </c>
      <c r="I19" s="78">
        <f t="shared" si="0"/>
        <v>43.5</v>
      </c>
      <c r="J19" s="110">
        <f t="shared" si="5"/>
        <v>75</v>
      </c>
      <c r="K19" s="4">
        <v>0.15</v>
      </c>
      <c r="L19" s="5" t="s">
        <v>1</v>
      </c>
      <c r="M19" s="80">
        <f t="shared" si="1"/>
        <v>0.15</v>
      </c>
      <c r="N19" s="78">
        <f t="shared" si="2"/>
        <v>11.25</v>
      </c>
      <c r="O19" s="111">
        <f t="shared" si="3"/>
        <v>54.75</v>
      </c>
      <c r="P19" s="125">
        <v>0.19</v>
      </c>
      <c r="Q19" s="49">
        <v>0.23</v>
      </c>
      <c r="R19" s="173">
        <v>0.53</v>
      </c>
      <c r="S19" s="228">
        <v>0.66</v>
      </c>
      <c r="T19" s="49">
        <v>0.8</v>
      </c>
      <c r="U19" s="138">
        <v>148020</v>
      </c>
    </row>
    <row r="20" spans="1:21" x14ac:dyDescent="0.25">
      <c r="A20" s="31">
        <v>12</v>
      </c>
      <c r="B20" s="4" t="s">
        <v>191</v>
      </c>
      <c r="C20" s="5">
        <v>1</v>
      </c>
      <c r="D20" s="7">
        <v>0</v>
      </c>
      <c r="E20" s="3">
        <f t="shared" si="4"/>
        <v>1</v>
      </c>
      <c r="F20" s="3" t="s">
        <v>867</v>
      </c>
      <c r="G20" s="77">
        <v>342.75</v>
      </c>
      <c r="H20" s="5" t="s">
        <v>1</v>
      </c>
      <c r="I20" s="78">
        <f t="shared" si="0"/>
        <v>342.75</v>
      </c>
      <c r="J20" s="110">
        <f t="shared" si="5"/>
        <v>75</v>
      </c>
      <c r="K20" s="4">
        <v>0.25</v>
      </c>
      <c r="L20" s="5" t="s">
        <v>1</v>
      </c>
      <c r="M20" s="80">
        <f t="shared" si="1"/>
        <v>0.25</v>
      </c>
      <c r="N20" s="78">
        <f t="shared" si="2"/>
        <v>18.75</v>
      </c>
      <c r="O20" s="111">
        <f t="shared" si="3"/>
        <v>361.5</v>
      </c>
      <c r="P20" s="125">
        <v>0.31</v>
      </c>
      <c r="Q20" s="49">
        <v>0.38</v>
      </c>
      <c r="R20" s="173">
        <v>0.47</v>
      </c>
      <c r="S20" s="228">
        <v>0.65</v>
      </c>
      <c r="T20" s="49">
        <v>0.83</v>
      </c>
      <c r="U20" s="138">
        <v>148023</v>
      </c>
    </row>
    <row r="21" spans="1:21" x14ac:dyDescent="0.25">
      <c r="A21" s="31">
        <v>13</v>
      </c>
      <c r="B21" s="4" t="s">
        <v>192</v>
      </c>
      <c r="C21" s="5">
        <v>1</v>
      </c>
      <c r="D21" s="7">
        <v>0</v>
      </c>
      <c r="E21" s="3">
        <f t="shared" si="4"/>
        <v>1</v>
      </c>
      <c r="F21" s="3" t="s">
        <v>867</v>
      </c>
      <c r="G21" s="77">
        <v>357</v>
      </c>
      <c r="H21" s="5" t="s">
        <v>1</v>
      </c>
      <c r="I21" s="78">
        <f t="shared" si="0"/>
        <v>357</v>
      </c>
      <c r="J21" s="110">
        <f t="shared" si="5"/>
        <v>75</v>
      </c>
      <c r="K21" s="4">
        <v>0.25</v>
      </c>
      <c r="L21" s="5" t="s">
        <v>1</v>
      </c>
      <c r="M21" s="80">
        <f t="shared" si="1"/>
        <v>0.25</v>
      </c>
      <c r="N21" s="78">
        <f t="shared" si="2"/>
        <v>18.75</v>
      </c>
      <c r="O21" s="111">
        <f t="shared" si="3"/>
        <v>375.75</v>
      </c>
      <c r="P21" s="125">
        <v>0.31</v>
      </c>
      <c r="Q21" s="49">
        <v>0.38</v>
      </c>
      <c r="R21" s="173">
        <v>0.49</v>
      </c>
      <c r="S21" s="228">
        <v>0.68</v>
      </c>
      <c r="T21" s="49">
        <v>0.86</v>
      </c>
      <c r="U21" s="138">
        <v>148026</v>
      </c>
    </row>
    <row r="22" spans="1:21" x14ac:dyDescent="0.25">
      <c r="A22" s="31">
        <v>14</v>
      </c>
      <c r="B22" s="4" t="s">
        <v>193</v>
      </c>
      <c r="C22" s="5">
        <v>1</v>
      </c>
      <c r="D22" s="7">
        <v>0</v>
      </c>
      <c r="E22" s="3">
        <f t="shared" si="4"/>
        <v>1</v>
      </c>
      <c r="F22" s="3" t="s">
        <v>867</v>
      </c>
      <c r="G22" s="77">
        <v>372</v>
      </c>
      <c r="H22" s="5" t="s">
        <v>1</v>
      </c>
      <c r="I22" s="78">
        <f t="shared" si="0"/>
        <v>372</v>
      </c>
      <c r="J22" s="110">
        <f t="shared" si="5"/>
        <v>75</v>
      </c>
      <c r="K22" s="4">
        <v>0.25</v>
      </c>
      <c r="L22" s="5" t="s">
        <v>1</v>
      </c>
      <c r="M22" s="80">
        <f t="shared" si="1"/>
        <v>0.25</v>
      </c>
      <c r="N22" s="78">
        <f t="shared" si="2"/>
        <v>18.75</v>
      </c>
      <c r="O22" s="111">
        <f t="shared" si="3"/>
        <v>390.75</v>
      </c>
      <c r="P22" s="125">
        <v>0.31</v>
      </c>
      <c r="Q22" s="49">
        <v>0.38</v>
      </c>
      <c r="R22" s="173">
        <v>0.53</v>
      </c>
      <c r="S22" s="228">
        <v>0.73</v>
      </c>
      <c r="T22" s="49">
        <v>0.92</v>
      </c>
      <c r="U22" s="138">
        <v>148029</v>
      </c>
    </row>
    <row r="23" spans="1:21" x14ac:dyDescent="0.25">
      <c r="A23" s="31">
        <v>15</v>
      </c>
      <c r="B23" s="4" t="s">
        <v>194</v>
      </c>
      <c r="C23" s="5">
        <v>1</v>
      </c>
      <c r="D23" s="7">
        <v>0</v>
      </c>
      <c r="E23" s="3">
        <f t="shared" si="4"/>
        <v>1</v>
      </c>
      <c r="F23" s="3" t="s">
        <v>867</v>
      </c>
      <c r="G23" s="77">
        <v>372</v>
      </c>
      <c r="H23" s="5" t="s">
        <v>1</v>
      </c>
      <c r="I23" s="78">
        <f t="shared" si="0"/>
        <v>372</v>
      </c>
      <c r="J23" s="110">
        <f t="shared" si="5"/>
        <v>75</v>
      </c>
      <c r="K23" s="4">
        <v>0.25</v>
      </c>
      <c r="L23" s="5" t="s">
        <v>1</v>
      </c>
      <c r="M23" s="80">
        <f t="shared" si="1"/>
        <v>0.25</v>
      </c>
      <c r="N23" s="78">
        <f t="shared" si="2"/>
        <v>18.75</v>
      </c>
      <c r="O23" s="111">
        <f t="shared" si="3"/>
        <v>390.75</v>
      </c>
      <c r="P23" s="125">
        <v>0.31</v>
      </c>
      <c r="Q23" s="49">
        <v>0.38</v>
      </c>
      <c r="R23" s="173">
        <v>0.53</v>
      </c>
      <c r="S23" s="228">
        <v>0.73</v>
      </c>
      <c r="T23" s="49">
        <v>0.92</v>
      </c>
      <c r="U23" s="138">
        <v>148032</v>
      </c>
    </row>
    <row r="24" spans="1:21" x14ac:dyDescent="0.25">
      <c r="A24" s="31">
        <v>16</v>
      </c>
      <c r="B24" s="4" t="s">
        <v>195</v>
      </c>
      <c r="C24" s="5">
        <v>1</v>
      </c>
      <c r="D24" s="7">
        <v>0</v>
      </c>
      <c r="E24" s="3">
        <f t="shared" si="4"/>
        <v>1</v>
      </c>
      <c r="F24" s="3" t="s">
        <v>867</v>
      </c>
      <c r="G24" s="77">
        <v>360</v>
      </c>
      <c r="H24" s="5" t="s">
        <v>1</v>
      </c>
      <c r="I24" s="78">
        <f t="shared" si="0"/>
        <v>360</v>
      </c>
      <c r="J24" s="110">
        <f t="shared" si="5"/>
        <v>75</v>
      </c>
      <c r="K24" s="4">
        <v>0.25</v>
      </c>
      <c r="L24" s="5" t="s">
        <v>1</v>
      </c>
      <c r="M24" s="80">
        <f t="shared" si="1"/>
        <v>0.25</v>
      </c>
      <c r="N24" s="78">
        <f t="shared" si="2"/>
        <v>18.75</v>
      </c>
      <c r="O24" s="111">
        <f t="shared" si="3"/>
        <v>378.75</v>
      </c>
      <c r="P24" s="125">
        <v>0.31</v>
      </c>
      <c r="Q24" s="49">
        <v>0.38</v>
      </c>
      <c r="R24" s="173">
        <v>0.47</v>
      </c>
      <c r="S24" s="228">
        <v>0.65</v>
      </c>
      <c r="T24" s="49">
        <v>0.83</v>
      </c>
      <c r="U24" s="138">
        <v>231666</v>
      </c>
    </row>
    <row r="25" spans="1:21" x14ac:dyDescent="0.25">
      <c r="A25" s="31">
        <v>17</v>
      </c>
      <c r="B25" s="4" t="s">
        <v>196</v>
      </c>
      <c r="C25" s="5">
        <v>1</v>
      </c>
      <c r="D25" s="7">
        <v>0</v>
      </c>
      <c r="E25" s="3">
        <f t="shared" si="4"/>
        <v>1</v>
      </c>
      <c r="F25" s="3" t="s">
        <v>867</v>
      </c>
      <c r="G25" s="77">
        <v>360</v>
      </c>
      <c r="H25" s="5" t="s">
        <v>1</v>
      </c>
      <c r="I25" s="78">
        <f t="shared" si="0"/>
        <v>360</v>
      </c>
      <c r="J25" s="110">
        <f t="shared" si="5"/>
        <v>75</v>
      </c>
      <c r="K25" s="4">
        <v>0.25</v>
      </c>
      <c r="L25" s="5" t="s">
        <v>1</v>
      </c>
      <c r="M25" s="80">
        <f t="shared" si="1"/>
        <v>0.25</v>
      </c>
      <c r="N25" s="78">
        <f t="shared" si="2"/>
        <v>18.75</v>
      </c>
      <c r="O25" s="111">
        <f t="shared" si="3"/>
        <v>378.75</v>
      </c>
      <c r="P25" s="125">
        <v>0.31</v>
      </c>
      <c r="Q25" s="49">
        <v>0.38</v>
      </c>
      <c r="R25" s="173">
        <v>0.49</v>
      </c>
      <c r="S25" s="228">
        <v>0.68</v>
      </c>
      <c r="T25" s="49">
        <v>0.86</v>
      </c>
      <c r="U25" s="138">
        <v>231669</v>
      </c>
    </row>
    <row r="26" spans="1:21" ht="15.75" thickBot="1" x14ac:dyDescent="0.3">
      <c r="A26" s="31"/>
      <c r="B26" s="4"/>
      <c r="C26" s="5"/>
      <c r="D26" s="7"/>
      <c r="E26" s="3"/>
      <c r="F26" s="3"/>
      <c r="G26" s="77" t="s">
        <v>1202</v>
      </c>
      <c r="H26" s="5"/>
      <c r="I26" s="78"/>
      <c r="J26" s="9"/>
      <c r="K26" s="4"/>
      <c r="L26" s="5"/>
      <c r="M26" s="80"/>
      <c r="N26" s="78"/>
      <c r="O26" s="111"/>
      <c r="P26" s="125"/>
      <c r="Q26" s="49"/>
      <c r="R26" s="173"/>
      <c r="S26" s="228"/>
      <c r="T26" s="49"/>
      <c r="U26" s="138"/>
    </row>
    <row r="27" spans="1:21" ht="15.75" thickBot="1" x14ac:dyDescent="0.3">
      <c r="A27" s="32"/>
      <c r="B27" s="145" t="s">
        <v>276</v>
      </c>
      <c r="C27" s="12"/>
      <c r="D27" s="7"/>
      <c r="E27" s="12"/>
      <c r="F27" s="12"/>
      <c r="G27" s="77" t="s">
        <v>1202</v>
      </c>
      <c r="H27" s="5"/>
      <c r="I27" s="78"/>
      <c r="J27" s="4"/>
      <c r="K27" s="4"/>
      <c r="L27" s="5"/>
      <c r="M27" s="80"/>
      <c r="N27" s="78"/>
      <c r="O27" s="111"/>
      <c r="P27" s="125"/>
      <c r="Q27" s="49"/>
      <c r="R27" s="173"/>
      <c r="S27" s="228"/>
      <c r="T27" s="49"/>
      <c r="U27" s="138"/>
    </row>
    <row r="28" spans="1:21" x14ac:dyDescent="0.25">
      <c r="A28" s="31"/>
      <c r="B28" s="4"/>
      <c r="C28" s="5"/>
      <c r="D28" s="7"/>
      <c r="E28" s="3"/>
      <c r="F28" s="3"/>
      <c r="G28" s="77" t="s">
        <v>1202</v>
      </c>
      <c r="H28" s="5"/>
      <c r="I28" s="78"/>
      <c r="J28" s="9"/>
      <c r="K28" s="4"/>
      <c r="L28" s="5"/>
      <c r="M28" s="80"/>
      <c r="N28" s="78"/>
      <c r="O28" s="111"/>
      <c r="P28" s="125"/>
      <c r="Q28" s="49"/>
      <c r="R28" s="173"/>
      <c r="S28" s="228"/>
      <c r="T28" s="49"/>
      <c r="U28" s="138"/>
    </row>
    <row r="29" spans="1:21" x14ac:dyDescent="0.25">
      <c r="A29" s="31">
        <v>1</v>
      </c>
      <c r="B29" s="4" t="s">
        <v>177</v>
      </c>
      <c r="C29" s="5">
        <v>1</v>
      </c>
      <c r="D29" s="7">
        <v>0</v>
      </c>
      <c r="E29" s="3">
        <f t="shared" ref="E29:E50" si="6">C29+(C29*D29)</f>
        <v>1</v>
      </c>
      <c r="F29" s="3" t="s">
        <v>867</v>
      </c>
      <c r="G29" s="77">
        <v>98.25</v>
      </c>
      <c r="H29" s="5" t="s">
        <v>1</v>
      </c>
      <c r="I29" s="78">
        <f t="shared" ref="I29:I41" si="7">G29*E29</f>
        <v>98.25</v>
      </c>
      <c r="J29" s="110">
        <f>$O$4</f>
        <v>75</v>
      </c>
      <c r="K29" s="4">
        <v>0.25</v>
      </c>
      <c r="L29" s="5" t="s">
        <v>1</v>
      </c>
      <c r="M29" s="80">
        <f t="shared" ref="M29:M41" si="8">K29*E29</f>
        <v>0.25</v>
      </c>
      <c r="N29" s="78">
        <f t="shared" ref="N29:N41" si="9">M29*J29</f>
        <v>18.75</v>
      </c>
      <c r="O29" s="111">
        <f t="shared" ref="O29:O41" si="10">N29+I29</f>
        <v>117</v>
      </c>
      <c r="P29" s="125">
        <v>0.31</v>
      </c>
      <c r="Q29" s="49">
        <v>0.38</v>
      </c>
      <c r="R29" s="173">
        <v>0.48</v>
      </c>
      <c r="S29" s="228">
        <v>0.6</v>
      </c>
      <c r="T29" s="49">
        <v>0.72</v>
      </c>
      <c r="U29" s="138">
        <v>148065</v>
      </c>
    </row>
    <row r="30" spans="1:21" x14ac:dyDescent="0.25">
      <c r="A30" s="31">
        <v>2</v>
      </c>
      <c r="B30" s="4" t="s">
        <v>178</v>
      </c>
      <c r="C30" s="5">
        <v>1</v>
      </c>
      <c r="D30" s="7">
        <v>0</v>
      </c>
      <c r="E30" s="3">
        <f t="shared" si="6"/>
        <v>1</v>
      </c>
      <c r="F30" s="3" t="s">
        <v>867</v>
      </c>
      <c r="G30" s="77">
        <v>98.25</v>
      </c>
      <c r="H30" s="5" t="s">
        <v>1</v>
      </c>
      <c r="I30" s="78">
        <f t="shared" si="7"/>
        <v>98.25</v>
      </c>
      <c r="J30" s="110">
        <f t="shared" ref="J30:J50" si="11">$O$4</f>
        <v>75</v>
      </c>
      <c r="K30" s="4">
        <v>0.25</v>
      </c>
      <c r="L30" s="5" t="s">
        <v>1</v>
      </c>
      <c r="M30" s="80">
        <f t="shared" si="8"/>
        <v>0.25</v>
      </c>
      <c r="N30" s="78">
        <f t="shared" si="9"/>
        <v>18.75</v>
      </c>
      <c r="O30" s="111">
        <f t="shared" si="10"/>
        <v>117</v>
      </c>
      <c r="P30" s="125">
        <v>0.31</v>
      </c>
      <c r="Q30" s="49">
        <v>0.38</v>
      </c>
      <c r="R30" s="173">
        <v>0.52</v>
      </c>
      <c r="S30" s="228">
        <v>0.65</v>
      </c>
      <c r="T30" s="49">
        <v>0.78</v>
      </c>
      <c r="U30" s="138">
        <v>148068</v>
      </c>
    </row>
    <row r="31" spans="1:21" x14ac:dyDescent="0.25">
      <c r="A31" s="31">
        <v>3</v>
      </c>
      <c r="B31" s="4" t="s">
        <v>197</v>
      </c>
      <c r="C31" s="5">
        <v>1</v>
      </c>
      <c r="D31" s="7">
        <v>0</v>
      </c>
      <c r="E31" s="3">
        <f t="shared" si="6"/>
        <v>1</v>
      </c>
      <c r="F31" s="3" t="s">
        <v>867</v>
      </c>
      <c r="G31" s="77">
        <v>98.25</v>
      </c>
      <c r="H31" s="5" t="s">
        <v>1</v>
      </c>
      <c r="I31" s="78">
        <f t="shared" si="7"/>
        <v>98.25</v>
      </c>
      <c r="J31" s="110">
        <f t="shared" si="11"/>
        <v>75</v>
      </c>
      <c r="K31" s="4">
        <v>0.25</v>
      </c>
      <c r="L31" s="5" t="s">
        <v>1</v>
      </c>
      <c r="M31" s="80">
        <f t="shared" si="8"/>
        <v>0.25</v>
      </c>
      <c r="N31" s="78">
        <f t="shared" si="9"/>
        <v>18.75</v>
      </c>
      <c r="O31" s="111">
        <f t="shared" si="10"/>
        <v>117</v>
      </c>
      <c r="P31" s="125">
        <v>0.31</v>
      </c>
      <c r="Q31" s="49">
        <v>0.38</v>
      </c>
      <c r="R31" s="173">
        <v>0.57999999999999996</v>
      </c>
      <c r="S31" s="228">
        <v>0.73</v>
      </c>
      <c r="T31" s="49">
        <v>0.87</v>
      </c>
      <c r="U31" s="138">
        <v>148071</v>
      </c>
    </row>
    <row r="32" spans="1:21" x14ac:dyDescent="0.25">
      <c r="A32" s="31">
        <v>4</v>
      </c>
      <c r="B32" s="4" t="s">
        <v>181</v>
      </c>
      <c r="C32" s="5">
        <v>1</v>
      </c>
      <c r="D32" s="7">
        <v>0</v>
      </c>
      <c r="E32" s="3">
        <f t="shared" si="6"/>
        <v>1</v>
      </c>
      <c r="F32" s="3" t="s">
        <v>867</v>
      </c>
      <c r="G32" s="77">
        <v>98.25</v>
      </c>
      <c r="H32" s="5" t="s">
        <v>1</v>
      </c>
      <c r="I32" s="78">
        <f t="shared" si="7"/>
        <v>98.25</v>
      </c>
      <c r="J32" s="110">
        <f t="shared" si="11"/>
        <v>75</v>
      </c>
      <c r="K32" s="4">
        <v>0.25</v>
      </c>
      <c r="L32" s="5" t="s">
        <v>1</v>
      </c>
      <c r="M32" s="80">
        <f t="shared" si="8"/>
        <v>0.25</v>
      </c>
      <c r="N32" s="78">
        <f t="shared" si="9"/>
        <v>18.75</v>
      </c>
      <c r="O32" s="111">
        <f t="shared" si="10"/>
        <v>117</v>
      </c>
      <c r="P32" s="125">
        <v>0.31</v>
      </c>
      <c r="Q32" s="49">
        <v>0.38</v>
      </c>
      <c r="R32" s="173">
        <v>0.57999999999999996</v>
      </c>
      <c r="S32" s="228">
        <v>0.73</v>
      </c>
      <c r="T32" s="49">
        <v>0.87</v>
      </c>
      <c r="U32" s="138">
        <v>148074</v>
      </c>
    </row>
    <row r="33" spans="1:21" x14ac:dyDescent="0.25">
      <c r="A33" s="31">
        <v>5</v>
      </c>
      <c r="B33" s="4" t="s">
        <v>198</v>
      </c>
      <c r="C33" s="5">
        <v>1</v>
      </c>
      <c r="D33" s="7">
        <v>0</v>
      </c>
      <c r="E33" s="3">
        <f t="shared" si="6"/>
        <v>1</v>
      </c>
      <c r="F33" s="3" t="s">
        <v>867</v>
      </c>
      <c r="G33" s="77">
        <v>98.25</v>
      </c>
      <c r="H33" s="5" t="s">
        <v>1</v>
      </c>
      <c r="I33" s="78">
        <f t="shared" si="7"/>
        <v>98.25</v>
      </c>
      <c r="J33" s="110">
        <f t="shared" si="11"/>
        <v>75</v>
      </c>
      <c r="K33" s="4">
        <v>0.25</v>
      </c>
      <c r="L33" s="5" t="s">
        <v>1</v>
      </c>
      <c r="M33" s="80">
        <f t="shared" si="8"/>
        <v>0.25</v>
      </c>
      <c r="N33" s="78">
        <f t="shared" si="9"/>
        <v>18.75</v>
      </c>
      <c r="O33" s="111">
        <f t="shared" si="10"/>
        <v>117</v>
      </c>
      <c r="P33" s="125">
        <v>0.31</v>
      </c>
      <c r="Q33" s="49">
        <v>0.38</v>
      </c>
      <c r="R33" s="173">
        <v>0.64</v>
      </c>
      <c r="S33" s="228">
        <v>0.8</v>
      </c>
      <c r="T33" s="49">
        <v>0.96</v>
      </c>
      <c r="U33" s="138">
        <v>148077</v>
      </c>
    </row>
    <row r="34" spans="1:21" x14ac:dyDescent="0.25">
      <c r="A34" s="31">
        <v>6</v>
      </c>
      <c r="B34" s="4" t="s">
        <v>199</v>
      </c>
      <c r="C34" s="5">
        <v>1</v>
      </c>
      <c r="D34" s="7">
        <v>0</v>
      </c>
      <c r="E34" s="3">
        <f t="shared" si="6"/>
        <v>1</v>
      </c>
      <c r="F34" s="3" t="s">
        <v>867</v>
      </c>
      <c r="G34" s="77">
        <v>98.25</v>
      </c>
      <c r="H34" s="5" t="s">
        <v>1</v>
      </c>
      <c r="I34" s="78">
        <f t="shared" si="7"/>
        <v>98.25</v>
      </c>
      <c r="J34" s="110">
        <f t="shared" si="11"/>
        <v>75</v>
      </c>
      <c r="K34" s="4">
        <v>0.25</v>
      </c>
      <c r="L34" s="5" t="s">
        <v>1</v>
      </c>
      <c r="M34" s="80">
        <f t="shared" si="8"/>
        <v>0.25</v>
      </c>
      <c r="N34" s="78">
        <f t="shared" si="9"/>
        <v>18.75</v>
      </c>
      <c r="O34" s="111">
        <f t="shared" si="10"/>
        <v>117</v>
      </c>
      <c r="P34" s="125">
        <v>0.31</v>
      </c>
      <c r="Q34" s="49">
        <v>0.38</v>
      </c>
      <c r="R34" s="173">
        <v>0.64</v>
      </c>
      <c r="S34" s="228">
        <v>0.8</v>
      </c>
      <c r="T34" s="49">
        <v>0.96</v>
      </c>
      <c r="U34" s="138">
        <v>148080</v>
      </c>
    </row>
    <row r="35" spans="1:21" x14ac:dyDescent="0.25">
      <c r="A35" s="31">
        <v>7</v>
      </c>
      <c r="B35" s="4" t="s">
        <v>200</v>
      </c>
      <c r="C35" s="5">
        <v>1</v>
      </c>
      <c r="D35" s="7">
        <v>0</v>
      </c>
      <c r="E35" s="3">
        <f t="shared" si="6"/>
        <v>1</v>
      </c>
      <c r="F35" s="3" t="s">
        <v>867</v>
      </c>
      <c r="G35" s="77">
        <v>98.25</v>
      </c>
      <c r="H35" s="5" t="s">
        <v>1</v>
      </c>
      <c r="I35" s="78">
        <f t="shared" si="7"/>
        <v>98.25</v>
      </c>
      <c r="J35" s="110">
        <f t="shared" si="11"/>
        <v>75</v>
      </c>
      <c r="K35" s="4">
        <v>0.25</v>
      </c>
      <c r="L35" s="5" t="s">
        <v>1</v>
      </c>
      <c r="M35" s="80">
        <f t="shared" si="8"/>
        <v>0.25</v>
      </c>
      <c r="N35" s="78">
        <f t="shared" si="9"/>
        <v>18.75</v>
      </c>
      <c r="O35" s="111">
        <f t="shared" si="10"/>
        <v>117</v>
      </c>
      <c r="P35" s="125">
        <v>0.31</v>
      </c>
      <c r="Q35" s="49">
        <v>0.38</v>
      </c>
      <c r="R35" s="173">
        <v>0.64</v>
      </c>
      <c r="S35" s="228">
        <v>0.8</v>
      </c>
      <c r="T35" s="49">
        <v>0.96</v>
      </c>
      <c r="U35" s="138">
        <v>148083</v>
      </c>
    </row>
    <row r="36" spans="1:21" x14ac:dyDescent="0.25">
      <c r="A36" s="31">
        <v>8</v>
      </c>
      <c r="B36" s="4" t="s">
        <v>180</v>
      </c>
      <c r="C36" s="5">
        <v>1</v>
      </c>
      <c r="D36" s="7">
        <v>0</v>
      </c>
      <c r="E36" s="3">
        <f t="shared" si="6"/>
        <v>1</v>
      </c>
      <c r="F36" s="3" t="s">
        <v>867</v>
      </c>
      <c r="G36" s="77">
        <v>98.25</v>
      </c>
      <c r="H36" s="5" t="s">
        <v>1</v>
      </c>
      <c r="I36" s="78">
        <f t="shared" si="7"/>
        <v>98.25</v>
      </c>
      <c r="J36" s="110">
        <f t="shared" si="11"/>
        <v>75</v>
      </c>
      <c r="K36" s="4">
        <v>0.25</v>
      </c>
      <c r="L36" s="5" t="s">
        <v>1</v>
      </c>
      <c r="M36" s="80">
        <f t="shared" si="8"/>
        <v>0.25</v>
      </c>
      <c r="N36" s="78">
        <f t="shared" si="9"/>
        <v>18.75</v>
      </c>
      <c r="O36" s="111">
        <f t="shared" si="10"/>
        <v>117</v>
      </c>
      <c r="P36" s="125">
        <v>0.31</v>
      </c>
      <c r="Q36" s="49">
        <v>0.38</v>
      </c>
      <c r="R36" s="173">
        <v>0.64</v>
      </c>
      <c r="S36" s="228">
        <v>0.8</v>
      </c>
      <c r="T36" s="49">
        <v>0.96</v>
      </c>
      <c r="U36" s="138">
        <v>148086</v>
      </c>
    </row>
    <row r="37" spans="1:21" x14ac:dyDescent="0.25">
      <c r="A37" s="31">
        <v>9</v>
      </c>
      <c r="B37" s="4" t="s">
        <v>201</v>
      </c>
      <c r="C37" s="5">
        <v>1</v>
      </c>
      <c r="D37" s="7">
        <v>0</v>
      </c>
      <c r="E37" s="3">
        <f t="shared" si="6"/>
        <v>1</v>
      </c>
      <c r="F37" s="3" t="s">
        <v>867</v>
      </c>
      <c r="G37" s="77">
        <v>98.25</v>
      </c>
      <c r="H37" s="5" t="s">
        <v>1</v>
      </c>
      <c r="I37" s="78">
        <f t="shared" si="7"/>
        <v>98.25</v>
      </c>
      <c r="J37" s="110">
        <f t="shared" si="11"/>
        <v>75</v>
      </c>
      <c r="K37" s="4">
        <v>0.25</v>
      </c>
      <c r="L37" s="5" t="s">
        <v>1</v>
      </c>
      <c r="M37" s="80">
        <f t="shared" si="8"/>
        <v>0.25</v>
      </c>
      <c r="N37" s="78">
        <f t="shared" si="9"/>
        <v>18.75</v>
      </c>
      <c r="O37" s="111">
        <f t="shared" si="10"/>
        <v>117</v>
      </c>
      <c r="P37" s="125">
        <v>0.31</v>
      </c>
      <c r="Q37" s="49">
        <v>0.38</v>
      </c>
      <c r="R37" s="173">
        <v>0.72</v>
      </c>
      <c r="S37" s="228">
        <v>0.9</v>
      </c>
      <c r="T37" s="49">
        <v>1.08</v>
      </c>
      <c r="U37" s="138">
        <v>148089</v>
      </c>
    </row>
    <row r="38" spans="1:21" x14ac:dyDescent="0.25">
      <c r="A38" s="31">
        <v>10</v>
      </c>
      <c r="B38" s="4" t="s">
        <v>202</v>
      </c>
      <c r="C38" s="5">
        <v>1</v>
      </c>
      <c r="D38" s="7">
        <v>0</v>
      </c>
      <c r="E38" s="3">
        <f t="shared" si="6"/>
        <v>1</v>
      </c>
      <c r="F38" s="3" t="s">
        <v>867</v>
      </c>
      <c r="G38" s="77">
        <v>189</v>
      </c>
      <c r="H38" s="5" t="s">
        <v>1</v>
      </c>
      <c r="I38" s="78">
        <f t="shared" si="7"/>
        <v>189</v>
      </c>
      <c r="J38" s="110">
        <f t="shared" si="11"/>
        <v>75</v>
      </c>
      <c r="K38" s="4">
        <v>0.25</v>
      </c>
      <c r="L38" s="5" t="s">
        <v>1</v>
      </c>
      <c r="M38" s="80">
        <f t="shared" si="8"/>
        <v>0.25</v>
      </c>
      <c r="N38" s="78">
        <f t="shared" si="9"/>
        <v>18.75</v>
      </c>
      <c r="O38" s="111">
        <f t="shared" si="10"/>
        <v>207.75</v>
      </c>
      <c r="P38" s="125">
        <v>0.31</v>
      </c>
      <c r="Q38" s="49">
        <v>0.38</v>
      </c>
      <c r="R38" s="173">
        <v>0.81</v>
      </c>
      <c r="S38" s="228">
        <v>1.01</v>
      </c>
      <c r="T38" s="49">
        <v>1.22</v>
      </c>
      <c r="U38" s="138">
        <v>148092</v>
      </c>
    </row>
    <row r="39" spans="1:21" x14ac:dyDescent="0.25">
      <c r="A39" s="31">
        <v>11</v>
      </c>
      <c r="B39" s="4" t="s">
        <v>203</v>
      </c>
      <c r="C39" s="5">
        <v>1</v>
      </c>
      <c r="D39" s="7">
        <v>0</v>
      </c>
      <c r="E39" s="3">
        <f t="shared" si="6"/>
        <v>1</v>
      </c>
      <c r="F39" s="3" t="s">
        <v>867</v>
      </c>
      <c r="G39" s="77">
        <v>257.25</v>
      </c>
      <c r="H39" s="5" t="s">
        <v>1</v>
      </c>
      <c r="I39" s="78">
        <f t="shared" si="7"/>
        <v>257.25</v>
      </c>
      <c r="J39" s="110">
        <f t="shared" si="11"/>
        <v>75</v>
      </c>
      <c r="K39" s="4">
        <v>0.25</v>
      </c>
      <c r="L39" s="5" t="s">
        <v>1</v>
      </c>
      <c r="M39" s="80">
        <f t="shared" si="8"/>
        <v>0.25</v>
      </c>
      <c r="N39" s="78">
        <f t="shared" si="9"/>
        <v>18.75</v>
      </c>
      <c r="O39" s="111">
        <f t="shared" si="10"/>
        <v>276</v>
      </c>
      <c r="P39" s="125">
        <v>0.31</v>
      </c>
      <c r="Q39" s="49">
        <v>0.38</v>
      </c>
      <c r="R39" s="173">
        <v>0.88</v>
      </c>
      <c r="S39" s="228">
        <v>1.1000000000000001</v>
      </c>
      <c r="T39" s="49">
        <v>1.32</v>
      </c>
      <c r="U39" s="138">
        <v>148095</v>
      </c>
    </row>
    <row r="40" spans="1:21" x14ac:dyDescent="0.25">
      <c r="A40" s="31">
        <v>12</v>
      </c>
      <c r="B40" s="4" t="s">
        <v>204</v>
      </c>
      <c r="C40" s="5">
        <v>1</v>
      </c>
      <c r="D40" s="7">
        <v>0</v>
      </c>
      <c r="E40" s="3">
        <f t="shared" si="6"/>
        <v>1</v>
      </c>
      <c r="F40" s="3" t="s">
        <v>867</v>
      </c>
      <c r="G40" s="77">
        <v>257.25</v>
      </c>
      <c r="H40" s="5" t="s">
        <v>1</v>
      </c>
      <c r="I40" s="78">
        <f t="shared" si="7"/>
        <v>257.25</v>
      </c>
      <c r="J40" s="110">
        <f t="shared" si="11"/>
        <v>75</v>
      </c>
      <c r="K40" s="4">
        <v>0.25</v>
      </c>
      <c r="L40" s="5" t="s">
        <v>1</v>
      </c>
      <c r="M40" s="80">
        <f t="shared" si="8"/>
        <v>0.25</v>
      </c>
      <c r="N40" s="78">
        <f t="shared" si="9"/>
        <v>18.75</v>
      </c>
      <c r="O40" s="111">
        <f t="shared" si="10"/>
        <v>276</v>
      </c>
      <c r="P40" s="125">
        <v>0.31</v>
      </c>
      <c r="Q40" s="49">
        <v>0.38</v>
      </c>
      <c r="R40" s="173">
        <v>0.88</v>
      </c>
      <c r="S40" s="228">
        <v>1.1000000000000001</v>
      </c>
      <c r="T40" s="49">
        <v>1.32</v>
      </c>
      <c r="U40" s="138">
        <v>148098</v>
      </c>
    </row>
    <row r="41" spans="1:21" x14ac:dyDescent="0.25">
      <c r="A41" s="31">
        <v>13</v>
      </c>
      <c r="B41" s="4" t="s">
        <v>205</v>
      </c>
      <c r="C41" s="5">
        <v>1</v>
      </c>
      <c r="D41" s="7">
        <v>0</v>
      </c>
      <c r="E41" s="3">
        <f t="shared" si="6"/>
        <v>1</v>
      </c>
      <c r="F41" s="3" t="s">
        <v>867</v>
      </c>
      <c r="G41" s="77">
        <v>257.25</v>
      </c>
      <c r="H41" s="5" t="s">
        <v>1</v>
      </c>
      <c r="I41" s="78">
        <f t="shared" si="7"/>
        <v>257.25</v>
      </c>
      <c r="J41" s="110">
        <f t="shared" si="11"/>
        <v>75</v>
      </c>
      <c r="K41" s="4">
        <v>0.4</v>
      </c>
      <c r="L41" s="5" t="s">
        <v>1</v>
      </c>
      <c r="M41" s="80">
        <f t="shared" si="8"/>
        <v>0.4</v>
      </c>
      <c r="N41" s="78">
        <f t="shared" si="9"/>
        <v>30</v>
      </c>
      <c r="O41" s="111">
        <f t="shared" si="10"/>
        <v>287.25</v>
      </c>
      <c r="P41" s="125">
        <v>0.5</v>
      </c>
      <c r="Q41" s="49">
        <v>0.6</v>
      </c>
      <c r="R41" s="173">
        <v>0.94</v>
      </c>
      <c r="S41" s="228">
        <v>1.18</v>
      </c>
      <c r="T41" s="49">
        <v>1.41</v>
      </c>
      <c r="U41" s="138">
        <v>148101</v>
      </c>
    </row>
    <row r="42" spans="1:21" x14ac:dyDescent="0.25">
      <c r="A42" s="31">
        <v>14</v>
      </c>
      <c r="B42" s="4" t="s">
        <v>206</v>
      </c>
      <c r="C42" s="5">
        <v>1</v>
      </c>
      <c r="D42" s="7">
        <v>0</v>
      </c>
      <c r="E42" s="3">
        <f t="shared" si="6"/>
        <v>1</v>
      </c>
      <c r="F42" s="3" t="s">
        <v>867</v>
      </c>
      <c r="G42" s="77">
        <v>512.25</v>
      </c>
      <c r="H42" s="5" t="s">
        <v>1</v>
      </c>
      <c r="I42" s="78">
        <f t="shared" ref="I42:I50" si="12">G42*E42</f>
        <v>512.25</v>
      </c>
      <c r="J42" s="110">
        <f t="shared" si="11"/>
        <v>75</v>
      </c>
      <c r="K42" s="4">
        <v>0.4</v>
      </c>
      <c r="L42" s="5" t="s">
        <v>1</v>
      </c>
      <c r="M42" s="80">
        <f t="shared" ref="M42:M50" si="13">K42*E42</f>
        <v>0.4</v>
      </c>
      <c r="N42" s="78">
        <f t="shared" ref="N42:N50" si="14">M42*J42</f>
        <v>30</v>
      </c>
      <c r="O42" s="111">
        <f t="shared" ref="O42:O50" si="15">N42+I42</f>
        <v>542.25</v>
      </c>
      <c r="P42" s="125">
        <v>0.5</v>
      </c>
      <c r="Q42" s="49">
        <v>0.6</v>
      </c>
      <c r="R42" s="173">
        <v>1.05</v>
      </c>
      <c r="S42" s="228">
        <v>1.31</v>
      </c>
      <c r="T42" s="49">
        <v>1.58</v>
      </c>
      <c r="U42" s="138">
        <v>148104</v>
      </c>
    </row>
    <row r="43" spans="1:21" x14ac:dyDescent="0.25">
      <c r="A43" s="31">
        <v>15</v>
      </c>
      <c r="B43" s="4" t="s">
        <v>207</v>
      </c>
      <c r="C43" s="5">
        <v>1</v>
      </c>
      <c r="D43" s="7">
        <v>0</v>
      </c>
      <c r="E43" s="3">
        <f t="shared" si="6"/>
        <v>1</v>
      </c>
      <c r="F43" s="3" t="s">
        <v>867</v>
      </c>
      <c r="G43" s="77">
        <v>540.75</v>
      </c>
      <c r="H43" s="5" t="s">
        <v>1</v>
      </c>
      <c r="I43" s="78">
        <f t="shared" si="12"/>
        <v>540.75</v>
      </c>
      <c r="J43" s="110">
        <f t="shared" si="11"/>
        <v>75</v>
      </c>
      <c r="K43" s="4">
        <v>0.4</v>
      </c>
      <c r="L43" s="5" t="s">
        <v>1</v>
      </c>
      <c r="M43" s="80">
        <f t="shared" si="13"/>
        <v>0.4</v>
      </c>
      <c r="N43" s="78">
        <f t="shared" si="14"/>
        <v>30</v>
      </c>
      <c r="O43" s="111">
        <f t="shared" si="15"/>
        <v>570.75</v>
      </c>
      <c r="P43" s="125">
        <v>0.5</v>
      </c>
      <c r="Q43" s="49">
        <v>0.6</v>
      </c>
      <c r="R43" s="173">
        <v>1.05</v>
      </c>
      <c r="S43" s="228">
        <v>1.31</v>
      </c>
      <c r="T43" s="49">
        <v>1.58</v>
      </c>
      <c r="U43" s="138">
        <v>148107</v>
      </c>
    </row>
    <row r="44" spans="1:21" x14ac:dyDescent="0.25">
      <c r="A44" s="31">
        <v>16</v>
      </c>
      <c r="B44" s="4" t="s">
        <v>208</v>
      </c>
      <c r="C44" s="5">
        <v>1</v>
      </c>
      <c r="D44" s="7">
        <v>0</v>
      </c>
      <c r="E44" s="3">
        <f t="shared" si="6"/>
        <v>1</v>
      </c>
      <c r="F44" s="3" t="s">
        <v>867</v>
      </c>
      <c r="G44" s="77">
        <v>425.25</v>
      </c>
      <c r="H44" s="5" t="s">
        <v>1</v>
      </c>
      <c r="I44" s="78">
        <f t="shared" si="12"/>
        <v>425.25</v>
      </c>
      <c r="J44" s="110">
        <f t="shared" si="11"/>
        <v>75</v>
      </c>
      <c r="K44" s="4">
        <v>0.35</v>
      </c>
      <c r="L44" s="5" t="s">
        <v>1</v>
      </c>
      <c r="M44" s="80">
        <f t="shared" si="13"/>
        <v>0.35</v>
      </c>
      <c r="N44" s="78">
        <f t="shared" si="14"/>
        <v>26.25</v>
      </c>
      <c r="O44" s="111">
        <f t="shared" si="15"/>
        <v>451.5</v>
      </c>
      <c r="P44" s="125">
        <v>0.44</v>
      </c>
      <c r="Q44" s="49">
        <v>0.53</v>
      </c>
      <c r="R44" s="173">
        <v>0.63</v>
      </c>
      <c r="S44" s="228">
        <v>0.85</v>
      </c>
      <c r="T44" s="49">
        <v>1.07</v>
      </c>
      <c r="U44" s="138">
        <v>148110</v>
      </c>
    </row>
    <row r="45" spans="1:21" x14ac:dyDescent="0.25">
      <c r="A45" s="31">
        <v>17</v>
      </c>
      <c r="B45" s="4" t="s">
        <v>209</v>
      </c>
      <c r="C45" s="5">
        <v>1</v>
      </c>
      <c r="D45" s="7">
        <v>0</v>
      </c>
      <c r="E45" s="3">
        <f t="shared" si="6"/>
        <v>1</v>
      </c>
      <c r="F45" s="3" t="s">
        <v>867</v>
      </c>
      <c r="G45" s="77">
        <v>442.5</v>
      </c>
      <c r="H45" s="5" t="s">
        <v>1</v>
      </c>
      <c r="I45" s="78">
        <f t="shared" si="12"/>
        <v>442.5</v>
      </c>
      <c r="J45" s="110">
        <f t="shared" si="11"/>
        <v>75</v>
      </c>
      <c r="K45" s="4">
        <v>0.35</v>
      </c>
      <c r="L45" s="5" t="s">
        <v>1</v>
      </c>
      <c r="M45" s="80">
        <f t="shared" si="13"/>
        <v>0.35</v>
      </c>
      <c r="N45" s="78">
        <f t="shared" si="14"/>
        <v>26.25</v>
      </c>
      <c r="O45" s="111">
        <f t="shared" si="15"/>
        <v>468.75</v>
      </c>
      <c r="P45" s="125">
        <v>0.44</v>
      </c>
      <c r="Q45" s="49">
        <v>0.53</v>
      </c>
      <c r="R45" s="173">
        <v>0.67</v>
      </c>
      <c r="S45" s="228">
        <v>0.9</v>
      </c>
      <c r="T45" s="49">
        <v>1.1299999999999999</v>
      </c>
      <c r="U45" s="138">
        <v>148113</v>
      </c>
    </row>
    <row r="46" spans="1:21" x14ac:dyDescent="0.25">
      <c r="A46" s="31">
        <v>18</v>
      </c>
      <c r="B46" s="4" t="s">
        <v>210</v>
      </c>
      <c r="C46" s="5">
        <v>1</v>
      </c>
      <c r="D46" s="7">
        <v>0</v>
      </c>
      <c r="E46" s="3">
        <f t="shared" si="6"/>
        <v>1</v>
      </c>
      <c r="F46" s="3" t="s">
        <v>867</v>
      </c>
      <c r="G46" s="77">
        <v>442.5</v>
      </c>
      <c r="H46" s="5" t="s">
        <v>1</v>
      </c>
      <c r="I46" s="78">
        <f t="shared" si="12"/>
        <v>442.5</v>
      </c>
      <c r="J46" s="110">
        <f t="shared" si="11"/>
        <v>75</v>
      </c>
      <c r="K46" s="4">
        <v>0.35</v>
      </c>
      <c r="L46" s="5" t="s">
        <v>1</v>
      </c>
      <c r="M46" s="80">
        <f t="shared" si="13"/>
        <v>0.35</v>
      </c>
      <c r="N46" s="78">
        <f t="shared" si="14"/>
        <v>26.25</v>
      </c>
      <c r="O46" s="111">
        <f t="shared" si="15"/>
        <v>468.75</v>
      </c>
      <c r="P46" s="125">
        <v>0.44</v>
      </c>
      <c r="Q46" s="49">
        <v>0.53</v>
      </c>
      <c r="R46" s="173">
        <v>0.73</v>
      </c>
      <c r="S46" s="228">
        <v>0.98</v>
      </c>
      <c r="T46" s="49">
        <v>1.22</v>
      </c>
      <c r="U46" s="138">
        <v>148116</v>
      </c>
    </row>
    <row r="47" spans="1:21" x14ac:dyDescent="0.25">
      <c r="A47" s="31">
        <v>19</v>
      </c>
      <c r="B47" s="4" t="s">
        <v>211</v>
      </c>
      <c r="C47" s="5">
        <v>1</v>
      </c>
      <c r="D47" s="7">
        <v>0</v>
      </c>
      <c r="E47" s="3">
        <f t="shared" si="6"/>
        <v>1</v>
      </c>
      <c r="F47" s="3" t="s">
        <v>867</v>
      </c>
      <c r="G47" s="77">
        <v>442.5</v>
      </c>
      <c r="H47" s="5" t="s">
        <v>1</v>
      </c>
      <c r="I47" s="78">
        <f t="shared" si="12"/>
        <v>442.5</v>
      </c>
      <c r="J47" s="110">
        <f t="shared" si="11"/>
        <v>75</v>
      </c>
      <c r="K47" s="4">
        <v>0.35</v>
      </c>
      <c r="L47" s="5" t="s">
        <v>1</v>
      </c>
      <c r="M47" s="80">
        <f t="shared" si="13"/>
        <v>0.35</v>
      </c>
      <c r="N47" s="78">
        <f t="shared" si="14"/>
        <v>26.25</v>
      </c>
      <c r="O47" s="111">
        <f t="shared" si="15"/>
        <v>468.75</v>
      </c>
      <c r="P47" s="125">
        <v>0.44</v>
      </c>
      <c r="Q47" s="49">
        <v>0.53</v>
      </c>
      <c r="R47" s="173">
        <v>0.79</v>
      </c>
      <c r="S47" s="228">
        <v>1.05</v>
      </c>
      <c r="T47" s="49">
        <v>1.31</v>
      </c>
      <c r="U47" s="138">
        <v>148119</v>
      </c>
    </row>
    <row r="48" spans="1:21" x14ac:dyDescent="0.25">
      <c r="A48" s="31">
        <v>20</v>
      </c>
      <c r="B48" s="4" t="s">
        <v>212</v>
      </c>
      <c r="C48" s="5">
        <v>1</v>
      </c>
      <c r="D48" s="7">
        <v>0</v>
      </c>
      <c r="E48" s="3">
        <f t="shared" si="6"/>
        <v>1</v>
      </c>
      <c r="F48" s="3" t="s">
        <v>867</v>
      </c>
      <c r="G48" s="77">
        <v>408.75</v>
      </c>
      <c r="H48" s="5" t="s">
        <v>1</v>
      </c>
      <c r="I48" s="78">
        <f t="shared" si="12"/>
        <v>408.75</v>
      </c>
      <c r="J48" s="110">
        <f t="shared" si="11"/>
        <v>75</v>
      </c>
      <c r="K48" s="4">
        <v>0.35</v>
      </c>
      <c r="L48" s="5" t="s">
        <v>1</v>
      </c>
      <c r="M48" s="80">
        <f t="shared" si="13"/>
        <v>0.35</v>
      </c>
      <c r="N48" s="78">
        <f t="shared" si="14"/>
        <v>26.25</v>
      </c>
      <c r="O48" s="111">
        <f t="shared" si="15"/>
        <v>435</v>
      </c>
      <c r="P48" s="125">
        <v>0.44</v>
      </c>
      <c r="Q48" s="49">
        <v>0.53</v>
      </c>
      <c r="R48" s="173">
        <v>0.79</v>
      </c>
      <c r="S48" s="228">
        <v>1.05</v>
      </c>
      <c r="T48" s="49">
        <v>1.31</v>
      </c>
      <c r="U48" s="138">
        <v>148122</v>
      </c>
    </row>
    <row r="49" spans="1:21" x14ac:dyDescent="0.25">
      <c r="A49" s="31">
        <v>21</v>
      </c>
      <c r="B49" s="4" t="s">
        <v>213</v>
      </c>
      <c r="C49" s="5">
        <v>1</v>
      </c>
      <c r="D49" s="7">
        <v>0</v>
      </c>
      <c r="E49" s="3">
        <f t="shared" si="6"/>
        <v>1</v>
      </c>
      <c r="F49" s="3" t="s">
        <v>867</v>
      </c>
      <c r="G49" s="77">
        <v>486.75</v>
      </c>
      <c r="H49" s="5" t="s">
        <v>1</v>
      </c>
      <c r="I49" s="78">
        <f t="shared" si="12"/>
        <v>486.75</v>
      </c>
      <c r="J49" s="110">
        <f t="shared" si="11"/>
        <v>75</v>
      </c>
      <c r="K49" s="4">
        <v>0.35</v>
      </c>
      <c r="L49" s="5" t="s">
        <v>1</v>
      </c>
      <c r="M49" s="80">
        <f t="shared" si="13"/>
        <v>0.35</v>
      </c>
      <c r="N49" s="78">
        <f t="shared" si="14"/>
        <v>26.25</v>
      </c>
      <c r="O49" s="111">
        <f t="shared" si="15"/>
        <v>513</v>
      </c>
      <c r="P49" s="125">
        <v>0.44</v>
      </c>
      <c r="Q49" s="49">
        <v>0.53</v>
      </c>
      <c r="R49" s="173">
        <v>0.87</v>
      </c>
      <c r="S49" s="228">
        <v>1.1499999999999999</v>
      </c>
      <c r="T49" s="49">
        <v>1.43</v>
      </c>
      <c r="U49" s="138">
        <v>148125</v>
      </c>
    </row>
    <row r="50" spans="1:21" x14ac:dyDescent="0.25">
      <c r="A50" s="31">
        <v>22</v>
      </c>
      <c r="B50" s="4" t="s">
        <v>214</v>
      </c>
      <c r="C50" s="5">
        <v>1</v>
      </c>
      <c r="D50" s="7">
        <v>0</v>
      </c>
      <c r="E50" s="3">
        <f t="shared" si="6"/>
        <v>1</v>
      </c>
      <c r="F50" s="3" t="s">
        <v>867</v>
      </c>
      <c r="G50" s="77">
        <v>453</v>
      </c>
      <c r="H50" s="5" t="s">
        <v>1</v>
      </c>
      <c r="I50" s="78">
        <f t="shared" si="12"/>
        <v>453</v>
      </c>
      <c r="J50" s="110">
        <f t="shared" si="11"/>
        <v>75</v>
      </c>
      <c r="K50" s="4">
        <v>0.35</v>
      </c>
      <c r="L50" s="5" t="s">
        <v>1</v>
      </c>
      <c r="M50" s="80">
        <f t="shared" si="13"/>
        <v>0.35</v>
      </c>
      <c r="N50" s="78">
        <f t="shared" si="14"/>
        <v>26.25</v>
      </c>
      <c r="O50" s="111">
        <f t="shared" si="15"/>
        <v>479.25</v>
      </c>
      <c r="P50" s="125">
        <v>0.44</v>
      </c>
      <c r="Q50" s="49">
        <v>0.53</v>
      </c>
      <c r="R50" s="173">
        <v>0.63</v>
      </c>
      <c r="S50" s="228">
        <v>0.85</v>
      </c>
      <c r="T50" s="49">
        <v>1.07</v>
      </c>
      <c r="U50" s="138">
        <v>231678</v>
      </c>
    </row>
    <row r="51" spans="1:21" ht="15.75" thickBot="1" x14ac:dyDescent="0.3">
      <c r="A51" s="31"/>
      <c r="B51" s="4"/>
      <c r="C51" s="5"/>
      <c r="D51" s="5"/>
      <c r="E51" s="5"/>
      <c r="F51" s="5"/>
      <c r="G51" s="77" t="s">
        <v>1202</v>
      </c>
      <c r="H51" s="5"/>
      <c r="I51" s="78"/>
      <c r="J51" s="4"/>
      <c r="K51" s="4"/>
      <c r="L51" s="5"/>
      <c r="M51" s="80"/>
      <c r="N51" s="78"/>
      <c r="O51" s="111"/>
      <c r="P51" s="125"/>
      <c r="Q51" s="49"/>
      <c r="R51" s="173"/>
      <c r="S51" s="228"/>
      <c r="T51" s="49"/>
      <c r="U51" s="138"/>
    </row>
    <row r="52" spans="1:21" ht="15.75" thickBot="1" x14ac:dyDescent="0.3">
      <c r="A52" s="32"/>
      <c r="B52" s="145" t="s">
        <v>277</v>
      </c>
      <c r="C52" s="5"/>
      <c r="D52" s="5"/>
      <c r="E52" s="5"/>
      <c r="F52" s="5"/>
      <c r="G52" s="77" t="s">
        <v>1202</v>
      </c>
      <c r="H52" s="5"/>
      <c r="I52" s="78"/>
      <c r="J52" s="4"/>
      <c r="K52" s="4"/>
      <c r="L52" s="5"/>
      <c r="M52" s="80"/>
      <c r="N52" s="78"/>
      <c r="O52" s="111"/>
      <c r="P52" s="125"/>
      <c r="Q52" s="49"/>
      <c r="R52" s="173"/>
      <c r="S52" s="228"/>
      <c r="T52" s="49"/>
      <c r="U52" s="138"/>
    </row>
    <row r="53" spans="1:21" x14ac:dyDescent="0.25">
      <c r="A53" s="31"/>
      <c r="B53" s="4"/>
      <c r="C53" s="5"/>
      <c r="D53" s="5"/>
      <c r="E53" s="5"/>
      <c r="F53" s="5"/>
      <c r="G53" s="77" t="s">
        <v>1202</v>
      </c>
      <c r="H53" s="5"/>
      <c r="I53" s="78"/>
      <c r="J53" s="4"/>
      <c r="K53" s="4"/>
      <c r="L53" s="5"/>
      <c r="M53" s="80"/>
      <c r="N53" s="78"/>
      <c r="O53" s="111"/>
      <c r="P53" s="125"/>
      <c r="Q53" s="49"/>
      <c r="R53" s="173"/>
      <c r="S53" s="228"/>
      <c r="T53" s="49"/>
      <c r="U53" s="138"/>
    </row>
    <row r="54" spans="1:21" x14ac:dyDescent="0.25">
      <c r="A54" s="31">
        <v>1</v>
      </c>
      <c r="B54" s="4" t="s">
        <v>215</v>
      </c>
      <c r="C54" s="5">
        <v>1</v>
      </c>
      <c r="D54" s="7">
        <v>0</v>
      </c>
      <c r="E54" s="3">
        <f t="shared" ref="E54:E62" si="16">C54+(C54*D54)</f>
        <v>1</v>
      </c>
      <c r="F54" s="3" t="s">
        <v>867</v>
      </c>
      <c r="G54" s="77">
        <v>321</v>
      </c>
      <c r="H54" s="5" t="s">
        <v>1</v>
      </c>
      <c r="I54" s="78">
        <f t="shared" ref="I54:I62" si="17">G54*E54</f>
        <v>321</v>
      </c>
      <c r="J54" s="110">
        <f t="shared" ref="J54:J67" si="18">$O$4</f>
        <v>75</v>
      </c>
      <c r="K54" s="4">
        <v>0.4</v>
      </c>
      <c r="L54" s="5" t="s">
        <v>1</v>
      </c>
      <c r="M54" s="80">
        <f t="shared" ref="M54:M63" si="19">K54*E54</f>
        <v>0.4</v>
      </c>
      <c r="N54" s="78">
        <f t="shared" ref="N54:N62" si="20">M54*J54</f>
        <v>30</v>
      </c>
      <c r="O54" s="111">
        <f t="shared" ref="O54:O62" si="21">N54+I54</f>
        <v>351</v>
      </c>
      <c r="P54" s="125">
        <v>0.5</v>
      </c>
      <c r="Q54" s="49">
        <v>0.6</v>
      </c>
      <c r="R54" s="173">
        <v>0.66</v>
      </c>
      <c r="S54" s="228">
        <v>0.83</v>
      </c>
      <c r="T54" s="49">
        <v>0.99</v>
      </c>
      <c r="U54" s="138">
        <v>148173</v>
      </c>
    </row>
    <row r="55" spans="1:21" x14ac:dyDescent="0.25">
      <c r="A55" s="31">
        <v>2</v>
      </c>
      <c r="B55" s="4" t="s">
        <v>216</v>
      </c>
      <c r="C55" s="5">
        <v>1</v>
      </c>
      <c r="D55" s="7">
        <v>0</v>
      </c>
      <c r="E55" s="3">
        <f t="shared" si="16"/>
        <v>1</v>
      </c>
      <c r="F55" s="3" t="s">
        <v>867</v>
      </c>
      <c r="G55" s="77">
        <v>321</v>
      </c>
      <c r="H55" s="5" t="s">
        <v>1</v>
      </c>
      <c r="I55" s="78">
        <f t="shared" si="17"/>
        <v>321</v>
      </c>
      <c r="J55" s="110">
        <f t="shared" si="18"/>
        <v>75</v>
      </c>
      <c r="K55" s="4">
        <v>0.4</v>
      </c>
      <c r="L55" s="5" t="s">
        <v>1</v>
      </c>
      <c r="M55" s="80">
        <f t="shared" si="19"/>
        <v>0.4</v>
      </c>
      <c r="N55" s="78">
        <f t="shared" si="20"/>
        <v>30</v>
      </c>
      <c r="O55" s="111">
        <f t="shared" si="21"/>
        <v>351</v>
      </c>
      <c r="P55" s="125">
        <v>0.5</v>
      </c>
      <c r="Q55" s="49">
        <v>0.6</v>
      </c>
      <c r="R55" s="173">
        <v>0.71</v>
      </c>
      <c r="S55" s="228">
        <v>0.89</v>
      </c>
      <c r="T55" s="49">
        <v>1.07</v>
      </c>
      <c r="U55" s="138">
        <v>148176</v>
      </c>
    </row>
    <row r="56" spans="1:21" x14ac:dyDescent="0.25">
      <c r="A56" s="31">
        <v>3</v>
      </c>
      <c r="B56" s="4" t="s">
        <v>217</v>
      </c>
      <c r="C56" s="5">
        <v>1</v>
      </c>
      <c r="D56" s="7">
        <v>0</v>
      </c>
      <c r="E56" s="3">
        <f t="shared" si="16"/>
        <v>1</v>
      </c>
      <c r="F56" s="3" t="s">
        <v>867</v>
      </c>
      <c r="G56" s="77">
        <v>321</v>
      </c>
      <c r="H56" s="5" t="s">
        <v>1</v>
      </c>
      <c r="I56" s="78">
        <f t="shared" si="17"/>
        <v>321</v>
      </c>
      <c r="J56" s="110">
        <f t="shared" si="18"/>
        <v>75</v>
      </c>
      <c r="K56" s="4">
        <v>0.4</v>
      </c>
      <c r="L56" s="5" t="s">
        <v>1</v>
      </c>
      <c r="M56" s="80">
        <f t="shared" si="19"/>
        <v>0.4</v>
      </c>
      <c r="N56" s="78">
        <f t="shared" si="20"/>
        <v>30</v>
      </c>
      <c r="O56" s="111">
        <f t="shared" si="21"/>
        <v>351</v>
      </c>
      <c r="P56" s="125">
        <v>0.5</v>
      </c>
      <c r="Q56" s="49">
        <v>0.6</v>
      </c>
      <c r="R56" s="173">
        <v>0.78</v>
      </c>
      <c r="S56" s="228">
        <v>0.98</v>
      </c>
      <c r="T56" s="49">
        <v>1.17</v>
      </c>
      <c r="U56" s="138">
        <v>148179</v>
      </c>
    </row>
    <row r="57" spans="1:21" x14ac:dyDescent="0.25">
      <c r="A57" s="31">
        <v>4</v>
      </c>
      <c r="B57" s="4" t="s">
        <v>218</v>
      </c>
      <c r="C57" s="5">
        <v>1</v>
      </c>
      <c r="D57" s="7">
        <v>0</v>
      </c>
      <c r="E57" s="3">
        <f t="shared" si="16"/>
        <v>1</v>
      </c>
      <c r="F57" s="3" t="s">
        <v>867</v>
      </c>
      <c r="G57" s="77">
        <v>321</v>
      </c>
      <c r="H57" s="5" t="s">
        <v>1</v>
      </c>
      <c r="I57" s="78">
        <f t="shared" si="17"/>
        <v>321</v>
      </c>
      <c r="J57" s="110">
        <f t="shared" si="18"/>
        <v>75</v>
      </c>
      <c r="K57" s="4">
        <v>0.4</v>
      </c>
      <c r="L57" s="5" t="s">
        <v>1</v>
      </c>
      <c r="M57" s="80">
        <f t="shared" si="19"/>
        <v>0.4</v>
      </c>
      <c r="N57" s="78">
        <f t="shared" si="20"/>
        <v>30</v>
      </c>
      <c r="O57" s="111">
        <f t="shared" si="21"/>
        <v>351</v>
      </c>
      <c r="P57" s="125">
        <v>0.5</v>
      </c>
      <c r="Q57" s="49">
        <v>0.6</v>
      </c>
      <c r="R57" s="173">
        <v>0.82</v>
      </c>
      <c r="S57" s="228">
        <v>1</v>
      </c>
      <c r="T57" s="49">
        <v>1.22</v>
      </c>
      <c r="U57" s="138">
        <v>148182</v>
      </c>
    </row>
    <row r="58" spans="1:21" x14ac:dyDescent="0.25">
      <c r="A58" s="31">
        <v>5</v>
      </c>
      <c r="B58" s="4" t="s">
        <v>219</v>
      </c>
      <c r="C58" s="5">
        <v>1</v>
      </c>
      <c r="D58" s="7">
        <v>0</v>
      </c>
      <c r="E58" s="3">
        <f t="shared" si="16"/>
        <v>1</v>
      </c>
      <c r="F58" s="3" t="s">
        <v>867</v>
      </c>
      <c r="G58" s="77">
        <v>321</v>
      </c>
      <c r="H58" s="5" t="s">
        <v>1</v>
      </c>
      <c r="I58" s="78">
        <f t="shared" si="17"/>
        <v>321</v>
      </c>
      <c r="J58" s="110">
        <f t="shared" si="18"/>
        <v>75</v>
      </c>
      <c r="K58" s="4">
        <v>0.4</v>
      </c>
      <c r="L58" s="5" t="s">
        <v>1</v>
      </c>
      <c r="M58" s="80">
        <f t="shared" si="19"/>
        <v>0.4</v>
      </c>
      <c r="N58" s="78">
        <f t="shared" si="20"/>
        <v>30</v>
      </c>
      <c r="O58" s="111">
        <f t="shared" si="21"/>
        <v>351</v>
      </c>
      <c r="P58" s="125">
        <v>0.5</v>
      </c>
      <c r="Q58" s="49">
        <v>0.6</v>
      </c>
      <c r="R58" s="173">
        <v>0.85</v>
      </c>
      <c r="S58" s="228">
        <v>1.06</v>
      </c>
      <c r="T58" s="49">
        <v>1.28</v>
      </c>
      <c r="U58" s="138">
        <v>148185</v>
      </c>
    </row>
    <row r="59" spans="1:21" x14ac:dyDescent="0.25">
      <c r="A59" s="31">
        <v>6</v>
      </c>
      <c r="B59" s="4" t="s">
        <v>220</v>
      </c>
      <c r="C59" s="5">
        <v>1</v>
      </c>
      <c r="D59" s="7">
        <v>0</v>
      </c>
      <c r="E59" s="3">
        <f t="shared" si="16"/>
        <v>1</v>
      </c>
      <c r="F59" s="3" t="s">
        <v>867</v>
      </c>
      <c r="G59" s="77">
        <v>321</v>
      </c>
      <c r="H59" s="5" t="s">
        <v>1</v>
      </c>
      <c r="I59" s="78">
        <f t="shared" si="17"/>
        <v>321</v>
      </c>
      <c r="J59" s="110">
        <f t="shared" si="18"/>
        <v>75</v>
      </c>
      <c r="K59" s="4">
        <v>0.4</v>
      </c>
      <c r="L59" s="5" t="s">
        <v>1</v>
      </c>
      <c r="M59" s="80">
        <f t="shared" si="19"/>
        <v>0.4</v>
      </c>
      <c r="N59" s="78">
        <f t="shared" si="20"/>
        <v>30</v>
      </c>
      <c r="O59" s="111">
        <f t="shared" si="21"/>
        <v>351</v>
      </c>
      <c r="P59" s="125">
        <v>0.5</v>
      </c>
      <c r="Q59" s="49">
        <v>0.6</v>
      </c>
      <c r="R59" s="173">
        <v>0.92</v>
      </c>
      <c r="S59" s="228">
        <v>1.1499999999999999</v>
      </c>
      <c r="T59" s="49">
        <v>1.38</v>
      </c>
      <c r="U59" s="138">
        <v>148188</v>
      </c>
    </row>
    <row r="60" spans="1:21" x14ac:dyDescent="0.25">
      <c r="A60" s="31">
        <v>7</v>
      </c>
      <c r="B60" s="4" t="s">
        <v>221</v>
      </c>
      <c r="C60" s="5">
        <v>1</v>
      </c>
      <c r="D60" s="7">
        <v>0</v>
      </c>
      <c r="E60" s="3">
        <f t="shared" si="16"/>
        <v>1</v>
      </c>
      <c r="F60" s="3" t="s">
        <v>867</v>
      </c>
      <c r="G60" s="77">
        <v>393</v>
      </c>
      <c r="H60" s="5" t="s">
        <v>1</v>
      </c>
      <c r="I60" s="78">
        <f t="shared" si="17"/>
        <v>393</v>
      </c>
      <c r="J60" s="110">
        <f t="shared" si="18"/>
        <v>75</v>
      </c>
      <c r="K60" s="4">
        <v>0.4</v>
      </c>
      <c r="L60" s="5" t="s">
        <v>1</v>
      </c>
      <c r="M60" s="80">
        <f t="shared" si="19"/>
        <v>0.4</v>
      </c>
      <c r="N60" s="78">
        <f t="shared" si="20"/>
        <v>30</v>
      </c>
      <c r="O60" s="111">
        <f t="shared" si="21"/>
        <v>423</v>
      </c>
      <c r="P60" s="125">
        <v>0.5</v>
      </c>
      <c r="Q60" s="49">
        <v>0.6</v>
      </c>
      <c r="R60" s="173">
        <v>1.05</v>
      </c>
      <c r="S60" s="228">
        <v>1.31</v>
      </c>
      <c r="T60" s="49">
        <v>1.58</v>
      </c>
      <c r="U60" s="138">
        <v>148191</v>
      </c>
    </row>
    <row r="61" spans="1:21" x14ac:dyDescent="0.25">
      <c r="A61" s="31">
        <v>8</v>
      </c>
      <c r="B61" s="4" t="s">
        <v>222</v>
      </c>
      <c r="C61" s="5">
        <v>1</v>
      </c>
      <c r="D61" s="7">
        <v>0</v>
      </c>
      <c r="E61" s="3">
        <f t="shared" si="16"/>
        <v>1</v>
      </c>
      <c r="F61" s="3" t="s">
        <v>867</v>
      </c>
      <c r="G61" s="77">
        <v>441.75</v>
      </c>
      <c r="H61" s="5" t="s">
        <v>1</v>
      </c>
      <c r="I61" s="78">
        <f t="shared" si="17"/>
        <v>441.75</v>
      </c>
      <c r="J61" s="110">
        <f t="shared" si="18"/>
        <v>75</v>
      </c>
      <c r="K61" s="4">
        <v>0.4</v>
      </c>
      <c r="L61" s="5" t="s">
        <v>1</v>
      </c>
      <c r="M61" s="80">
        <f t="shared" si="19"/>
        <v>0.4</v>
      </c>
      <c r="N61" s="78">
        <f t="shared" si="20"/>
        <v>30</v>
      </c>
      <c r="O61" s="111">
        <f t="shared" si="21"/>
        <v>471.75</v>
      </c>
      <c r="P61" s="125">
        <v>0.5</v>
      </c>
      <c r="Q61" s="49">
        <v>0.6</v>
      </c>
      <c r="R61" s="173">
        <v>1.18</v>
      </c>
      <c r="S61" s="228">
        <v>1.48</v>
      </c>
      <c r="T61" s="49">
        <v>1.77</v>
      </c>
      <c r="U61" s="138">
        <v>148194</v>
      </c>
    </row>
    <row r="62" spans="1:21" x14ac:dyDescent="0.25">
      <c r="A62" s="31">
        <v>9</v>
      </c>
      <c r="B62" s="4" t="s">
        <v>223</v>
      </c>
      <c r="C62" s="5">
        <v>1</v>
      </c>
      <c r="D62" s="7">
        <v>0</v>
      </c>
      <c r="E62" s="3">
        <f t="shared" si="16"/>
        <v>1</v>
      </c>
      <c r="F62" s="3" t="s">
        <v>867</v>
      </c>
      <c r="G62" s="77">
        <v>441.75</v>
      </c>
      <c r="H62" s="5" t="s">
        <v>1</v>
      </c>
      <c r="I62" s="78">
        <f t="shared" si="17"/>
        <v>441.75</v>
      </c>
      <c r="J62" s="110">
        <f t="shared" si="18"/>
        <v>75</v>
      </c>
      <c r="K62" s="4">
        <v>0.4</v>
      </c>
      <c r="L62" s="5" t="s">
        <v>1</v>
      </c>
      <c r="M62" s="80">
        <f t="shared" si="19"/>
        <v>0.4</v>
      </c>
      <c r="N62" s="78">
        <f t="shared" si="20"/>
        <v>30</v>
      </c>
      <c r="O62" s="111">
        <f t="shared" si="21"/>
        <v>471.75</v>
      </c>
      <c r="P62" s="125">
        <v>0.5</v>
      </c>
      <c r="Q62" s="49">
        <v>0.6</v>
      </c>
      <c r="R62" s="173">
        <v>1.28</v>
      </c>
      <c r="S62" s="228">
        <v>1.6</v>
      </c>
      <c r="T62" s="49">
        <v>1.92</v>
      </c>
      <c r="U62" s="138">
        <v>148197</v>
      </c>
    </row>
    <row r="63" spans="1:21" x14ac:dyDescent="0.25">
      <c r="A63" s="31">
        <v>10</v>
      </c>
      <c r="B63" s="4" t="s">
        <v>966</v>
      </c>
      <c r="C63" s="5">
        <v>1</v>
      </c>
      <c r="D63" s="7">
        <v>0</v>
      </c>
      <c r="E63" s="3">
        <f t="shared" ref="E63" si="22">C63+(C63*D63)</f>
        <v>1</v>
      </c>
      <c r="F63" s="3" t="s">
        <v>867</v>
      </c>
      <c r="G63" s="77">
        <v>550</v>
      </c>
      <c r="H63" s="5" t="s">
        <v>1</v>
      </c>
      <c r="I63" s="78">
        <f t="shared" ref="I63" si="23">G63*E63</f>
        <v>550</v>
      </c>
      <c r="J63" s="110">
        <f t="shared" si="18"/>
        <v>75</v>
      </c>
      <c r="K63" s="4">
        <v>0.4</v>
      </c>
      <c r="L63" s="5" t="s">
        <v>1</v>
      </c>
      <c r="M63" s="80">
        <f t="shared" si="19"/>
        <v>0.4</v>
      </c>
      <c r="N63" s="78">
        <f t="shared" ref="N63" si="24">M63*J63</f>
        <v>30</v>
      </c>
      <c r="O63" s="111">
        <f t="shared" ref="O63" si="25">N63+I63</f>
        <v>580</v>
      </c>
      <c r="P63" s="125">
        <v>0.5</v>
      </c>
      <c r="Q63" s="49">
        <v>0.6</v>
      </c>
      <c r="R63" s="173"/>
      <c r="S63" s="228"/>
      <c r="T63" s="49"/>
      <c r="U63" s="138"/>
    </row>
    <row r="64" spans="1:21" x14ac:dyDescent="0.25">
      <c r="A64" s="31">
        <v>11</v>
      </c>
      <c r="B64" s="4" t="s">
        <v>967</v>
      </c>
      <c r="C64" s="5">
        <v>1</v>
      </c>
      <c r="D64" s="7">
        <v>0</v>
      </c>
      <c r="E64" s="3">
        <f t="shared" ref="E64" si="26">C64+(C64*D64)</f>
        <v>1</v>
      </c>
      <c r="F64" s="3" t="s">
        <v>867</v>
      </c>
      <c r="G64" s="77">
        <v>631</v>
      </c>
      <c r="H64" s="5" t="s">
        <v>1</v>
      </c>
      <c r="I64" s="78">
        <f t="shared" ref="I64" si="27">G64*E64</f>
        <v>631</v>
      </c>
      <c r="J64" s="110">
        <f t="shared" si="18"/>
        <v>75</v>
      </c>
      <c r="K64" s="4"/>
      <c r="L64" s="5" t="s">
        <v>1</v>
      </c>
      <c r="M64" s="80"/>
      <c r="N64" s="78">
        <f t="shared" ref="N64" si="28">M64*J64</f>
        <v>0</v>
      </c>
      <c r="O64" s="111">
        <f t="shared" ref="O64" si="29">N64+I64</f>
        <v>631</v>
      </c>
      <c r="P64" s="125"/>
      <c r="Q64" s="49"/>
      <c r="R64" s="173"/>
      <c r="S64" s="228"/>
      <c r="T64" s="49"/>
      <c r="U64" s="138"/>
    </row>
    <row r="65" spans="1:21" x14ac:dyDescent="0.25">
      <c r="A65" s="31">
        <v>12</v>
      </c>
      <c r="B65" s="4" t="s">
        <v>969</v>
      </c>
      <c r="C65" s="5">
        <v>1</v>
      </c>
      <c r="D65" s="7">
        <v>0</v>
      </c>
      <c r="E65" s="3">
        <f t="shared" ref="E65" si="30">C65+(C65*D65)</f>
        <v>1</v>
      </c>
      <c r="F65" s="3" t="s">
        <v>867</v>
      </c>
      <c r="G65" s="77">
        <v>768</v>
      </c>
      <c r="H65" s="5" t="s">
        <v>1</v>
      </c>
      <c r="I65" s="78">
        <f t="shared" ref="I65" si="31">G65*E65</f>
        <v>768</v>
      </c>
      <c r="J65" s="110">
        <f t="shared" si="18"/>
        <v>75</v>
      </c>
      <c r="K65" s="4"/>
      <c r="L65" s="5" t="s">
        <v>1</v>
      </c>
      <c r="M65" s="80"/>
      <c r="N65" s="78">
        <f t="shared" ref="N65" si="32">M65*J65</f>
        <v>0</v>
      </c>
      <c r="O65" s="111">
        <f t="shared" ref="O65" si="33">N65+I65</f>
        <v>768</v>
      </c>
      <c r="P65" s="125"/>
      <c r="Q65" s="49"/>
      <c r="R65" s="173"/>
      <c r="S65" s="228"/>
      <c r="T65" s="49"/>
      <c r="U65" s="138"/>
    </row>
    <row r="66" spans="1:21" x14ac:dyDescent="0.25">
      <c r="A66" s="31">
        <v>13</v>
      </c>
      <c r="B66" s="4" t="s">
        <v>968</v>
      </c>
      <c r="C66" s="5">
        <v>1</v>
      </c>
      <c r="D66" s="7">
        <v>0</v>
      </c>
      <c r="E66" s="3">
        <f t="shared" ref="E66" si="34">C66+(C66*D66)</f>
        <v>1</v>
      </c>
      <c r="F66" s="3" t="s">
        <v>867</v>
      </c>
      <c r="G66" s="77">
        <v>1047</v>
      </c>
      <c r="H66" s="5" t="s">
        <v>1</v>
      </c>
      <c r="I66" s="78">
        <f t="shared" ref="I66" si="35">G66*E66</f>
        <v>1047</v>
      </c>
      <c r="J66" s="110">
        <f t="shared" si="18"/>
        <v>75</v>
      </c>
      <c r="K66" s="4"/>
      <c r="L66" s="5" t="s">
        <v>1</v>
      </c>
      <c r="M66" s="80"/>
      <c r="N66" s="78">
        <f t="shared" ref="N66" si="36">M66*J66</f>
        <v>0</v>
      </c>
      <c r="O66" s="111">
        <f t="shared" ref="O66" si="37">N66+I66</f>
        <v>1047</v>
      </c>
      <c r="P66" s="125"/>
      <c r="Q66" s="49"/>
      <c r="R66" s="173"/>
      <c r="S66" s="228"/>
      <c r="T66" s="49"/>
      <c r="U66" s="138"/>
    </row>
    <row r="67" spans="1:21" x14ac:dyDescent="0.25">
      <c r="A67" s="31">
        <v>14</v>
      </c>
      <c r="B67" s="4" t="s">
        <v>970</v>
      </c>
      <c r="C67" s="5">
        <v>1</v>
      </c>
      <c r="D67" s="7">
        <v>0</v>
      </c>
      <c r="E67" s="3">
        <f t="shared" ref="E67" si="38">C67+(C67*D67)</f>
        <v>1</v>
      </c>
      <c r="F67" s="3" t="s">
        <v>867</v>
      </c>
      <c r="G67" s="77">
        <v>1072</v>
      </c>
      <c r="H67" s="5" t="s">
        <v>1</v>
      </c>
      <c r="I67" s="78">
        <f t="shared" ref="I67" si="39">G67*E67</f>
        <v>1072</v>
      </c>
      <c r="J67" s="110">
        <f t="shared" si="18"/>
        <v>75</v>
      </c>
      <c r="K67" s="4"/>
      <c r="L67" s="5" t="s">
        <v>1</v>
      </c>
      <c r="M67" s="80"/>
      <c r="N67" s="78">
        <f t="shared" ref="N67" si="40">M67*J67</f>
        <v>0</v>
      </c>
      <c r="O67" s="111">
        <f t="shared" ref="O67" si="41">N67+I67</f>
        <v>1072</v>
      </c>
      <c r="P67" s="125"/>
      <c r="Q67" s="49"/>
      <c r="R67" s="173"/>
      <c r="S67" s="228"/>
      <c r="T67" s="49"/>
      <c r="U67" s="138"/>
    </row>
    <row r="68" spans="1:21" x14ac:dyDescent="0.25">
      <c r="A68" s="31"/>
      <c r="B68" s="4"/>
      <c r="C68" s="5"/>
      <c r="D68" s="7"/>
      <c r="E68" s="3"/>
      <c r="F68" s="3"/>
      <c r="G68" s="77"/>
      <c r="H68" s="5"/>
      <c r="I68" s="78"/>
      <c r="J68" s="9"/>
      <c r="K68" s="4"/>
      <c r="L68" s="5"/>
      <c r="M68" s="80"/>
      <c r="N68" s="78"/>
      <c r="O68" s="111"/>
      <c r="P68" s="125"/>
      <c r="Q68" s="49"/>
      <c r="R68" s="173"/>
      <c r="S68" s="228"/>
      <c r="T68" s="49"/>
      <c r="U68" s="138"/>
    </row>
    <row r="69" spans="1:21" ht="15.75" thickBot="1" x14ac:dyDescent="0.3">
      <c r="A69" s="31"/>
      <c r="B69" s="4"/>
      <c r="C69" s="5"/>
      <c r="D69" s="7"/>
      <c r="E69" s="3"/>
      <c r="F69" s="3"/>
      <c r="G69" s="77"/>
      <c r="H69" s="5"/>
      <c r="I69" s="78"/>
      <c r="J69" s="9"/>
      <c r="K69" s="4"/>
      <c r="L69" s="5"/>
      <c r="M69" s="80"/>
      <c r="N69" s="78"/>
      <c r="O69" s="111"/>
      <c r="P69" s="125"/>
      <c r="Q69" s="49"/>
      <c r="R69" s="173"/>
      <c r="S69" s="228"/>
      <c r="T69" s="49"/>
      <c r="U69" s="138"/>
    </row>
    <row r="70" spans="1:21" ht="15.75" thickBot="1" x14ac:dyDescent="0.3">
      <c r="A70" s="32"/>
      <c r="B70" s="118" t="s">
        <v>225</v>
      </c>
      <c r="C70" s="5"/>
      <c r="D70" s="5"/>
      <c r="E70" s="5"/>
      <c r="F70" s="5"/>
      <c r="G70" s="9"/>
      <c r="H70" s="5"/>
      <c r="I70" s="78"/>
      <c r="J70" s="4"/>
      <c r="K70" s="4"/>
      <c r="L70" s="5"/>
      <c r="M70" s="80"/>
      <c r="N70" s="78"/>
      <c r="O70" s="111"/>
      <c r="P70" s="125"/>
      <c r="Q70" s="49"/>
      <c r="R70" s="173"/>
      <c r="S70" s="228"/>
      <c r="T70" s="49"/>
      <c r="U70" s="138"/>
    </row>
    <row r="71" spans="1:21" ht="15.75" thickBot="1" x14ac:dyDescent="0.3">
      <c r="A71" s="31"/>
      <c r="B71" s="4"/>
      <c r="C71" s="5"/>
      <c r="D71" s="5"/>
      <c r="E71" s="5"/>
      <c r="F71" s="5"/>
      <c r="G71" s="9"/>
      <c r="H71" s="5"/>
      <c r="I71" s="78"/>
      <c r="J71" s="4"/>
      <c r="K71" s="4"/>
      <c r="L71" s="5"/>
      <c r="M71" s="80"/>
      <c r="N71" s="78"/>
      <c r="O71" s="111"/>
      <c r="P71" s="125"/>
      <c r="Q71" s="49"/>
      <c r="R71" s="173"/>
      <c r="S71" s="228"/>
      <c r="T71" s="49"/>
      <c r="U71" s="138"/>
    </row>
    <row r="72" spans="1:21" ht="15.75" thickBot="1" x14ac:dyDescent="0.3">
      <c r="A72" s="32"/>
      <c r="B72" s="118" t="s">
        <v>227</v>
      </c>
      <c r="C72" s="5"/>
      <c r="D72" s="5"/>
      <c r="E72" s="5"/>
      <c r="F72" s="5"/>
      <c r="G72" s="9"/>
      <c r="H72" s="5"/>
      <c r="I72" s="78"/>
      <c r="J72" s="4"/>
      <c r="K72" s="4"/>
      <c r="L72" s="5"/>
      <c r="M72" s="80"/>
      <c r="N72" s="78"/>
      <c r="O72" s="111"/>
      <c r="P72" s="125"/>
      <c r="Q72" s="49"/>
      <c r="R72" s="173"/>
      <c r="S72" s="228"/>
      <c r="T72" s="49"/>
      <c r="U72" s="138"/>
    </row>
    <row r="73" spans="1:21" x14ac:dyDescent="0.25">
      <c r="A73" s="31"/>
      <c r="B73" s="4"/>
      <c r="C73" s="5"/>
      <c r="D73" s="5"/>
      <c r="E73" s="5"/>
      <c r="F73" s="5"/>
      <c r="G73" s="9"/>
      <c r="H73" s="5"/>
      <c r="I73" s="78"/>
      <c r="J73" s="4"/>
      <c r="K73" s="4"/>
      <c r="L73" s="5"/>
      <c r="M73" s="80"/>
      <c r="N73" s="78"/>
      <c r="O73" s="111"/>
      <c r="P73" s="125"/>
      <c r="Q73" s="49"/>
      <c r="R73" s="173"/>
      <c r="S73" s="228"/>
      <c r="T73" s="49"/>
      <c r="U73" s="138"/>
    </row>
    <row r="74" spans="1:21" x14ac:dyDescent="0.25">
      <c r="A74" s="31">
        <v>1</v>
      </c>
      <c r="B74" s="4" t="s">
        <v>224</v>
      </c>
      <c r="C74" s="5">
        <v>1</v>
      </c>
      <c r="D74" s="7">
        <v>0</v>
      </c>
      <c r="E74" s="3">
        <f t="shared" ref="E74:E86" si="42">C74+(C74*D74)</f>
        <v>1</v>
      </c>
      <c r="F74" s="3" t="s">
        <v>867</v>
      </c>
      <c r="G74" s="77">
        <v>22.13</v>
      </c>
      <c r="H74" s="5" t="s">
        <v>1</v>
      </c>
      <c r="I74" s="78">
        <f t="shared" ref="I74:I86" si="43">G74*E74</f>
        <v>22.13</v>
      </c>
      <c r="J74" s="110">
        <f t="shared" ref="J74:J86" si="44">$O$4</f>
        <v>75</v>
      </c>
      <c r="K74" s="4">
        <v>0.15</v>
      </c>
      <c r="L74" s="5" t="s">
        <v>1</v>
      </c>
      <c r="M74" s="80">
        <f t="shared" ref="M74:M86" si="45">K74*E74</f>
        <v>0.15</v>
      </c>
      <c r="N74" s="78">
        <f t="shared" ref="N74:N82" si="46">M74*J74</f>
        <v>11.25</v>
      </c>
      <c r="O74" s="111">
        <f t="shared" ref="O74:O82" si="47">N74+I74</f>
        <v>33.379999999999995</v>
      </c>
      <c r="P74" s="125">
        <v>0.19</v>
      </c>
      <c r="Q74" s="49">
        <v>0.23</v>
      </c>
      <c r="R74" s="173">
        <v>0.32</v>
      </c>
      <c r="S74" s="228">
        <v>0.4</v>
      </c>
      <c r="T74" s="49">
        <v>0.48</v>
      </c>
      <c r="U74" s="138">
        <v>148809</v>
      </c>
    </row>
    <row r="75" spans="1:21" x14ac:dyDescent="0.25">
      <c r="A75" s="31">
        <v>2</v>
      </c>
      <c r="B75" s="4" t="s">
        <v>226</v>
      </c>
      <c r="C75" s="5">
        <v>1</v>
      </c>
      <c r="D75" s="7">
        <v>0</v>
      </c>
      <c r="E75" s="3">
        <f t="shared" si="42"/>
        <v>1</v>
      </c>
      <c r="F75" s="3" t="s">
        <v>867</v>
      </c>
      <c r="G75" s="77">
        <v>22.13</v>
      </c>
      <c r="H75" s="5" t="s">
        <v>1</v>
      </c>
      <c r="I75" s="78">
        <f t="shared" si="43"/>
        <v>22.13</v>
      </c>
      <c r="J75" s="110">
        <f t="shared" si="44"/>
        <v>75</v>
      </c>
      <c r="K75" s="4">
        <v>0.15</v>
      </c>
      <c r="L75" s="5" t="s">
        <v>1</v>
      </c>
      <c r="M75" s="80">
        <f t="shared" si="45"/>
        <v>0.15</v>
      </c>
      <c r="N75" s="78">
        <f t="shared" si="46"/>
        <v>11.25</v>
      </c>
      <c r="O75" s="111">
        <f t="shared" si="47"/>
        <v>33.379999999999995</v>
      </c>
      <c r="P75" s="125">
        <v>0.19</v>
      </c>
      <c r="Q75" s="49">
        <v>0.23</v>
      </c>
      <c r="R75" s="173">
        <v>0.34</v>
      </c>
      <c r="S75" s="228">
        <v>0.43</v>
      </c>
      <c r="T75" s="49">
        <v>0.51</v>
      </c>
      <c r="U75" s="138">
        <v>148812</v>
      </c>
    </row>
    <row r="76" spans="1:21" x14ac:dyDescent="0.25">
      <c r="A76" s="31">
        <v>3</v>
      </c>
      <c r="B76" s="4" t="s">
        <v>228</v>
      </c>
      <c r="C76" s="5">
        <v>1</v>
      </c>
      <c r="D76" s="7">
        <v>0</v>
      </c>
      <c r="E76" s="3">
        <f t="shared" si="42"/>
        <v>1</v>
      </c>
      <c r="F76" s="3" t="s">
        <v>867</v>
      </c>
      <c r="G76" s="77">
        <v>22.13</v>
      </c>
      <c r="H76" s="5" t="s">
        <v>1</v>
      </c>
      <c r="I76" s="78">
        <f t="shared" si="43"/>
        <v>22.13</v>
      </c>
      <c r="J76" s="110">
        <f t="shared" si="44"/>
        <v>75</v>
      </c>
      <c r="K76" s="4">
        <v>0.15</v>
      </c>
      <c r="L76" s="5" t="s">
        <v>1</v>
      </c>
      <c r="M76" s="80">
        <f t="shared" si="45"/>
        <v>0.15</v>
      </c>
      <c r="N76" s="78">
        <f t="shared" si="46"/>
        <v>11.25</v>
      </c>
      <c r="O76" s="111">
        <f t="shared" si="47"/>
        <v>33.379999999999995</v>
      </c>
      <c r="P76" s="125">
        <v>0.19</v>
      </c>
      <c r="Q76" s="49">
        <v>0.23</v>
      </c>
      <c r="R76" s="173">
        <v>0.38</v>
      </c>
      <c r="S76" s="228">
        <v>0.48</v>
      </c>
      <c r="T76" s="49">
        <v>0.56999999999999995</v>
      </c>
      <c r="U76" s="138">
        <v>148815</v>
      </c>
    </row>
    <row r="77" spans="1:21" x14ac:dyDescent="0.25">
      <c r="A77" s="31">
        <v>4</v>
      </c>
      <c r="B77" s="4" t="s">
        <v>229</v>
      </c>
      <c r="C77" s="5">
        <v>1</v>
      </c>
      <c r="D77" s="7">
        <v>0</v>
      </c>
      <c r="E77" s="3">
        <f t="shared" si="42"/>
        <v>1</v>
      </c>
      <c r="F77" s="3" t="s">
        <v>867</v>
      </c>
      <c r="G77" s="77">
        <v>22.13</v>
      </c>
      <c r="H77" s="5" t="s">
        <v>1</v>
      </c>
      <c r="I77" s="78">
        <f t="shared" si="43"/>
        <v>22.13</v>
      </c>
      <c r="J77" s="110">
        <f t="shared" si="44"/>
        <v>75</v>
      </c>
      <c r="K77" s="4">
        <v>0.15</v>
      </c>
      <c r="L77" s="5" t="s">
        <v>1</v>
      </c>
      <c r="M77" s="80">
        <f t="shared" si="45"/>
        <v>0.15</v>
      </c>
      <c r="N77" s="78">
        <f t="shared" si="46"/>
        <v>11.25</v>
      </c>
      <c r="O77" s="111">
        <f t="shared" si="47"/>
        <v>33.379999999999995</v>
      </c>
      <c r="P77" s="125">
        <v>0.19</v>
      </c>
      <c r="Q77" s="49">
        <v>0.23</v>
      </c>
      <c r="R77" s="173">
        <v>0.38</v>
      </c>
      <c r="S77" s="228">
        <v>0.48</v>
      </c>
      <c r="T77" s="49">
        <v>0.56999999999999995</v>
      </c>
      <c r="U77" s="138">
        <v>148818</v>
      </c>
    </row>
    <row r="78" spans="1:21" x14ac:dyDescent="0.25">
      <c r="A78" s="31">
        <v>5</v>
      </c>
      <c r="B78" s="4" t="s">
        <v>230</v>
      </c>
      <c r="C78" s="5">
        <v>1</v>
      </c>
      <c r="D78" s="7">
        <v>0</v>
      </c>
      <c r="E78" s="3">
        <f t="shared" si="42"/>
        <v>1</v>
      </c>
      <c r="F78" s="3" t="s">
        <v>867</v>
      </c>
      <c r="G78" s="77">
        <v>22.13</v>
      </c>
      <c r="H78" s="5" t="s">
        <v>1</v>
      </c>
      <c r="I78" s="78">
        <f t="shared" si="43"/>
        <v>22.13</v>
      </c>
      <c r="J78" s="110">
        <f t="shared" si="44"/>
        <v>75</v>
      </c>
      <c r="K78" s="4">
        <v>0.15</v>
      </c>
      <c r="L78" s="5" t="s">
        <v>1</v>
      </c>
      <c r="M78" s="80">
        <f t="shared" si="45"/>
        <v>0.15</v>
      </c>
      <c r="N78" s="78">
        <f t="shared" si="46"/>
        <v>11.25</v>
      </c>
      <c r="O78" s="111">
        <f t="shared" si="47"/>
        <v>33.379999999999995</v>
      </c>
      <c r="P78" s="125">
        <v>0.19</v>
      </c>
      <c r="Q78" s="49">
        <v>0.23</v>
      </c>
      <c r="R78" s="173">
        <v>0.42</v>
      </c>
      <c r="S78" s="228">
        <v>0.53</v>
      </c>
      <c r="T78" s="49">
        <v>0.63</v>
      </c>
      <c r="U78" s="138">
        <v>148821</v>
      </c>
    </row>
    <row r="79" spans="1:21" x14ac:dyDescent="0.25">
      <c r="A79" s="31">
        <v>6</v>
      </c>
      <c r="B79" s="4" t="s">
        <v>231</v>
      </c>
      <c r="C79" s="5">
        <v>1</v>
      </c>
      <c r="D79" s="7">
        <v>0</v>
      </c>
      <c r="E79" s="3">
        <f t="shared" si="42"/>
        <v>1</v>
      </c>
      <c r="F79" s="3" t="s">
        <v>867</v>
      </c>
      <c r="G79" s="77">
        <v>22.13</v>
      </c>
      <c r="H79" s="5" t="s">
        <v>1</v>
      </c>
      <c r="I79" s="78">
        <f t="shared" si="43"/>
        <v>22.13</v>
      </c>
      <c r="J79" s="110">
        <f t="shared" si="44"/>
        <v>75</v>
      </c>
      <c r="K79" s="4">
        <v>0.15</v>
      </c>
      <c r="L79" s="5" t="s">
        <v>1</v>
      </c>
      <c r="M79" s="80">
        <f t="shared" si="45"/>
        <v>0.15</v>
      </c>
      <c r="N79" s="78">
        <f t="shared" si="46"/>
        <v>11.25</v>
      </c>
      <c r="O79" s="111">
        <f t="shared" si="47"/>
        <v>33.379999999999995</v>
      </c>
      <c r="P79" s="125">
        <v>0.19</v>
      </c>
      <c r="Q79" s="49">
        <v>0.23</v>
      </c>
      <c r="R79" s="173">
        <v>0.42</v>
      </c>
      <c r="S79" s="228">
        <v>0.53</v>
      </c>
      <c r="T79" s="49">
        <v>0.63</v>
      </c>
      <c r="U79" s="138">
        <v>148824</v>
      </c>
    </row>
    <row r="80" spans="1:21" x14ac:dyDescent="0.25">
      <c r="A80" s="31">
        <v>7</v>
      </c>
      <c r="B80" s="4" t="s">
        <v>232</v>
      </c>
      <c r="C80" s="5">
        <v>1</v>
      </c>
      <c r="D80" s="7">
        <v>0</v>
      </c>
      <c r="E80" s="3">
        <f t="shared" si="42"/>
        <v>1</v>
      </c>
      <c r="F80" s="3" t="s">
        <v>867</v>
      </c>
      <c r="G80" s="77">
        <v>22.13</v>
      </c>
      <c r="H80" s="5" t="s">
        <v>1</v>
      </c>
      <c r="I80" s="78">
        <f t="shared" si="43"/>
        <v>22.13</v>
      </c>
      <c r="J80" s="110">
        <f t="shared" si="44"/>
        <v>75</v>
      </c>
      <c r="K80" s="4">
        <v>0.15</v>
      </c>
      <c r="L80" s="5" t="s">
        <v>1</v>
      </c>
      <c r="M80" s="80">
        <f t="shared" si="45"/>
        <v>0.15</v>
      </c>
      <c r="N80" s="78">
        <f t="shared" si="46"/>
        <v>11.25</v>
      </c>
      <c r="O80" s="111">
        <f t="shared" si="47"/>
        <v>33.379999999999995</v>
      </c>
      <c r="P80" s="125">
        <v>0.19</v>
      </c>
      <c r="Q80" s="49">
        <v>0.23</v>
      </c>
      <c r="R80" s="173">
        <v>0.42</v>
      </c>
      <c r="S80" s="228">
        <v>0.53</v>
      </c>
      <c r="T80" s="49">
        <v>0.63</v>
      </c>
      <c r="U80" s="138">
        <v>148830</v>
      </c>
    </row>
    <row r="81" spans="1:21" x14ac:dyDescent="0.25">
      <c r="A81" s="31">
        <v>8</v>
      </c>
      <c r="B81" s="4" t="s">
        <v>233</v>
      </c>
      <c r="C81" s="5">
        <v>1</v>
      </c>
      <c r="D81" s="7">
        <v>0</v>
      </c>
      <c r="E81" s="3">
        <f t="shared" si="42"/>
        <v>1</v>
      </c>
      <c r="F81" s="3" t="s">
        <v>867</v>
      </c>
      <c r="G81" s="77">
        <v>22.13</v>
      </c>
      <c r="H81" s="5" t="s">
        <v>1</v>
      </c>
      <c r="I81" s="78">
        <f t="shared" si="43"/>
        <v>22.13</v>
      </c>
      <c r="J81" s="110">
        <f t="shared" si="44"/>
        <v>75</v>
      </c>
      <c r="K81" s="4">
        <v>0.15</v>
      </c>
      <c r="L81" s="5" t="s">
        <v>1</v>
      </c>
      <c r="M81" s="80">
        <f t="shared" si="45"/>
        <v>0.15</v>
      </c>
      <c r="N81" s="78">
        <f t="shared" si="46"/>
        <v>11.25</v>
      </c>
      <c r="O81" s="111">
        <f t="shared" si="47"/>
        <v>33.379999999999995</v>
      </c>
      <c r="P81" s="125">
        <v>0.19</v>
      </c>
      <c r="Q81" s="49">
        <v>0.23</v>
      </c>
      <c r="R81" s="173">
        <v>0.47</v>
      </c>
      <c r="S81" s="228">
        <v>0.59</v>
      </c>
      <c r="T81" s="49">
        <v>0.71</v>
      </c>
      <c r="U81" s="138">
        <v>148833</v>
      </c>
    </row>
    <row r="82" spans="1:21" x14ac:dyDescent="0.25">
      <c r="A82" s="31">
        <v>9</v>
      </c>
      <c r="B82" s="4" t="s">
        <v>234</v>
      </c>
      <c r="C82" s="5">
        <v>1</v>
      </c>
      <c r="D82" s="7">
        <v>0</v>
      </c>
      <c r="E82" s="3">
        <f t="shared" si="42"/>
        <v>1</v>
      </c>
      <c r="F82" s="3" t="s">
        <v>867</v>
      </c>
      <c r="G82" s="77">
        <v>45</v>
      </c>
      <c r="H82" s="5" t="s">
        <v>1</v>
      </c>
      <c r="I82" s="78">
        <f t="shared" si="43"/>
        <v>45</v>
      </c>
      <c r="J82" s="110">
        <f t="shared" si="44"/>
        <v>75</v>
      </c>
      <c r="K82" s="4">
        <v>0.15</v>
      </c>
      <c r="L82" s="5" t="s">
        <v>1</v>
      </c>
      <c r="M82" s="80">
        <f t="shared" si="45"/>
        <v>0.15</v>
      </c>
      <c r="N82" s="78">
        <f t="shared" si="46"/>
        <v>11.25</v>
      </c>
      <c r="O82" s="111">
        <f t="shared" si="47"/>
        <v>56.25</v>
      </c>
      <c r="P82" s="125">
        <v>0.19</v>
      </c>
      <c r="Q82" s="49">
        <v>0.23</v>
      </c>
      <c r="R82" s="173">
        <v>0.53</v>
      </c>
      <c r="S82" s="228">
        <v>0.66</v>
      </c>
      <c r="T82" s="49">
        <v>0.8</v>
      </c>
      <c r="U82" s="138">
        <v>148836</v>
      </c>
    </row>
    <row r="83" spans="1:21" x14ac:dyDescent="0.25">
      <c r="A83" s="31">
        <v>10</v>
      </c>
      <c r="B83" s="4" t="s">
        <v>235</v>
      </c>
      <c r="C83" s="5">
        <v>1</v>
      </c>
      <c r="D83" s="7">
        <v>0</v>
      </c>
      <c r="E83" s="3">
        <f t="shared" si="42"/>
        <v>1</v>
      </c>
      <c r="F83" s="3" t="s">
        <v>867</v>
      </c>
      <c r="G83" s="77">
        <v>135.75</v>
      </c>
      <c r="H83" s="5" t="s">
        <v>1</v>
      </c>
      <c r="I83" s="78">
        <f t="shared" si="43"/>
        <v>135.75</v>
      </c>
      <c r="J83" s="110">
        <f t="shared" si="44"/>
        <v>75</v>
      </c>
      <c r="K83" s="4">
        <v>0.25</v>
      </c>
      <c r="L83" s="5" t="s">
        <v>1</v>
      </c>
      <c r="M83" s="80">
        <f t="shared" si="45"/>
        <v>0.25</v>
      </c>
      <c r="N83" s="78">
        <f t="shared" ref="N83:N131" si="48">M83*J83</f>
        <v>18.75</v>
      </c>
      <c r="O83" s="111">
        <f t="shared" ref="O83:O131" si="49">N83+I83</f>
        <v>154.5</v>
      </c>
      <c r="P83" s="125">
        <v>0.31</v>
      </c>
      <c r="Q83" s="49">
        <v>0.38</v>
      </c>
      <c r="R83" s="173">
        <v>0.47</v>
      </c>
      <c r="S83" s="228">
        <v>0.65</v>
      </c>
      <c r="T83" s="49">
        <v>0.83</v>
      </c>
      <c r="U83" s="138">
        <v>148839</v>
      </c>
    </row>
    <row r="84" spans="1:21" x14ac:dyDescent="0.25">
      <c r="A84" s="31">
        <v>11</v>
      </c>
      <c r="B84" s="4" t="s">
        <v>236</v>
      </c>
      <c r="C84" s="5">
        <v>1</v>
      </c>
      <c r="D84" s="7">
        <v>0</v>
      </c>
      <c r="E84" s="3">
        <f t="shared" si="42"/>
        <v>1</v>
      </c>
      <c r="F84" s="3" t="s">
        <v>867</v>
      </c>
      <c r="G84" s="77">
        <v>135.75</v>
      </c>
      <c r="H84" s="5" t="s">
        <v>1</v>
      </c>
      <c r="I84" s="78">
        <f t="shared" si="43"/>
        <v>135.75</v>
      </c>
      <c r="J84" s="110">
        <f t="shared" si="44"/>
        <v>75</v>
      </c>
      <c r="K84" s="4">
        <v>0.25</v>
      </c>
      <c r="L84" s="5" t="s">
        <v>1</v>
      </c>
      <c r="M84" s="80">
        <f t="shared" si="45"/>
        <v>0.25</v>
      </c>
      <c r="N84" s="78">
        <f t="shared" si="48"/>
        <v>18.75</v>
      </c>
      <c r="O84" s="111">
        <f t="shared" si="49"/>
        <v>154.5</v>
      </c>
      <c r="P84" s="125">
        <v>0.31</v>
      </c>
      <c r="Q84" s="49">
        <v>0.38</v>
      </c>
      <c r="R84" s="173">
        <v>0.49</v>
      </c>
      <c r="S84" s="228">
        <v>0.68</v>
      </c>
      <c r="T84" s="49">
        <v>0.86</v>
      </c>
      <c r="U84" s="138">
        <v>148842</v>
      </c>
    </row>
    <row r="85" spans="1:21" x14ac:dyDescent="0.25">
      <c r="A85" s="31">
        <v>12</v>
      </c>
      <c r="B85" s="4" t="s">
        <v>237</v>
      </c>
      <c r="C85" s="5">
        <v>1</v>
      </c>
      <c r="D85" s="7">
        <v>0</v>
      </c>
      <c r="E85" s="3">
        <f t="shared" si="42"/>
        <v>1</v>
      </c>
      <c r="F85" s="3" t="s">
        <v>867</v>
      </c>
      <c r="G85" s="77">
        <v>130.5</v>
      </c>
      <c r="H85" s="5" t="s">
        <v>1</v>
      </c>
      <c r="I85" s="78">
        <f t="shared" si="43"/>
        <v>130.5</v>
      </c>
      <c r="J85" s="110">
        <f t="shared" si="44"/>
        <v>75</v>
      </c>
      <c r="K85" s="4">
        <v>0.25</v>
      </c>
      <c r="L85" s="5" t="s">
        <v>1</v>
      </c>
      <c r="M85" s="80">
        <f t="shared" si="45"/>
        <v>0.25</v>
      </c>
      <c r="N85" s="78">
        <f t="shared" si="48"/>
        <v>18.75</v>
      </c>
      <c r="O85" s="111">
        <f t="shared" si="49"/>
        <v>149.25</v>
      </c>
      <c r="P85" s="125">
        <v>0.31</v>
      </c>
      <c r="Q85" s="49">
        <v>0.38</v>
      </c>
      <c r="R85" s="173">
        <v>0.53</v>
      </c>
      <c r="S85" s="228">
        <v>0.73</v>
      </c>
      <c r="T85" s="49">
        <v>0.92</v>
      </c>
      <c r="U85" s="138">
        <v>148845</v>
      </c>
    </row>
    <row r="86" spans="1:21" x14ac:dyDescent="0.25">
      <c r="A86" s="31">
        <v>13</v>
      </c>
      <c r="B86" s="4" t="s">
        <v>238</v>
      </c>
      <c r="C86" s="5">
        <v>1</v>
      </c>
      <c r="D86" s="7">
        <v>0</v>
      </c>
      <c r="E86" s="3">
        <f t="shared" si="42"/>
        <v>1</v>
      </c>
      <c r="F86" s="3" t="s">
        <v>867</v>
      </c>
      <c r="G86" s="77">
        <v>135.75</v>
      </c>
      <c r="H86" s="5" t="s">
        <v>1</v>
      </c>
      <c r="I86" s="78">
        <f t="shared" si="43"/>
        <v>135.75</v>
      </c>
      <c r="J86" s="110">
        <f t="shared" si="44"/>
        <v>75</v>
      </c>
      <c r="K86" s="4">
        <v>0.25</v>
      </c>
      <c r="L86" s="5" t="s">
        <v>1</v>
      </c>
      <c r="M86" s="80">
        <f t="shared" si="45"/>
        <v>0.25</v>
      </c>
      <c r="N86" s="78">
        <f t="shared" si="48"/>
        <v>18.75</v>
      </c>
      <c r="O86" s="111">
        <f t="shared" si="49"/>
        <v>154.5</v>
      </c>
      <c r="P86" s="125">
        <v>0.31</v>
      </c>
      <c r="Q86" s="49">
        <v>0.38</v>
      </c>
      <c r="R86" s="173">
        <v>0.53</v>
      </c>
      <c r="S86" s="228">
        <v>0.73</v>
      </c>
      <c r="T86" s="49">
        <v>0.92</v>
      </c>
      <c r="U86" s="138">
        <v>148848</v>
      </c>
    </row>
    <row r="87" spans="1:21" ht="15.75" thickBot="1" x14ac:dyDescent="0.3">
      <c r="A87" s="31"/>
      <c r="B87" s="4"/>
      <c r="C87" s="5"/>
      <c r="D87" s="5"/>
      <c r="E87" s="5"/>
      <c r="F87" s="5"/>
      <c r="G87" s="77"/>
      <c r="H87" s="5"/>
      <c r="I87" s="78"/>
      <c r="J87" s="4"/>
      <c r="K87" s="4"/>
      <c r="L87" s="5"/>
      <c r="M87" s="80"/>
      <c r="N87" s="78"/>
      <c r="O87" s="111"/>
      <c r="P87" s="125"/>
      <c r="Q87" s="49"/>
      <c r="R87" s="173"/>
      <c r="S87" s="228"/>
      <c r="T87" s="49"/>
      <c r="U87" s="138"/>
    </row>
    <row r="88" spans="1:21" ht="15.75" thickBot="1" x14ac:dyDescent="0.3">
      <c r="A88" s="32"/>
      <c r="B88" s="118" t="s">
        <v>240</v>
      </c>
      <c r="C88" s="5"/>
      <c r="D88" s="5"/>
      <c r="E88" s="5"/>
      <c r="F88" s="5"/>
      <c r="G88" s="77"/>
      <c r="H88" s="5"/>
      <c r="I88" s="78"/>
      <c r="J88" s="4"/>
      <c r="K88" s="4"/>
      <c r="L88" s="5"/>
      <c r="M88" s="80"/>
      <c r="N88" s="78"/>
      <c r="O88" s="111"/>
      <c r="P88" s="125"/>
      <c r="Q88" s="49"/>
      <c r="R88" s="173"/>
      <c r="S88" s="228"/>
      <c r="T88" s="49"/>
      <c r="U88" s="138"/>
    </row>
    <row r="89" spans="1:21" x14ac:dyDescent="0.25">
      <c r="A89" s="31"/>
      <c r="B89" s="4"/>
      <c r="C89" s="5"/>
      <c r="D89" s="5"/>
      <c r="E89" s="5"/>
      <c r="F89" s="5"/>
      <c r="G89" s="77"/>
      <c r="H89" s="5"/>
      <c r="I89" s="78"/>
      <c r="J89" s="4"/>
      <c r="K89" s="4"/>
      <c r="L89" s="5"/>
      <c r="M89" s="80"/>
      <c r="N89" s="78"/>
      <c r="O89" s="111"/>
      <c r="P89" s="125"/>
      <c r="Q89" s="49"/>
      <c r="R89" s="173"/>
      <c r="S89" s="228"/>
      <c r="T89" s="49"/>
      <c r="U89" s="138"/>
    </row>
    <row r="90" spans="1:21" x14ac:dyDescent="0.25">
      <c r="A90" s="31">
        <v>1</v>
      </c>
      <c r="B90" s="4" t="s">
        <v>239</v>
      </c>
      <c r="C90" s="5">
        <v>1</v>
      </c>
      <c r="D90" s="7">
        <v>0</v>
      </c>
      <c r="E90" s="3">
        <f t="shared" ref="E90:E110" si="50">C90+(C90*D90)</f>
        <v>1</v>
      </c>
      <c r="F90" s="3" t="s">
        <v>867</v>
      </c>
      <c r="G90" s="77">
        <v>46.5</v>
      </c>
      <c r="H90" s="5" t="s">
        <v>1</v>
      </c>
      <c r="I90" s="78">
        <f t="shared" ref="I90:I110" si="51">G90*E90</f>
        <v>46.5</v>
      </c>
      <c r="J90" s="110">
        <f t="shared" ref="J90:J110" si="52">$O$4</f>
        <v>75</v>
      </c>
      <c r="K90" s="4">
        <v>0.25</v>
      </c>
      <c r="L90" s="5" t="s">
        <v>1</v>
      </c>
      <c r="M90" s="80">
        <f t="shared" ref="M90:M110" si="53">K90*E90</f>
        <v>0.25</v>
      </c>
      <c r="N90" s="78">
        <f t="shared" si="48"/>
        <v>18.75</v>
      </c>
      <c r="O90" s="111">
        <f t="shared" si="49"/>
        <v>65.25</v>
      </c>
      <c r="P90" s="125">
        <v>0.31</v>
      </c>
      <c r="Q90" s="49">
        <v>0.38</v>
      </c>
      <c r="R90" s="173">
        <v>0.48</v>
      </c>
      <c r="S90" s="228">
        <v>0.6</v>
      </c>
      <c r="T90" s="49">
        <v>0.72</v>
      </c>
      <c r="U90" s="138">
        <v>148863</v>
      </c>
    </row>
    <row r="91" spans="1:21" x14ac:dyDescent="0.25">
      <c r="A91" s="31">
        <v>2</v>
      </c>
      <c r="B91" s="4" t="s">
        <v>241</v>
      </c>
      <c r="C91" s="5">
        <v>1</v>
      </c>
      <c r="D91" s="7">
        <v>0</v>
      </c>
      <c r="E91" s="3">
        <f t="shared" si="50"/>
        <v>1</v>
      </c>
      <c r="F91" s="3" t="s">
        <v>867</v>
      </c>
      <c r="G91" s="77">
        <v>46.5</v>
      </c>
      <c r="H91" s="5" t="s">
        <v>1</v>
      </c>
      <c r="I91" s="78">
        <f t="shared" si="51"/>
        <v>46.5</v>
      </c>
      <c r="J91" s="110">
        <f t="shared" si="52"/>
        <v>75</v>
      </c>
      <c r="K91" s="4">
        <v>0.25</v>
      </c>
      <c r="L91" s="5" t="s">
        <v>1</v>
      </c>
      <c r="M91" s="80">
        <f t="shared" si="53"/>
        <v>0.25</v>
      </c>
      <c r="N91" s="78">
        <f t="shared" si="48"/>
        <v>18.75</v>
      </c>
      <c r="O91" s="111">
        <f t="shared" si="49"/>
        <v>65.25</v>
      </c>
      <c r="P91" s="125">
        <v>0.31</v>
      </c>
      <c r="Q91" s="49">
        <v>0.38</v>
      </c>
      <c r="R91" s="173">
        <v>0.52</v>
      </c>
      <c r="S91" s="228">
        <v>0.65</v>
      </c>
      <c r="T91" s="49">
        <v>0.78</v>
      </c>
      <c r="U91" s="138">
        <v>148866</v>
      </c>
    </row>
    <row r="92" spans="1:21" x14ac:dyDescent="0.25">
      <c r="A92" s="31">
        <v>3</v>
      </c>
      <c r="B92" s="4" t="s">
        <v>242</v>
      </c>
      <c r="C92" s="5">
        <v>1</v>
      </c>
      <c r="D92" s="7">
        <v>0</v>
      </c>
      <c r="E92" s="3">
        <f t="shared" si="50"/>
        <v>1</v>
      </c>
      <c r="F92" s="3" t="s">
        <v>867</v>
      </c>
      <c r="G92" s="77">
        <v>46.5</v>
      </c>
      <c r="H92" s="5" t="s">
        <v>1</v>
      </c>
      <c r="I92" s="78">
        <f t="shared" si="51"/>
        <v>46.5</v>
      </c>
      <c r="J92" s="110">
        <f t="shared" si="52"/>
        <v>75</v>
      </c>
      <c r="K92" s="4">
        <v>0.25</v>
      </c>
      <c r="L92" s="5" t="s">
        <v>1</v>
      </c>
      <c r="M92" s="80">
        <f t="shared" si="53"/>
        <v>0.25</v>
      </c>
      <c r="N92" s="78">
        <f t="shared" si="48"/>
        <v>18.75</v>
      </c>
      <c r="O92" s="111">
        <f t="shared" si="49"/>
        <v>65.25</v>
      </c>
      <c r="P92" s="125">
        <v>0.31</v>
      </c>
      <c r="Q92" s="49">
        <v>0.38</v>
      </c>
      <c r="R92" s="173">
        <v>0.57999999999999996</v>
      </c>
      <c r="S92" s="228">
        <v>0.73</v>
      </c>
      <c r="T92" s="49">
        <v>0.87</v>
      </c>
      <c r="U92" s="138">
        <v>148869</v>
      </c>
    </row>
    <row r="93" spans="1:21" x14ac:dyDescent="0.25">
      <c r="A93" s="31">
        <v>4</v>
      </c>
      <c r="B93" s="4" t="s">
        <v>243</v>
      </c>
      <c r="C93" s="5">
        <v>1</v>
      </c>
      <c r="D93" s="7">
        <v>0</v>
      </c>
      <c r="E93" s="3">
        <f t="shared" si="50"/>
        <v>1</v>
      </c>
      <c r="F93" s="3" t="s">
        <v>867</v>
      </c>
      <c r="G93" s="77">
        <v>46.5</v>
      </c>
      <c r="H93" s="5" t="s">
        <v>1</v>
      </c>
      <c r="I93" s="78">
        <f t="shared" si="51"/>
        <v>46.5</v>
      </c>
      <c r="J93" s="110">
        <f t="shared" si="52"/>
        <v>75</v>
      </c>
      <c r="K93" s="4">
        <v>0.25</v>
      </c>
      <c r="L93" s="5" t="s">
        <v>1</v>
      </c>
      <c r="M93" s="80">
        <f t="shared" si="53"/>
        <v>0.25</v>
      </c>
      <c r="N93" s="78">
        <f t="shared" si="48"/>
        <v>18.75</v>
      </c>
      <c r="O93" s="111">
        <f t="shared" si="49"/>
        <v>65.25</v>
      </c>
      <c r="P93" s="125">
        <v>0.31</v>
      </c>
      <c r="Q93" s="49">
        <v>0.38</v>
      </c>
      <c r="R93" s="173">
        <v>0.57999999999999996</v>
      </c>
      <c r="S93" s="228">
        <v>0.73</v>
      </c>
      <c r="T93" s="49">
        <v>0.87</v>
      </c>
      <c r="U93" s="138">
        <v>148872</v>
      </c>
    </row>
    <row r="94" spans="1:21" x14ac:dyDescent="0.25">
      <c r="A94" s="31">
        <v>5</v>
      </c>
      <c r="B94" s="4" t="s">
        <v>244</v>
      </c>
      <c r="C94" s="5">
        <v>1</v>
      </c>
      <c r="D94" s="7">
        <v>0</v>
      </c>
      <c r="E94" s="3">
        <f t="shared" si="50"/>
        <v>1</v>
      </c>
      <c r="F94" s="3" t="s">
        <v>867</v>
      </c>
      <c r="G94" s="77">
        <v>46.5</v>
      </c>
      <c r="H94" s="5" t="s">
        <v>1</v>
      </c>
      <c r="I94" s="78">
        <f t="shared" si="51"/>
        <v>46.5</v>
      </c>
      <c r="J94" s="110">
        <f t="shared" si="52"/>
        <v>75</v>
      </c>
      <c r="K94" s="4">
        <v>0.25</v>
      </c>
      <c r="L94" s="5" t="s">
        <v>1</v>
      </c>
      <c r="M94" s="80">
        <f t="shared" si="53"/>
        <v>0.25</v>
      </c>
      <c r="N94" s="78">
        <f t="shared" si="48"/>
        <v>18.75</v>
      </c>
      <c r="O94" s="111">
        <f t="shared" si="49"/>
        <v>65.25</v>
      </c>
      <c r="P94" s="125">
        <v>0.31</v>
      </c>
      <c r="Q94" s="49">
        <v>0.38</v>
      </c>
      <c r="R94" s="173">
        <v>0.64</v>
      </c>
      <c r="S94" s="228">
        <v>0.8</v>
      </c>
      <c r="T94" s="49">
        <v>0.96</v>
      </c>
      <c r="U94" s="138">
        <v>148875</v>
      </c>
    </row>
    <row r="95" spans="1:21" x14ac:dyDescent="0.25">
      <c r="A95" s="31">
        <v>6</v>
      </c>
      <c r="B95" s="4" t="s">
        <v>245</v>
      </c>
      <c r="C95" s="5">
        <v>1</v>
      </c>
      <c r="D95" s="7">
        <v>0</v>
      </c>
      <c r="E95" s="3">
        <f t="shared" si="50"/>
        <v>1</v>
      </c>
      <c r="F95" s="3" t="s">
        <v>867</v>
      </c>
      <c r="G95" s="77">
        <v>46.5</v>
      </c>
      <c r="H95" s="5" t="s">
        <v>1</v>
      </c>
      <c r="I95" s="78">
        <f t="shared" si="51"/>
        <v>46.5</v>
      </c>
      <c r="J95" s="110">
        <f t="shared" si="52"/>
        <v>75</v>
      </c>
      <c r="K95" s="4">
        <v>0.25</v>
      </c>
      <c r="L95" s="5" t="s">
        <v>1</v>
      </c>
      <c r="M95" s="80">
        <f t="shared" si="53"/>
        <v>0.25</v>
      </c>
      <c r="N95" s="78">
        <f t="shared" si="48"/>
        <v>18.75</v>
      </c>
      <c r="O95" s="111">
        <f t="shared" si="49"/>
        <v>65.25</v>
      </c>
      <c r="P95" s="125">
        <v>0.31</v>
      </c>
      <c r="Q95" s="49">
        <v>0.38</v>
      </c>
      <c r="R95" s="173">
        <v>0.64</v>
      </c>
      <c r="S95" s="228">
        <v>0.8</v>
      </c>
      <c r="T95" s="49">
        <v>0.96</v>
      </c>
      <c r="U95" s="138">
        <v>148878</v>
      </c>
    </row>
    <row r="96" spans="1:21" x14ac:dyDescent="0.25">
      <c r="A96" s="31">
        <v>7</v>
      </c>
      <c r="B96" s="4" t="s">
        <v>246</v>
      </c>
      <c r="C96" s="5">
        <v>1</v>
      </c>
      <c r="D96" s="7">
        <v>0</v>
      </c>
      <c r="E96" s="3">
        <f t="shared" si="50"/>
        <v>1</v>
      </c>
      <c r="F96" s="3" t="s">
        <v>867</v>
      </c>
      <c r="G96" s="77">
        <v>46.5</v>
      </c>
      <c r="H96" s="5" t="s">
        <v>1</v>
      </c>
      <c r="I96" s="78">
        <f t="shared" si="51"/>
        <v>46.5</v>
      </c>
      <c r="J96" s="110">
        <f t="shared" si="52"/>
        <v>75</v>
      </c>
      <c r="K96" s="4">
        <v>0.25</v>
      </c>
      <c r="L96" s="5" t="s">
        <v>1</v>
      </c>
      <c r="M96" s="80">
        <f t="shared" si="53"/>
        <v>0.25</v>
      </c>
      <c r="N96" s="78">
        <f t="shared" si="48"/>
        <v>18.75</v>
      </c>
      <c r="O96" s="111">
        <f t="shared" si="49"/>
        <v>65.25</v>
      </c>
      <c r="P96" s="125">
        <v>0.31</v>
      </c>
      <c r="Q96" s="49">
        <v>0.38</v>
      </c>
      <c r="R96" s="173">
        <v>0.64</v>
      </c>
      <c r="S96" s="228">
        <v>0.8</v>
      </c>
      <c r="T96" s="49">
        <v>0.96</v>
      </c>
      <c r="U96" s="138">
        <v>148881</v>
      </c>
    </row>
    <row r="97" spans="1:21" x14ac:dyDescent="0.25">
      <c r="A97" s="31">
        <v>8</v>
      </c>
      <c r="B97" s="4" t="s">
        <v>247</v>
      </c>
      <c r="C97" s="5">
        <v>1</v>
      </c>
      <c r="D97" s="7">
        <v>0</v>
      </c>
      <c r="E97" s="3">
        <f t="shared" si="50"/>
        <v>1</v>
      </c>
      <c r="F97" s="3" t="s">
        <v>867</v>
      </c>
      <c r="G97" s="77">
        <v>46.5</v>
      </c>
      <c r="H97" s="5" t="s">
        <v>1</v>
      </c>
      <c r="I97" s="78">
        <f t="shared" si="51"/>
        <v>46.5</v>
      </c>
      <c r="J97" s="110">
        <f t="shared" si="52"/>
        <v>75</v>
      </c>
      <c r="K97" s="4">
        <v>0.25</v>
      </c>
      <c r="L97" s="5" t="s">
        <v>1</v>
      </c>
      <c r="M97" s="80">
        <f t="shared" si="53"/>
        <v>0.25</v>
      </c>
      <c r="N97" s="78">
        <f t="shared" si="48"/>
        <v>18.75</v>
      </c>
      <c r="O97" s="111">
        <f t="shared" si="49"/>
        <v>65.25</v>
      </c>
      <c r="P97" s="125">
        <v>0.31</v>
      </c>
      <c r="Q97" s="49">
        <v>0.38</v>
      </c>
      <c r="R97" s="173">
        <v>0.64</v>
      </c>
      <c r="S97" s="228">
        <v>0.8</v>
      </c>
      <c r="T97" s="49">
        <v>0.96</v>
      </c>
      <c r="U97" s="138">
        <v>148884</v>
      </c>
    </row>
    <row r="98" spans="1:21" x14ac:dyDescent="0.25">
      <c r="A98" s="31">
        <v>9</v>
      </c>
      <c r="B98" s="4" t="s">
        <v>248</v>
      </c>
      <c r="C98" s="5">
        <v>1</v>
      </c>
      <c r="D98" s="7">
        <v>0</v>
      </c>
      <c r="E98" s="3">
        <f t="shared" si="50"/>
        <v>1</v>
      </c>
      <c r="F98" s="3" t="s">
        <v>867</v>
      </c>
      <c r="G98" s="77">
        <v>46.5</v>
      </c>
      <c r="H98" s="5" t="s">
        <v>1</v>
      </c>
      <c r="I98" s="78">
        <f t="shared" si="51"/>
        <v>46.5</v>
      </c>
      <c r="J98" s="110">
        <f t="shared" si="52"/>
        <v>75</v>
      </c>
      <c r="K98" s="4">
        <v>0.25</v>
      </c>
      <c r="L98" s="5" t="s">
        <v>1</v>
      </c>
      <c r="M98" s="80">
        <f t="shared" si="53"/>
        <v>0.25</v>
      </c>
      <c r="N98" s="78">
        <f t="shared" si="48"/>
        <v>18.75</v>
      </c>
      <c r="O98" s="111">
        <f t="shared" si="49"/>
        <v>65.25</v>
      </c>
      <c r="P98" s="125">
        <v>0.31</v>
      </c>
      <c r="Q98" s="49">
        <v>0.38</v>
      </c>
      <c r="R98" s="173">
        <v>0.72</v>
      </c>
      <c r="S98" s="228">
        <v>0.9</v>
      </c>
      <c r="T98" s="49">
        <v>1.08</v>
      </c>
      <c r="U98" s="138">
        <v>148887</v>
      </c>
    </row>
    <row r="99" spans="1:21" x14ac:dyDescent="0.25">
      <c r="A99" s="31">
        <v>10</v>
      </c>
      <c r="B99" s="4" t="s">
        <v>249</v>
      </c>
      <c r="C99" s="5">
        <v>1</v>
      </c>
      <c r="D99" s="7">
        <v>0</v>
      </c>
      <c r="E99" s="3">
        <f t="shared" si="50"/>
        <v>1</v>
      </c>
      <c r="F99" s="3" t="s">
        <v>867</v>
      </c>
      <c r="G99" s="77">
        <v>94.5</v>
      </c>
      <c r="H99" s="5" t="s">
        <v>1</v>
      </c>
      <c r="I99" s="78">
        <f t="shared" si="51"/>
        <v>94.5</v>
      </c>
      <c r="J99" s="110">
        <f t="shared" si="52"/>
        <v>75</v>
      </c>
      <c r="K99" s="4">
        <v>0.25</v>
      </c>
      <c r="L99" s="5" t="s">
        <v>1</v>
      </c>
      <c r="M99" s="80">
        <f t="shared" si="53"/>
        <v>0.25</v>
      </c>
      <c r="N99" s="78">
        <f t="shared" si="48"/>
        <v>18.75</v>
      </c>
      <c r="O99" s="111">
        <f t="shared" si="49"/>
        <v>113.25</v>
      </c>
      <c r="P99" s="125">
        <v>0.31</v>
      </c>
      <c r="Q99" s="49">
        <v>0.38</v>
      </c>
      <c r="R99" s="173">
        <v>0.81</v>
      </c>
      <c r="S99" s="228">
        <v>1.01</v>
      </c>
      <c r="T99" s="49">
        <v>1.22</v>
      </c>
      <c r="U99" s="138">
        <v>148890</v>
      </c>
    </row>
    <row r="100" spans="1:21" x14ac:dyDescent="0.25">
      <c r="A100" s="31">
        <v>11</v>
      </c>
      <c r="B100" s="4" t="s">
        <v>250</v>
      </c>
      <c r="C100" s="5">
        <v>1</v>
      </c>
      <c r="D100" s="7">
        <v>0</v>
      </c>
      <c r="E100" s="3">
        <f t="shared" si="50"/>
        <v>1</v>
      </c>
      <c r="F100" s="3" t="s">
        <v>867</v>
      </c>
      <c r="G100" s="77">
        <v>135.75</v>
      </c>
      <c r="H100" s="5" t="s">
        <v>1</v>
      </c>
      <c r="I100" s="78">
        <f t="shared" si="51"/>
        <v>135.75</v>
      </c>
      <c r="J100" s="110">
        <f t="shared" si="52"/>
        <v>75</v>
      </c>
      <c r="K100" s="4">
        <v>0.4</v>
      </c>
      <c r="L100" s="5" t="s">
        <v>1</v>
      </c>
      <c r="M100" s="80">
        <f t="shared" si="53"/>
        <v>0.4</v>
      </c>
      <c r="N100" s="78">
        <f t="shared" si="48"/>
        <v>30</v>
      </c>
      <c r="O100" s="111">
        <f t="shared" si="49"/>
        <v>165.75</v>
      </c>
      <c r="P100" s="125">
        <v>0.5</v>
      </c>
      <c r="Q100" s="49">
        <v>0.6</v>
      </c>
      <c r="R100" s="173">
        <v>0.88</v>
      </c>
      <c r="S100" s="228">
        <v>1.1000000000000001</v>
      </c>
      <c r="T100" s="49">
        <v>1.32</v>
      </c>
      <c r="U100" s="138">
        <v>148893</v>
      </c>
    </row>
    <row r="101" spans="1:21" x14ac:dyDescent="0.25">
      <c r="A101" s="31">
        <v>12</v>
      </c>
      <c r="B101" s="4" t="s">
        <v>251</v>
      </c>
      <c r="C101" s="5">
        <v>1</v>
      </c>
      <c r="D101" s="7">
        <v>0</v>
      </c>
      <c r="E101" s="3">
        <f t="shared" si="50"/>
        <v>1</v>
      </c>
      <c r="F101" s="3" t="s">
        <v>867</v>
      </c>
      <c r="G101" s="77">
        <v>135.75</v>
      </c>
      <c r="H101" s="5" t="s">
        <v>1</v>
      </c>
      <c r="I101" s="78">
        <f t="shared" si="51"/>
        <v>135.75</v>
      </c>
      <c r="J101" s="110">
        <f t="shared" si="52"/>
        <v>75</v>
      </c>
      <c r="K101" s="4">
        <v>0.4</v>
      </c>
      <c r="L101" s="5" t="s">
        <v>1</v>
      </c>
      <c r="M101" s="80">
        <f t="shared" si="53"/>
        <v>0.4</v>
      </c>
      <c r="N101" s="78">
        <f t="shared" si="48"/>
        <v>30</v>
      </c>
      <c r="O101" s="111">
        <f t="shared" si="49"/>
        <v>165.75</v>
      </c>
      <c r="P101" s="125">
        <v>0.5</v>
      </c>
      <c r="Q101" s="49">
        <v>0.6</v>
      </c>
      <c r="R101" s="173">
        <v>0.88</v>
      </c>
      <c r="S101" s="228">
        <v>1.1000000000000001</v>
      </c>
      <c r="T101" s="49">
        <v>1.32</v>
      </c>
      <c r="U101" s="138">
        <v>148896</v>
      </c>
    </row>
    <row r="102" spans="1:21" x14ac:dyDescent="0.25">
      <c r="A102" s="31">
        <v>13</v>
      </c>
      <c r="B102" s="4" t="s">
        <v>252</v>
      </c>
      <c r="C102" s="5">
        <v>1</v>
      </c>
      <c r="D102" s="7">
        <v>0</v>
      </c>
      <c r="E102" s="3">
        <f t="shared" si="50"/>
        <v>1</v>
      </c>
      <c r="F102" s="3" t="s">
        <v>867</v>
      </c>
      <c r="G102" s="77">
        <v>135.75</v>
      </c>
      <c r="H102" s="5" t="s">
        <v>1</v>
      </c>
      <c r="I102" s="78">
        <f t="shared" si="51"/>
        <v>135.75</v>
      </c>
      <c r="J102" s="110">
        <f t="shared" si="52"/>
        <v>75</v>
      </c>
      <c r="K102" s="4">
        <v>0.4</v>
      </c>
      <c r="L102" s="5" t="s">
        <v>1</v>
      </c>
      <c r="M102" s="80">
        <f t="shared" si="53"/>
        <v>0.4</v>
      </c>
      <c r="N102" s="78">
        <f t="shared" si="48"/>
        <v>30</v>
      </c>
      <c r="O102" s="111">
        <f t="shared" si="49"/>
        <v>165.75</v>
      </c>
      <c r="P102" s="125">
        <v>0.5</v>
      </c>
      <c r="Q102" s="49">
        <v>0.6</v>
      </c>
      <c r="R102" s="173">
        <v>0.94</v>
      </c>
      <c r="S102" s="228">
        <v>1.18</v>
      </c>
      <c r="T102" s="49">
        <v>1.41</v>
      </c>
      <c r="U102" s="138">
        <v>148899</v>
      </c>
    </row>
    <row r="103" spans="1:21" x14ac:dyDescent="0.25">
      <c r="A103" s="31">
        <v>14</v>
      </c>
      <c r="B103" s="4" t="s">
        <v>253</v>
      </c>
      <c r="C103" s="5">
        <v>1</v>
      </c>
      <c r="D103" s="7">
        <v>0</v>
      </c>
      <c r="E103" s="3">
        <f t="shared" si="50"/>
        <v>1</v>
      </c>
      <c r="F103" s="3" t="s">
        <v>867</v>
      </c>
      <c r="G103" s="77">
        <v>279</v>
      </c>
      <c r="H103" s="5" t="s">
        <v>1</v>
      </c>
      <c r="I103" s="78">
        <f t="shared" si="51"/>
        <v>279</v>
      </c>
      <c r="J103" s="110">
        <f t="shared" si="52"/>
        <v>75</v>
      </c>
      <c r="K103" s="4">
        <v>0.4</v>
      </c>
      <c r="L103" s="5" t="s">
        <v>1</v>
      </c>
      <c r="M103" s="80">
        <f t="shared" si="53"/>
        <v>0.4</v>
      </c>
      <c r="N103" s="78">
        <f t="shared" si="48"/>
        <v>30</v>
      </c>
      <c r="O103" s="111">
        <f t="shared" si="49"/>
        <v>309</v>
      </c>
      <c r="P103" s="125">
        <v>0.5</v>
      </c>
      <c r="Q103" s="49">
        <v>0.6</v>
      </c>
      <c r="R103" s="173">
        <v>1.05</v>
      </c>
      <c r="S103" s="228">
        <v>1.31</v>
      </c>
      <c r="T103" s="49">
        <v>1.58</v>
      </c>
      <c r="U103" s="138">
        <v>148902</v>
      </c>
    </row>
    <row r="104" spans="1:21" x14ac:dyDescent="0.25">
      <c r="A104" s="31">
        <v>15</v>
      </c>
      <c r="B104" s="4" t="s">
        <v>254</v>
      </c>
      <c r="C104" s="5">
        <v>1</v>
      </c>
      <c r="D104" s="7">
        <v>0</v>
      </c>
      <c r="E104" s="3">
        <f t="shared" si="50"/>
        <v>1</v>
      </c>
      <c r="F104" s="3" t="s">
        <v>867</v>
      </c>
      <c r="G104" s="77">
        <v>279</v>
      </c>
      <c r="H104" s="5" t="s">
        <v>1</v>
      </c>
      <c r="I104" s="78">
        <f t="shared" si="51"/>
        <v>279</v>
      </c>
      <c r="J104" s="110">
        <f t="shared" si="52"/>
        <v>75</v>
      </c>
      <c r="K104" s="4">
        <v>0.4</v>
      </c>
      <c r="L104" s="5" t="s">
        <v>1</v>
      </c>
      <c r="M104" s="80">
        <f t="shared" si="53"/>
        <v>0.4</v>
      </c>
      <c r="N104" s="78">
        <f t="shared" si="48"/>
        <v>30</v>
      </c>
      <c r="O104" s="111">
        <f t="shared" si="49"/>
        <v>309</v>
      </c>
      <c r="P104" s="125">
        <v>0.5</v>
      </c>
      <c r="Q104" s="49">
        <v>0.6</v>
      </c>
      <c r="R104" s="173">
        <v>1.05</v>
      </c>
      <c r="S104" s="228">
        <v>1.31</v>
      </c>
      <c r="T104" s="49">
        <v>1.58</v>
      </c>
      <c r="U104" s="138">
        <v>148905</v>
      </c>
    </row>
    <row r="105" spans="1:21" x14ac:dyDescent="0.25">
      <c r="A105" s="31">
        <v>16</v>
      </c>
      <c r="B105" s="4" t="s">
        <v>255</v>
      </c>
      <c r="C105" s="5">
        <v>1</v>
      </c>
      <c r="D105" s="7">
        <v>0</v>
      </c>
      <c r="E105" s="3">
        <f t="shared" si="50"/>
        <v>1</v>
      </c>
      <c r="F105" s="3" t="s">
        <v>867</v>
      </c>
      <c r="G105" s="77">
        <v>241.13</v>
      </c>
      <c r="H105" s="5" t="s">
        <v>1</v>
      </c>
      <c r="I105" s="78">
        <f t="shared" si="51"/>
        <v>241.13</v>
      </c>
      <c r="J105" s="110">
        <f t="shared" si="52"/>
        <v>75</v>
      </c>
      <c r="K105" s="4">
        <v>0.35</v>
      </c>
      <c r="L105" s="5" t="s">
        <v>1</v>
      </c>
      <c r="M105" s="80">
        <f t="shared" si="53"/>
        <v>0.35</v>
      </c>
      <c r="N105" s="78">
        <f t="shared" si="48"/>
        <v>26.25</v>
      </c>
      <c r="O105" s="111">
        <f t="shared" si="49"/>
        <v>267.38</v>
      </c>
      <c r="P105" s="125">
        <v>0.44</v>
      </c>
      <c r="Q105" s="49">
        <v>0.53</v>
      </c>
      <c r="R105" s="173">
        <v>0.63</v>
      </c>
      <c r="S105" s="228">
        <v>0.85</v>
      </c>
      <c r="T105" s="49">
        <v>1.07</v>
      </c>
      <c r="U105" s="138">
        <v>148908</v>
      </c>
    </row>
    <row r="106" spans="1:21" x14ac:dyDescent="0.25">
      <c r="A106" s="31">
        <v>17</v>
      </c>
      <c r="B106" s="4" t="s">
        <v>256</v>
      </c>
      <c r="C106" s="5">
        <v>1</v>
      </c>
      <c r="D106" s="7">
        <v>0</v>
      </c>
      <c r="E106" s="3">
        <f t="shared" si="50"/>
        <v>1</v>
      </c>
      <c r="F106" s="3" t="s">
        <v>867</v>
      </c>
      <c r="G106" s="77">
        <v>241.13</v>
      </c>
      <c r="H106" s="5" t="s">
        <v>1</v>
      </c>
      <c r="I106" s="78">
        <f t="shared" si="51"/>
        <v>241.13</v>
      </c>
      <c r="J106" s="110">
        <f t="shared" si="52"/>
        <v>75</v>
      </c>
      <c r="K106" s="4">
        <v>0.35</v>
      </c>
      <c r="L106" s="5" t="s">
        <v>1</v>
      </c>
      <c r="M106" s="80">
        <f t="shared" si="53"/>
        <v>0.35</v>
      </c>
      <c r="N106" s="78">
        <f t="shared" si="48"/>
        <v>26.25</v>
      </c>
      <c r="O106" s="111">
        <f t="shared" si="49"/>
        <v>267.38</v>
      </c>
      <c r="P106" s="125">
        <v>0.44</v>
      </c>
      <c r="Q106" s="49">
        <v>0.53</v>
      </c>
      <c r="R106" s="173">
        <v>0.67</v>
      </c>
      <c r="S106" s="228">
        <v>0.9</v>
      </c>
      <c r="T106" s="49">
        <v>1.1299999999999999</v>
      </c>
      <c r="U106" s="138">
        <v>148911</v>
      </c>
    </row>
    <row r="107" spans="1:21" x14ac:dyDescent="0.25">
      <c r="A107" s="31">
        <v>18</v>
      </c>
      <c r="B107" s="4" t="s">
        <v>257</v>
      </c>
      <c r="C107" s="5">
        <v>1</v>
      </c>
      <c r="D107" s="7">
        <v>0</v>
      </c>
      <c r="E107" s="3">
        <f t="shared" si="50"/>
        <v>1</v>
      </c>
      <c r="F107" s="3" t="s">
        <v>867</v>
      </c>
      <c r="G107" s="77">
        <v>241.13</v>
      </c>
      <c r="H107" s="5" t="s">
        <v>1</v>
      </c>
      <c r="I107" s="78">
        <f t="shared" si="51"/>
        <v>241.13</v>
      </c>
      <c r="J107" s="110">
        <f t="shared" si="52"/>
        <v>75</v>
      </c>
      <c r="K107" s="4">
        <v>0.35</v>
      </c>
      <c r="L107" s="5" t="s">
        <v>1</v>
      </c>
      <c r="M107" s="80">
        <f t="shared" si="53"/>
        <v>0.35</v>
      </c>
      <c r="N107" s="78">
        <f t="shared" si="48"/>
        <v>26.25</v>
      </c>
      <c r="O107" s="111">
        <f t="shared" si="49"/>
        <v>267.38</v>
      </c>
      <c r="P107" s="125">
        <v>0.44</v>
      </c>
      <c r="Q107" s="49">
        <v>0.53</v>
      </c>
      <c r="R107" s="173">
        <v>0.73</v>
      </c>
      <c r="S107" s="228">
        <v>0.98</v>
      </c>
      <c r="T107" s="49">
        <v>1.22</v>
      </c>
      <c r="U107" s="138">
        <v>148914</v>
      </c>
    </row>
    <row r="108" spans="1:21" x14ac:dyDescent="0.25">
      <c r="A108" s="31">
        <v>19</v>
      </c>
      <c r="B108" s="4" t="s">
        <v>258</v>
      </c>
      <c r="C108" s="5">
        <v>1</v>
      </c>
      <c r="D108" s="7">
        <v>0</v>
      </c>
      <c r="E108" s="3">
        <f t="shared" si="50"/>
        <v>1</v>
      </c>
      <c r="F108" s="3" t="s">
        <v>867</v>
      </c>
      <c r="G108" s="77">
        <v>231.75</v>
      </c>
      <c r="H108" s="5" t="s">
        <v>1</v>
      </c>
      <c r="I108" s="78">
        <f t="shared" si="51"/>
        <v>231.75</v>
      </c>
      <c r="J108" s="110">
        <f t="shared" si="52"/>
        <v>75</v>
      </c>
      <c r="K108" s="4">
        <v>0.45</v>
      </c>
      <c r="L108" s="5" t="s">
        <v>1</v>
      </c>
      <c r="M108" s="80">
        <f t="shared" si="53"/>
        <v>0.45</v>
      </c>
      <c r="N108" s="78">
        <f t="shared" si="48"/>
        <v>33.75</v>
      </c>
      <c r="O108" s="111">
        <f t="shared" si="49"/>
        <v>265.5</v>
      </c>
      <c r="P108" s="125">
        <v>0.56000000000000005</v>
      </c>
      <c r="Q108" s="49">
        <v>0.68</v>
      </c>
      <c r="R108" s="173">
        <v>0.79</v>
      </c>
      <c r="S108" s="228">
        <v>1.05</v>
      </c>
      <c r="T108" s="49">
        <v>1.31</v>
      </c>
      <c r="U108" s="138">
        <v>148917</v>
      </c>
    </row>
    <row r="109" spans="1:21" x14ac:dyDescent="0.25">
      <c r="A109" s="31">
        <v>20</v>
      </c>
      <c r="B109" s="4" t="s">
        <v>259</v>
      </c>
      <c r="C109" s="5">
        <v>1</v>
      </c>
      <c r="D109" s="7">
        <v>0</v>
      </c>
      <c r="E109" s="3">
        <f t="shared" si="50"/>
        <v>1</v>
      </c>
      <c r="F109" s="3" t="s">
        <v>867</v>
      </c>
      <c r="G109" s="77">
        <v>250.88</v>
      </c>
      <c r="H109" s="5" t="s">
        <v>1</v>
      </c>
      <c r="I109" s="78">
        <f t="shared" si="51"/>
        <v>250.88</v>
      </c>
      <c r="J109" s="110">
        <f t="shared" si="52"/>
        <v>75</v>
      </c>
      <c r="K109" s="4">
        <v>0.45</v>
      </c>
      <c r="L109" s="5" t="s">
        <v>1</v>
      </c>
      <c r="M109" s="80">
        <f t="shared" si="53"/>
        <v>0.45</v>
      </c>
      <c r="N109" s="78">
        <f t="shared" si="48"/>
        <v>33.75</v>
      </c>
      <c r="O109" s="111">
        <f t="shared" si="49"/>
        <v>284.63</v>
      </c>
      <c r="P109" s="125">
        <v>0.56000000000000005</v>
      </c>
      <c r="Q109" s="49">
        <v>0.68</v>
      </c>
      <c r="R109" s="173">
        <v>0.79</v>
      </c>
      <c r="S109" s="228">
        <v>1.05</v>
      </c>
      <c r="T109" s="49">
        <v>1.31</v>
      </c>
      <c r="U109" s="138">
        <v>148920</v>
      </c>
    </row>
    <row r="110" spans="1:21" x14ac:dyDescent="0.25">
      <c r="A110" s="31">
        <v>21</v>
      </c>
      <c r="B110" s="4" t="s">
        <v>260</v>
      </c>
      <c r="C110" s="5">
        <v>1</v>
      </c>
      <c r="D110" s="7">
        <v>0</v>
      </c>
      <c r="E110" s="3">
        <f t="shared" si="50"/>
        <v>1</v>
      </c>
      <c r="F110" s="3" t="s">
        <v>867</v>
      </c>
      <c r="G110" s="77">
        <v>231.75</v>
      </c>
      <c r="H110" s="5" t="s">
        <v>1</v>
      </c>
      <c r="I110" s="78">
        <f t="shared" si="51"/>
        <v>231.75</v>
      </c>
      <c r="J110" s="110">
        <f t="shared" si="52"/>
        <v>75</v>
      </c>
      <c r="K110" s="4">
        <v>0.45</v>
      </c>
      <c r="L110" s="5" t="s">
        <v>1</v>
      </c>
      <c r="M110" s="80">
        <f t="shared" si="53"/>
        <v>0.45</v>
      </c>
      <c r="N110" s="78">
        <f t="shared" si="48"/>
        <v>33.75</v>
      </c>
      <c r="O110" s="111">
        <f t="shared" si="49"/>
        <v>265.5</v>
      </c>
      <c r="P110" s="125">
        <v>0.56000000000000005</v>
      </c>
      <c r="Q110" s="49">
        <v>0.68</v>
      </c>
      <c r="R110" s="173">
        <v>0.87</v>
      </c>
      <c r="S110" s="228">
        <v>1.1499999999999999</v>
      </c>
      <c r="T110" s="49">
        <v>1.43</v>
      </c>
      <c r="U110" s="138">
        <v>148923</v>
      </c>
    </row>
    <row r="111" spans="1:21" ht="15.75" thickBot="1" x14ac:dyDescent="0.3">
      <c r="A111" s="31"/>
      <c r="B111" s="4"/>
      <c r="C111" s="5"/>
      <c r="D111" s="5"/>
      <c r="E111" s="5"/>
      <c r="F111" s="5"/>
      <c r="G111" s="77"/>
      <c r="H111" s="5"/>
      <c r="I111" s="78"/>
      <c r="J111" s="4"/>
      <c r="K111" s="4"/>
      <c r="L111" s="5"/>
      <c r="M111" s="80"/>
      <c r="N111" s="78"/>
      <c r="O111" s="111"/>
      <c r="P111" s="125"/>
      <c r="Q111" s="49"/>
      <c r="R111" s="173"/>
      <c r="S111" s="228"/>
      <c r="T111" s="49"/>
      <c r="U111" s="138"/>
    </row>
    <row r="112" spans="1:21" ht="15.75" thickBot="1" x14ac:dyDescent="0.3">
      <c r="A112" s="32"/>
      <c r="B112" s="118" t="s">
        <v>262</v>
      </c>
      <c r="C112" s="5"/>
      <c r="D112" s="5"/>
      <c r="E112" s="5"/>
      <c r="F112" s="5"/>
      <c r="G112" s="77"/>
      <c r="H112" s="5"/>
      <c r="I112" s="78"/>
      <c r="J112" s="4"/>
      <c r="K112" s="4"/>
      <c r="L112" s="5"/>
      <c r="M112" s="80"/>
      <c r="N112" s="78"/>
      <c r="O112" s="111"/>
      <c r="P112" s="125"/>
      <c r="Q112" s="49"/>
      <c r="R112" s="173"/>
      <c r="S112" s="228"/>
      <c r="T112" s="49"/>
      <c r="U112" s="138"/>
    </row>
    <row r="113" spans="1:21" x14ac:dyDescent="0.25">
      <c r="A113" s="31"/>
      <c r="B113" s="4"/>
      <c r="C113" s="5"/>
      <c r="D113" s="5"/>
      <c r="E113" s="5"/>
      <c r="F113" s="5"/>
      <c r="G113" s="77"/>
      <c r="H113" s="5"/>
      <c r="I113" s="78"/>
      <c r="J113" s="4"/>
      <c r="K113" s="4"/>
      <c r="L113" s="5"/>
      <c r="M113" s="80"/>
      <c r="N113" s="78"/>
      <c r="O113" s="111"/>
      <c r="P113" s="125"/>
      <c r="Q113" s="49"/>
      <c r="R113" s="173"/>
      <c r="S113" s="228"/>
      <c r="T113" s="49"/>
      <c r="U113" s="138"/>
    </row>
    <row r="114" spans="1:21" x14ac:dyDescent="0.25">
      <c r="A114" s="31">
        <v>1</v>
      </c>
      <c r="B114" s="4" t="s">
        <v>261</v>
      </c>
      <c r="C114" s="5">
        <v>1</v>
      </c>
      <c r="D114" s="7">
        <v>0</v>
      </c>
      <c r="E114" s="3">
        <f t="shared" ref="E114:E131" si="54">C114+(C114*D114)</f>
        <v>1</v>
      </c>
      <c r="F114" s="3" t="s">
        <v>867</v>
      </c>
      <c r="G114" s="77">
        <v>164.25</v>
      </c>
      <c r="H114" s="5" t="s">
        <v>1</v>
      </c>
      <c r="I114" s="78">
        <f t="shared" ref="I114:I131" si="55">G114*E114</f>
        <v>164.25</v>
      </c>
      <c r="J114" s="110">
        <f t="shared" ref="J114:J131" si="56">$O$4</f>
        <v>75</v>
      </c>
      <c r="K114" s="4">
        <v>0.4</v>
      </c>
      <c r="L114" s="5" t="s">
        <v>1</v>
      </c>
      <c r="M114" s="80">
        <f t="shared" ref="M114:M126" si="57">K114*E114</f>
        <v>0.4</v>
      </c>
      <c r="N114" s="78">
        <f t="shared" si="48"/>
        <v>30</v>
      </c>
      <c r="O114" s="111">
        <f t="shared" si="49"/>
        <v>194.25</v>
      </c>
      <c r="P114" s="125">
        <v>0.5</v>
      </c>
      <c r="Q114" s="49">
        <v>0.6</v>
      </c>
      <c r="R114" s="173">
        <v>0.66</v>
      </c>
      <c r="S114" s="228">
        <v>0.83</v>
      </c>
      <c r="T114" s="49">
        <v>0.99</v>
      </c>
      <c r="U114" s="138">
        <v>148980</v>
      </c>
    </row>
    <row r="115" spans="1:21" x14ac:dyDescent="0.25">
      <c r="A115" s="31">
        <v>2</v>
      </c>
      <c r="B115" s="4" t="s">
        <v>263</v>
      </c>
      <c r="C115" s="5">
        <v>1</v>
      </c>
      <c r="D115" s="7">
        <v>0</v>
      </c>
      <c r="E115" s="3">
        <f t="shared" si="54"/>
        <v>1</v>
      </c>
      <c r="F115" s="3" t="s">
        <v>867</v>
      </c>
      <c r="G115" s="77">
        <v>164.25</v>
      </c>
      <c r="H115" s="5" t="s">
        <v>1</v>
      </c>
      <c r="I115" s="78">
        <f t="shared" si="55"/>
        <v>164.25</v>
      </c>
      <c r="J115" s="110">
        <f t="shared" si="56"/>
        <v>75</v>
      </c>
      <c r="K115" s="4">
        <v>0.4</v>
      </c>
      <c r="L115" s="5" t="s">
        <v>1</v>
      </c>
      <c r="M115" s="80">
        <f t="shared" si="57"/>
        <v>0.4</v>
      </c>
      <c r="N115" s="78">
        <f t="shared" si="48"/>
        <v>30</v>
      </c>
      <c r="O115" s="111">
        <f t="shared" si="49"/>
        <v>194.25</v>
      </c>
      <c r="P115" s="125">
        <v>0.5</v>
      </c>
      <c r="Q115" s="49">
        <v>0.6</v>
      </c>
      <c r="R115" s="173">
        <v>0.71</v>
      </c>
      <c r="S115" s="228">
        <v>0.89</v>
      </c>
      <c r="T115" s="49">
        <v>1.07</v>
      </c>
      <c r="U115" s="138">
        <v>148983</v>
      </c>
    </row>
    <row r="116" spans="1:21" x14ac:dyDescent="0.25">
      <c r="A116" s="31">
        <v>3</v>
      </c>
      <c r="B116" s="4" t="s">
        <v>264</v>
      </c>
      <c r="C116" s="5">
        <v>1</v>
      </c>
      <c r="D116" s="7">
        <v>0</v>
      </c>
      <c r="E116" s="3">
        <f t="shared" si="54"/>
        <v>1</v>
      </c>
      <c r="F116" s="3" t="s">
        <v>867</v>
      </c>
      <c r="G116" s="77">
        <v>164.25</v>
      </c>
      <c r="H116" s="5" t="s">
        <v>1</v>
      </c>
      <c r="I116" s="78">
        <f t="shared" si="55"/>
        <v>164.25</v>
      </c>
      <c r="J116" s="110">
        <f t="shared" si="56"/>
        <v>75</v>
      </c>
      <c r="K116" s="4">
        <v>0.4</v>
      </c>
      <c r="L116" s="5" t="s">
        <v>1</v>
      </c>
      <c r="M116" s="80">
        <f t="shared" si="57"/>
        <v>0.4</v>
      </c>
      <c r="N116" s="78">
        <f t="shared" si="48"/>
        <v>30</v>
      </c>
      <c r="O116" s="111">
        <f t="shared" si="49"/>
        <v>194.25</v>
      </c>
      <c r="P116" s="125">
        <v>0.5</v>
      </c>
      <c r="Q116" s="49">
        <v>0.6</v>
      </c>
      <c r="R116" s="173">
        <v>0.78</v>
      </c>
      <c r="S116" s="228">
        <v>0.98</v>
      </c>
      <c r="T116" s="49">
        <v>1.17</v>
      </c>
      <c r="U116" s="138">
        <v>148986</v>
      </c>
    </row>
    <row r="117" spans="1:21" x14ac:dyDescent="0.25">
      <c r="A117" s="31">
        <v>4</v>
      </c>
      <c r="B117" s="4" t="s">
        <v>265</v>
      </c>
      <c r="C117" s="5">
        <v>1</v>
      </c>
      <c r="D117" s="7">
        <v>0</v>
      </c>
      <c r="E117" s="3">
        <f t="shared" si="54"/>
        <v>1</v>
      </c>
      <c r="F117" s="3" t="s">
        <v>867</v>
      </c>
      <c r="G117" s="77">
        <v>164.25</v>
      </c>
      <c r="H117" s="5" t="s">
        <v>1</v>
      </c>
      <c r="I117" s="78">
        <f t="shared" si="55"/>
        <v>164.25</v>
      </c>
      <c r="J117" s="110">
        <f t="shared" si="56"/>
        <v>75</v>
      </c>
      <c r="K117" s="4">
        <v>0.4</v>
      </c>
      <c r="L117" s="5" t="s">
        <v>1</v>
      </c>
      <c r="M117" s="80">
        <f t="shared" si="57"/>
        <v>0.4</v>
      </c>
      <c r="N117" s="78">
        <f t="shared" si="48"/>
        <v>30</v>
      </c>
      <c r="O117" s="111">
        <f t="shared" si="49"/>
        <v>194.25</v>
      </c>
      <c r="P117" s="125">
        <v>0.5</v>
      </c>
      <c r="Q117" s="49">
        <v>0.6</v>
      </c>
      <c r="R117" s="173">
        <v>0.78</v>
      </c>
      <c r="S117" s="228">
        <v>0.98</v>
      </c>
      <c r="T117" s="49">
        <v>1.17</v>
      </c>
      <c r="U117" s="138">
        <v>148989</v>
      </c>
    </row>
    <row r="118" spans="1:21" x14ac:dyDescent="0.25">
      <c r="A118" s="31">
        <v>5</v>
      </c>
      <c r="B118" s="4" t="s">
        <v>266</v>
      </c>
      <c r="C118" s="5">
        <v>1</v>
      </c>
      <c r="D118" s="7">
        <v>0</v>
      </c>
      <c r="E118" s="3">
        <f t="shared" si="54"/>
        <v>1</v>
      </c>
      <c r="F118" s="3" t="s">
        <v>867</v>
      </c>
      <c r="G118" s="77">
        <v>164.25</v>
      </c>
      <c r="H118" s="5" t="s">
        <v>1</v>
      </c>
      <c r="I118" s="78">
        <f t="shared" si="55"/>
        <v>164.25</v>
      </c>
      <c r="J118" s="110">
        <f t="shared" si="56"/>
        <v>75</v>
      </c>
      <c r="K118" s="4">
        <v>0.4</v>
      </c>
      <c r="L118" s="5" t="s">
        <v>1</v>
      </c>
      <c r="M118" s="80">
        <f t="shared" si="57"/>
        <v>0.4</v>
      </c>
      <c r="N118" s="78">
        <f t="shared" si="48"/>
        <v>30</v>
      </c>
      <c r="O118" s="111">
        <f t="shared" si="49"/>
        <v>194.25</v>
      </c>
      <c r="P118" s="125">
        <v>0.5</v>
      </c>
      <c r="Q118" s="49">
        <v>0.6</v>
      </c>
      <c r="R118" s="173">
        <v>0.82</v>
      </c>
      <c r="S118" s="228">
        <v>1</v>
      </c>
      <c r="T118" s="49">
        <v>1.22</v>
      </c>
      <c r="U118" s="138">
        <v>148992</v>
      </c>
    </row>
    <row r="119" spans="1:21" x14ac:dyDescent="0.25">
      <c r="A119" s="31">
        <v>6</v>
      </c>
      <c r="B119" s="4" t="s">
        <v>267</v>
      </c>
      <c r="C119" s="5">
        <v>1</v>
      </c>
      <c r="D119" s="7">
        <v>0</v>
      </c>
      <c r="E119" s="3">
        <f t="shared" si="54"/>
        <v>1</v>
      </c>
      <c r="F119" s="3" t="s">
        <v>867</v>
      </c>
      <c r="G119" s="77">
        <v>164.25</v>
      </c>
      <c r="H119" s="5" t="s">
        <v>1</v>
      </c>
      <c r="I119" s="78">
        <f t="shared" si="55"/>
        <v>164.25</v>
      </c>
      <c r="J119" s="110">
        <f t="shared" si="56"/>
        <v>75</v>
      </c>
      <c r="K119" s="4">
        <v>0.4</v>
      </c>
      <c r="L119" s="5" t="s">
        <v>1</v>
      </c>
      <c r="M119" s="80">
        <f t="shared" si="57"/>
        <v>0.4</v>
      </c>
      <c r="N119" s="78">
        <f t="shared" si="48"/>
        <v>30</v>
      </c>
      <c r="O119" s="111">
        <f t="shared" si="49"/>
        <v>194.25</v>
      </c>
      <c r="P119" s="125">
        <v>0.5</v>
      </c>
      <c r="Q119" s="49">
        <v>0.6</v>
      </c>
      <c r="R119" s="173">
        <v>0.82</v>
      </c>
      <c r="S119" s="228">
        <v>1</v>
      </c>
      <c r="T119" s="49">
        <v>1.22</v>
      </c>
      <c r="U119" s="138">
        <v>148995</v>
      </c>
    </row>
    <row r="120" spans="1:21" x14ac:dyDescent="0.25">
      <c r="A120" s="31">
        <v>7</v>
      </c>
      <c r="B120" s="4" t="s">
        <v>268</v>
      </c>
      <c r="C120" s="5">
        <v>1</v>
      </c>
      <c r="D120" s="7">
        <v>0</v>
      </c>
      <c r="E120" s="3">
        <f t="shared" si="54"/>
        <v>1</v>
      </c>
      <c r="F120" s="3" t="s">
        <v>867</v>
      </c>
      <c r="G120" s="77">
        <v>164.25</v>
      </c>
      <c r="H120" s="5" t="s">
        <v>1</v>
      </c>
      <c r="I120" s="78">
        <f t="shared" si="55"/>
        <v>164.25</v>
      </c>
      <c r="J120" s="110">
        <f t="shared" si="56"/>
        <v>75</v>
      </c>
      <c r="K120" s="4">
        <v>0.4</v>
      </c>
      <c r="L120" s="5" t="s">
        <v>1</v>
      </c>
      <c r="M120" s="80">
        <f t="shared" si="57"/>
        <v>0.4</v>
      </c>
      <c r="N120" s="78">
        <f t="shared" si="48"/>
        <v>30</v>
      </c>
      <c r="O120" s="111">
        <f t="shared" si="49"/>
        <v>194.25</v>
      </c>
      <c r="P120" s="125">
        <v>0.5</v>
      </c>
      <c r="Q120" s="49">
        <v>0.6</v>
      </c>
      <c r="R120" s="173">
        <v>0.85</v>
      </c>
      <c r="S120" s="228">
        <v>1.06</v>
      </c>
      <c r="T120" s="49">
        <v>1.28</v>
      </c>
      <c r="U120" s="138">
        <v>148998</v>
      </c>
    </row>
    <row r="121" spans="1:21" x14ac:dyDescent="0.25">
      <c r="A121" s="31">
        <v>8</v>
      </c>
      <c r="B121" s="4" t="s">
        <v>269</v>
      </c>
      <c r="C121" s="5">
        <v>1</v>
      </c>
      <c r="D121" s="7">
        <v>0</v>
      </c>
      <c r="E121" s="3">
        <f t="shared" si="54"/>
        <v>1</v>
      </c>
      <c r="F121" s="3" t="s">
        <v>867</v>
      </c>
      <c r="G121" s="77">
        <v>164.25</v>
      </c>
      <c r="H121" s="5" t="s">
        <v>1</v>
      </c>
      <c r="I121" s="78">
        <f t="shared" si="55"/>
        <v>164.25</v>
      </c>
      <c r="J121" s="110">
        <f t="shared" si="56"/>
        <v>75</v>
      </c>
      <c r="K121" s="4">
        <v>0.4</v>
      </c>
      <c r="L121" s="5" t="s">
        <v>1</v>
      </c>
      <c r="M121" s="80">
        <f t="shared" si="57"/>
        <v>0.4</v>
      </c>
      <c r="N121" s="78">
        <f t="shared" si="48"/>
        <v>30</v>
      </c>
      <c r="O121" s="111">
        <f t="shared" si="49"/>
        <v>194.25</v>
      </c>
      <c r="P121" s="125">
        <v>0.5</v>
      </c>
      <c r="Q121" s="49">
        <v>0.6</v>
      </c>
      <c r="R121" s="173">
        <v>0.85</v>
      </c>
      <c r="S121" s="228">
        <v>1.06</v>
      </c>
      <c r="T121" s="49">
        <v>1.28</v>
      </c>
      <c r="U121" s="138">
        <v>149001</v>
      </c>
    </row>
    <row r="122" spans="1:21" x14ac:dyDescent="0.25">
      <c r="A122" s="31">
        <v>9</v>
      </c>
      <c r="B122" s="4" t="s">
        <v>270</v>
      </c>
      <c r="C122" s="5">
        <v>1</v>
      </c>
      <c r="D122" s="7">
        <v>0</v>
      </c>
      <c r="E122" s="3">
        <f t="shared" si="54"/>
        <v>1</v>
      </c>
      <c r="F122" s="3" t="s">
        <v>867</v>
      </c>
      <c r="G122" s="77">
        <v>164.25</v>
      </c>
      <c r="H122" s="5" t="s">
        <v>1</v>
      </c>
      <c r="I122" s="78">
        <f t="shared" si="55"/>
        <v>164.25</v>
      </c>
      <c r="J122" s="110">
        <f t="shared" si="56"/>
        <v>75</v>
      </c>
      <c r="K122" s="4">
        <v>0.4</v>
      </c>
      <c r="L122" s="5" t="s">
        <v>1</v>
      </c>
      <c r="M122" s="80">
        <f t="shared" si="57"/>
        <v>0.4</v>
      </c>
      <c r="N122" s="78">
        <f t="shared" si="48"/>
        <v>30</v>
      </c>
      <c r="O122" s="111">
        <f t="shared" si="49"/>
        <v>194.25</v>
      </c>
      <c r="P122" s="125">
        <v>0.5</v>
      </c>
      <c r="Q122" s="49">
        <v>0.6</v>
      </c>
      <c r="R122" s="173">
        <v>0.92</v>
      </c>
      <c r="S122" s="228">
        <v>1.1499999999999999</v>
      </c>
      <c r="T122" s="49">
        <v>1.38</v>
      </c>
      <c r="U122" s="138">
        <v>149004</v>
      </c>
    </row>
    <row r="123" spans="1:21" x14ac:dyDescent="0.25">
      <c r="A123" s="31">
        <v>10</v>
      </c>
      <c r="B123" s="4" t="s">
        <v>271</v>
      </c>
      <c r="C123" s="5">
        <v>1</v>
      </c>
      <c r="D123" s="7">
        <v>0</v>
      </c>
      <c r="E123" s="3">
        <f t="shared" si="54"/>
        <v>1</v>
      </c>
      <c r="F123" s="3" t="s">
        <v>867</v>
      </c>
      <c r="G123" s="77">
        <v>204</v>
      </c>
      <c r="H123" s="5" t="s">
        <v>1</v>
      </c>
      <c r="I123" s="78">
        <f t="shared" si="55"/>
        <v>204</v>
      </c>
      <c r="J123" s="110">
        <f t="shared" si="56"/>
        <v>75</v>
      </c>
      <c r="K123" s="4">
        <v>0.4</v>
      </c>
      <c r="L123" s="5" t="s">
        <v>1</v>
      </c>
      <c r="M123" s="80">
        <f t="shared" si="57"/>
        <v>0.4</v>
      </c>
      <c r="N123" s="78">
        <f t="shared" si="48"/>
        <v>30</v>
      </c>
      <c r="O123" s="111">
        <f t="shared" si="49"/>
        <v>234</v>
      </c>
      <c r="P123" s="125">
        <v>0.5</v>
      </c>
      <c r="Q123" s="49">
        <v>0.6</v>
      </c>
      <c r="R123" s="173">
        <v>1.05</v>
      </c>
      <c r="S123" s="228">
        <v>1.31</v>
      </c>
      <c r="T123" s="49">
        <v>1.58</v>
      </c>
      <c r="U123" s="138">
        <v>149007</v>
      </c>
    </row>
    <row r="124" spans="1:21" x14ac:dyDescent="0.25">
      <c r="A124" s="31">
        <v>11</v>
      </c>
      <c r="B124" s="4" t="s">
        <v>272</v>
      </c>
      <c r="C124" s="5">
        <v>1</v>
      </c>
      <c r="D124" s="7">
        <v>0</v>
      </c>
      <c r="E124" s="3">
        <f t="shared" si="54"/>
        <v>1</v>
      </c>
      <c r="F124" s="3" t="s">
        <v>867</v>
      </c>
      <c r="G124" s="77">
        <v>244.88</v>
      </c>
      <c r="H124" s="5" t="s">
        <v>1</v>
      </c>
      <c r="I124" s="78">
        <f t="shared" si="55"/>
        <v>244.88</v>
      </c>
      <c r="J124" s="110">
        <f t="shared" si="56"/>
        <v>75</v>
      </c>
      <c r="K124" s="4">
        <v>0.4</v>
      </c>
      <c r="L124" s="5" t="s">
        <v>1</v>
      </c>
      <c r="M124" s="80">
        <f t="shared" si="57"/>
        <v>0.4</v>
      </c>
      <c r="N124" s="78">
        <f t="shared" si="48"/>
        <v>30</v>
      </c>
      <c r="O124" s="111">
        <f t="shared" si="49"/>
        <v>274.88</v>
      </c>
      <c r="P124" s="125">
        <v>0.5</v>
      </c>
      <c r="Q124" s="49">
        <v>0.6</v>
      </c>
      <c r="R124" s="173">
        <v>1.18</v>
      </c>
      <c r="S124" s="228">
        <v>1.48</v>
      </c>
      <c r="T124" s="49">
        <v>1.77</v>
      </c>
      <c r="U124" s="138">
        <v>149010</v>
      </c>
    </row>
    <row r="125" spans="1:21" x14ac:dyDescent="0.25">
      <c r="A125" s="31">
        <v>12</v>
      </c>
      <c r="B125" s="4" t="s">
        <v>273</v>
      </c>
      <c r="C125" s="5">
        <v>1</v>
      </c>
      <c r="D125" s="7">
        <v>0</v>
      </c>
      <c r="E125" s="3">
        <f t="shared" si="54"/>
        <v>1</v>
      </c>
      <c r="F125" s="3" t="s">
        <v>867</v>
      </c>
      <c r="G125" s="77">
        <v>244.88</v>
      </c>
      <c r="H125" s="5" t="s">
        <v>1</v>
      </c>
      <c r="I125" s="78">
        <f t="shared" si="55"/>
        <v>244.88</v>
      </c>
      <c r="J125" s="110">
        <f t="shared" si="56"/>
        <v>75</v>
      </c>
      <c r="K125" s="4">
        <v>0.4</v>
      </c>
      <c r="L125" s="5" t="s">
        <v>1</v>
      </c>
      <c r="M125" s="80">
        <f t="shared" si="57"/>
        <v>0.4</v>
      </c>
      <c r="N125" s="78">
        <f t="shared" si="48"/>
        <v>30</v>
      </c>
      <c r="O125" s="111">
        <f t="shared" si="49"/>
        <v>274.88</v>
      </c>
      <c r="P125" s="125">
        <v>0.5</v>
      </c>
      <c r="Q125" s="49">
        <v>0.6</v>
      </c>
      <c r="R125" s="173">
        <v>1.18</v>
      </c>
      <c r="S125" s="228">
        <v>1.48</v>
      </c>
      <c r="T125" s="49">
        <v>1.77</v>
      </c>
      <c r="U125" s="138">
        <v>149013</v>
      </c>
    </row>
    <row r="126" spans="1:21" x14ac:dyDescent="0.25">
      <c r="A126" s="31">
        <v>13</v>
      </c>
      <c r="B126" s="4" t="s">
        <v>274</v>
      </c>
      <c r="C126" s="5">
        <v>1</v>
      </c>
      <c r="D126" s="7">
        <v>0</v>
      </c>
      <c r="E126" s="3">
        <f t="shared" si="54"/>
        <v>1</v>
      </c>
      <c r="F126" s="3" t="s">
        <v>867</v>
      </c>
      <c r="G126" s="77">
        <v>244.88</v>
      </c>
      <c r="H126" s="5" t="s">
        <v>1</v>
      </c>
      <c r="I126" s="78">
        <f t="shared" si="55"/>
        <v>244.88</v>
      </c>
      <c r="J126" s="110">
        <f t="shared" si="56"/>
        <v>75</v>
      </c>
      <c r="K126" s="4">
        <v>0.4</v>
      </c>
      <c r="L126" s="5" t="s">
        <v>1</v>
      </c>
      <c r="M126" s="80">
        <f t="shared" si="57"/>
        <v>0.4</v>
      </c>
      <c r="N126" s="78">
        <f t="shared" si="48"/>
        <v>30</v>
      </c>
      <c r="O126" s="111">
        <f t="shared" si="49"/>
        <v>274.88</v>
      </c>
      <c r="P126" s="125">
        <v>0.5</v>
      </c>
      <c r="Q126" s="49">
        <v>0.6</v>
      </c>
      <c r="R126" s="173">
        <v>1.28</v>
      </c>
      <c r="S126" s="228">
        <v>1.6</v>
      </c>
      <c r="T126" s="49">
        <v>1.92</v>
      </c>
      <c r="U126" s="138">
        <v>149016</v>
      </c>
    </row>
    <row r="127" spans="1:21" x14ac:dyDescent="0.25">
      <c r="A127" s="31">
        <v>14</v>
      </c>
      <c r="B127" s="4" t="s">
        <v>1027</v>
      </c>
      <c r="C127" s="5">
        <v>1</v>
      </c>
      <c r="D127" s="7">
        <v>0</v>
      </c>
      <c r="E127" s="3">
        <f t="shared" si="54"/>
        <v>1</v>
      </c>
      <c r="F127" s="3" t="s">
        <v>867</v>
      </c>
      <c r="G127" s="77">
        <v>502</v>
      </c>
      <c r="H127" s="5" t="s">
        <v>1</v>
      </c>
      <c r="I127" s="78">
        <f t="shared" si="55"/>
        <v>502</v>
      </c>
      <c r="J127" s="110">
        <f t="shared" si="56"/>
        <v>75</v>
      </c>
      <c r="K127" s="4"/>
      <c r="L127" s="5" t="s">
        <v>1</v>
      </c>
      <c r="M127" s="80"/>
      <c r="N127" s="78">
        <f t="shared" si="48"/>
        <v>0</v>
      </c>
      <c r="O127" s="111">
        <f t="shared" si="49"/>
        <v>502</v>
      </c>
      <c r="P127" s="125"/>
      <c r="Q127" s="49"/>
      <c r="R127" s="173"/>
      <c r="S127" s="228"/>
      <c r="T127" s="49"/>
      <c r="U127" s="138"/>
    </row>
    <row r="128" spans="1:21" x14ac:dyDescent="0.25">
      <c r="A128" s="31">
        <v>15</v>
      </c>
      <c r="B128" s="4" t="s">
        <v>1028</v>
      </c>
      <c r="C128" s="5">
        <v>1</v>
      </c>
      <c r="D128" s="7">
        <v>0</v>
      </c>
      <c r="E128" s="3">
        <f t="shared" si="54"/>
        <v>1</v>
      </c>
      <c r="F128" s="3" t="s">
        <v>867</v>
      </c>
      <c r="G128" s="77">
        <v>525</v>
      </c>
      <c r="H128" s="5" t="s">
        <v>1</v>
      </c>
      <c r="I128" s="78">
        <f t="shared" si="55"/>
        <v>525</v>
      </c>
      <c r="J128" s="110">
        <f t="shared" si="56"/>
        <v>75</v>
      </c>
      <c r="K128" s="4"/>
      <c r="L128" s="5" t="s">
        <v>1</v>
      </c>
      <c r="M128" s="80"/>
      <c r="N128" s="78">
        <f t="shared" si="48"/>
        <v>0</v>
      </c>
      <c r="O128" s="111">
        <f t="shared" si="49"/>
        <v>525</v>
      </c>
      <c r="P128" s="125"/>
      <c r="Q128" s="49"/>
      <c r="R128" s="173"/>
      <c r="S128" s="228"/>
      <c r="T128" s="49"/>
      <c r="U128" s="138"/>
    </row>
    <row r="129" spans="1:21" x14ac:dyDescent="0.25">
      <c r="A129" s="31">
        <v>16</v>
      </c>
      <c r="B129" s="4" t="s">
        <v>1029</v>
      </c>
      <c r="C129" s="5">
        <v>1</v>
      </c>
      <c r="D129" s="7">
        <v>0</v>
      </c>
      <c r="E129" s="3">
        <f t="shared" si="54"/>
        <v>1</v>
      </c>
      <c r="F129" s="3" t="s">
        <v>867</v>
      </c>
      <c r="G129" s="77">
        <v>650</v>
      </c>
      <c r="H129" s="5" t="s">
        <v>1</v>
      </c>
      <c r="I129" s="78">
        <f t="shared" si="55"/>
        <v>650</v>
      </c>
      <c r="J129" s="110">
        <f t="shared" si="56"/>
        <v>75</v>
      </c>
      <c r="K129" s="4"/>
      <c r="L129" s="5" t="s">
        <v>1</v>
      </c>
      <c r="M129" s="80"/>
      <c r="N129" s="78">
        <f t="shared" si="48"/>
        <v>0</v>
      </c>
      <c r="O129" s="111">
        <f t="shared" si="49"/>
        <v>650</v>
      </c>
      <c r="P129" s="125"/>
      <c r="Q129" s="49"/>
      <c r="R129" s="173"/>
      <c r="S129" s="228"/>
      <c r="T129" s="49"/>
      <c r="U129" s="138"/>
    </row>
    <row r="130" spans="1:21" x14ac:dyDescent="0.25">
      <c r="A130" s="31">
        <v>17</v>
      </c>
      <c r="B130" s="4" t="s">
        <v>1030</v>
      </c>
      <c r="C130" s="5">
        <v>1</v>
      </c>
      <c r="D130" s="7">
        <v>0</v>
      </c>
      <c r="E130" s="3">
        <f t="shared" si="54"/>
        <v>1</v>
      </c>
      <c r="F130" s="3" t="s">
        <v>867</v>
      </c>
      <c r="G130" s="77">
        <v>700</v>
      </c>
      <c r="H130" s="5" t="s">
        <v>1</v>
      </c>
      <c r="I130" s="78">
        <f t="shared" si="55"/>
        <v>700</v>
      </c>
      <c r="J130" s="110">
        <f t="shared" si="56"/>
        <v>75</v>
      </c>
      <c r="K130" s="4"/>
      <c r="L130" s="5" t="s">
        <v>1</v>
      </c>
      <c r="M130" s="80"/>
      <c r="N130" s="78">
        <f t="shared" si="48"/>
        <v>0</v>
      </c>
      <c r="O130" s="111">
        <f t="shared" si="49"/>
        <v>700</v>
      </c>
      <c r="P130" s="125"/>
      <c r="Q130" s="49"/>
      <c r="R130" s="173"/>
      <c r="S130" s="228"/>
      <c r="T130" s="49"/>
      <c r="U130" s="138"/>
    </row>
    <row r="131" spans="1:21" x14ac:dyDescent="0.25">
      <c r="A131" s="31">
        <v>18</v>
      </c>
      <c r="B131" s="4" t="s">
        <v>1031</v>
      </c>
      <c r="C131" s="5">
        <v>1</v>
      </c>
      <c r="D131" s="7">
        <v>0</v>
      </c>
      <c r="E131" s="3">
        <f t="shared" si="54"/>
        <v>1</v>
      </c>
      <c r="F131" s="3" t="s">
        <v>867</v>
      </c>
      <c r="G131" s="77">
        <v>845</v>
      </c>
      <c r="H131" s="5" t="s">
        <v>1</v>
      </c>
      <c r="I131" s="78">
        <f t="shared" si="55"/>
        <v>845</v>
      </c>
      <c r="J131" s="110">
        <f t="shared" si="56"/>
        <v>75</v>
      </c>
      <c r="K131" s="4"/>
      <c r="L131" s="5" t="s">
        <v>1</v>
      </c>
      <c r="M131" s="80"/>
      <c r="N131" s="78">
        <f t="shared" si="48"/>
        <v>0</v>
      </c>
      <c r="O131" s="111">
        <f t="shared" si="49"/>
        <v>845</v>
      </c>
      <c r="P131" s="125"/>
      <c r="Q131" s="49"/>
      <c r="R131" s="173"/>
      <c r="S131" s="228"/>
      <c r="T131" s="49"/>
      <c r="U131" s="138"/>
    </row>
    <row r="132" spans="1:21" ht="15.75" thickBot="1" x14ac:dyDescent="0.3">
      <c r="A132" s="31"/>
      <c r="B132" s="4"/>
      <c r="C132" s="5"/>
      <c r="D132" s="5"/>
      <c r="E132" s="5"/>
      <c r="F132" s="5"/>
      <c r="G132" s="9"/>
      <c r="H132" s="5"/>
      <c r="I132" s="9"/>
      <c r="J132" s="4"/>
      <c r="K132" s="15"/>
      <c r="L132" s="5"/>
      <c r="M132" s="15"/>
      <c r="N132" s="4"/>
      <c r="O132" s="42"/>
      <c r="P132" s="125"/>
      <c r="Q132" s="49"/>
      <c r="R132" s="173"/>
      <c r="S132" s="228"/>
      <c r="T132" s="49"/>
      <c r="U132" s="138"/>
    </row>
    <row r="133" spans="1:21" ht="15.75" thickBot="1" x14ac:dyDescent="0.3">
      <c r="A133" s="32"/>
      <c r="B133" s="118" t="s">
        <v>1032</v>
      </c>
      <c r="C133" s="5"/>
      <c r="D133" s="5"/>
      <c r="E133" s="5"/>
      <c r="F133" s="5"/>
      <c r="G133" s="9"/>
      <c r="H133" s="5"/>
      <c r="I133" s="78"/>
      <c r="J133" s="4"/>
      <c r="K133" s="4"/>
      <c r="L133" s="5"/>
      <c r="M133" s="80"/>
      <c r="N133" s="78"/>
      <c r="O133" s="111"/>
      <c r="P133" s="125"/>
      <c r="Q133" s="49"/>
      <c r="R133" s="173"/>
      <c r="S133" s="228"/>
      <c r="T133" s="49"/>
      <c r="U133" s="138"/>
    </row>
    <row r="134" spans="1:21" ht="15.75" thickBot="1" x14ac:dyDescent="0.3">
      <c r="A134" s="32"/>
      <c r="B134" s="26"/>
      <c r="C134" s="5"/>
      <c r="D134" s="5"/>
      <c r="E134" s="5"/>
      <c r="F134" s="5"/>
      <c r="G134" s="9"/>
      <c r="H134" s="5"/>
      <c r="I134" s="78"/>
      <c r="J134" s="4"/>
      <c r="K134" s="4"/>
      <c r="L134" s="5"/>
      <c r="M134" s="80"/>
      <c r="N134" s="78"/>
      <c r="O134" s="111"/>
      <c r="P134" s="125"/>
      <c r="Q134" s="49"/>
      <c r="R134" s="173"/>
      <c r="S134" s="228"/>
      <c r="T134" s="49"/>
      <c r="U134" s="138"/>
    </row>
    <row r="135" spans="1:21" ht="15.75" thickBot="1" x14ac:dyDescent="0.3">
      <c r="A135" s="112"/>
      <c r="B135" s="118" t="s">
        <v>1062</v>
      </c>
      <c r="C135" s="5"/>
      <c r="D135" s="5"/>
      <c r="E135" s="5"/>
      <c r="F135" s="5"/>
      <c r="G135" s="77"/>
      <c r="H135" s="5"/>
      <c r="I135" s="78"/>
      <c r="J135" s="4"/>
      <c r="K135" s="4"/>
      <c r="L135" s="5"/>
      <c r="M135" s="80"/>
      <c r="N135" s="78"/>
      <c r="O135" s="111"/>
      <c r="P135" s="125"/>
      <c r="Q135" s="49"/>
      <c r="R135" s="173"/>
      <c r="S135" s="228"/>
      <c r="T135" s="49"/>
      <c r="U135" s="138"/>
    </row>
    <row r="136" spans="1:21" x14ac:dyDescent="0.25">
      <c r="A136" s="32"/>
      <c r="B136" s="26"/>
      <c r="C136" s="5"/>
      <c r="D136" s="5"/>
      <c r="E136" s="5"/>
      <c r="F136" s="5"/>
      <c r="G136" s="9"/>
      <c r="H136" s="5"/>
      <c r="I136" s="78"/>
      <c r="J136" s="4"/>
      <c r="K136" s="4"/>
      <c r="L136" s="5"/>
      <c r="M136" s="80"/>
      <c r="N136" s="78"/>
      <c r="O136" s="111"/>
      <c r="P136" s="125"/>
      <c r="Q136" s="49"/>
      <c r="R136" s="173"/>
      <c r="S136" s="228"/>
      <c r="T136" s="49"/>
      <c r="U136" s="138"/>
    </row>
    <row r="137" spans="1:21" x14ac:dyDescent="0.25">
      <c r="A137" s="31">
        <v>1</v>
      </c>
      <c r="B137" s="4" t="s">
        <v>1063</v>
      </c>
      <c r="C137" s="5">
        <v>1</v>
      </c>
      <c r="D137" s="7">
        <v>0</v>
      </c>
      <c r="E137" s="3">
        <f t="shared" ref="E137:E145" si="58">C137+(C137*D137)</f>
        <v>1</v>
      </c>
      <c r="F137" s="3" t="s">
        <v>867</v>
      </c>
      <c r="G137" s="77">
        <v>138</v>
      </c>
      <c r="H137" s="5" t="s">
        <v>1</v>
      </c>
      <c r="I137" s="78">
        <f t="shared" ref="I137:I145" si="59">G137*E137</f>
        <v>138</v>
      </c>
      <c r="J137" s="110">
        <f t="shared" ref="J137:J145" si="60">$O$4</f>
        <v>75</v>
      </c>
      <c r="K137" s="4">
        <v>0.45</v>
      </c>
      <c r="L137" s="5" t="s">
        <v>1</v>
      </c>
      <c r="M137" s="80">
        <f t="shared" ref="M137:M145" si="61">K137*E137</f>
        <v>0.45</v>
      </c>
      <c r="N137" s="78">
        <f t="shared" ref="N137:N145" si="62">M137*J137</f>
        <v>33.75</v>
      </c>
      <c r="O137" s="111">
        <f t="shared" ref="O137:O145" si="63">N137+I137</f>
        <v>171.75</v>
      </c>
      <c r="P137" s="125">
        <v>0.56000000000000005</v>
      </c>
      <c r="Q137" s="49">
        <v>0.68</v>
      </c>
      <c r="R137" s="173">
        <v>0.32</v>
      </c>
      <c r="S137" s="228">
        <v>0.4</v>
      </c>
      <c r="T137" s="49">
        <v>0.48</v>
      </c>
      <c r="U137" s="138"/>
    </row>
    <row r="138" spans="1:21" x14ac:dyDescent="0.25">
      <c r="A138" s="31">
        <v>2</v>
      </c>
      <c r="B138" s="4" t="s">
        <v>1064</v>
      </c>
      <c r="C138" s="5">
        <v>1</v>
      </c>
      <c r="D138" s="7">
        <v>0</v>
      </c>
      <c r="E138" s="3">
        <f t="shared" si="58"/>
        <v>1</v>
      </c>
      <c r="F138" s="3" t="s">
        <v>867</v>
      </c>
      <c r="G138" s="77">
        <v>138</v>
      </c>
      <c r="H138" s="5" t="s">
        <v>1</v>
      </c>
      <c r="I138" s="78">
        <f t="shared" si="59"/>
        <v>138</v>
      </c>
      <c r="J138" s="110">
        <f t="shared" si="60"/>
        <v>75</v>
      </c>
      <c r="K138" s="4">
        <v>0.45</v>
      </c>
      <c r="L138" s="5" t="s">
        <v>1</v>
      </c>
      <c r="M138" s="80">
        <f t="shared" si="61"/>
        <v>0.45</v>
      </c>
      <c r="N138" s="78">
        <f t="shared" si="62"/>
        <v>33.75</v>
      </c>
      <c r="O138" s="111">
        <f t="shared" si="63"/>
        <v>171.75</v>
      </c>
      <c r="P138" s="125">
        <v>0.56000000000000005</v>
      </c>
      <c r="Q138" s="49">
        <v>0.68</v>
      </c>
      <c r="R138" s="173">
        <v>0.34</v>
      </c>
      <c r="S138" s="228">
        <v>0.43</v>
      </c>
      <c r="T138" s="49">
        <v>0.51</v>
      </c>
      <c r="U138" s="138"/>
    </row>
    <row r="139" spans="1:21" x14ac:dyDescent="0.25">
      <c r="A139" s="31">
        <v>3</v>
      </c>
      <c r="B139" s="4" t="s">
        <v>1065</v>
      </c>
      <c r="C139" s="5">
        <v>1</v>
      </c>
      <c r="D139" s="7">
        <v>0</v>
      </c>
      <c r="E139" s="3">
        <f t="shared" si="58"/>
        <v>1</v>
      </c>
      <c r="F139" s="3" t="s">
        <v>867</v>
      </c>
      <c r="G139" s="77">
        <v>138</v>
      </c>
      <c r="H139" s="5" t="s">
        <v>1</v>
      </c>
      <c r="I139" s="78">
        <f t="shared" si="59"/>
        <v>138</v>
      </c>
      <c r="J139" s="110">
        <f t="shared" si="60"/>
        <v>75</v>
      </c>
      <c r="K139" s="4">
        <v>0.45</v>
      </c>
      <c r="L139" s="5" t="s">
        <v>1</v>
      </c>
      <c r="M139" s="80">
        <f t="shared" si="61"/>
        <v>0.45</v>
      </c>
      <c r="N139" s="78">
        <f t="shared" si="62"/>
        <v>33.75</v>
      </c>
      <c r="O139" s="111">
        <f t="shared" si="63"/>
        <v>171.75</v>
      </c>
      <c r="P139" s="125">
        <v>0.56000000000000005</v>
      </c>
      <c r="Q139" s="49">
        <v>0.68</v>
      </c>
      <c r="R139" s="173">
        <v>0.38</v>
      </c>
      <c r="S139" s="228">
        <v>0.48</v>
      </c>
      <c r="T139" s="49">
        <v>0.56999999999999995</v>
      </c>
      <c r="U139" s="138"/>
    </row>
    <row r="140" spans="1:21" x14ac:dyDescent="0.25">
      <c r="A140" s="31">
        <v>4</v>
      </c>
      <c r="B140" s="4" t="s">
        <v>1066</v>
      </c>
      <c r="C140" s="5">
        <v>1</v>
      </c>
      <c r="D140" s="7">
        <v>0</v>
      </c>
      <c r="E140" s="3">
        <f t="shared" si="58"/>
        <v>1</v>
      </c>
      <c r="F140" s="3" t="s">
        <v>867</v>
      </c>
      <c r="G140" s="77">
        <v>138</v>
      </c>
      <c r="H140" s="5" t="s">
        <v>1</v>
      </c>
      <c r="I140" s="78">
        <f t="shared" si="59"/>
        <v>138</v>
      </c>
      <c r="J140" s="110">
        <f t="shared" si="60"/>
        <v>75</v>
      </c>
      <c r="K140" s="4">
        <v>0.45</v>
      </c>
      <c r="L140" s="5" t="s">
        <v>1</v>
      </c>
      <c r="M140" s="80">
        <f t="shared" si="61"/>
        <v>0.45</v>
      </c>
      <c r="N140" s="78">
        <f t="shared" si="62"/>
        <v>33.75</v>
      </c>
      <c r="O140" s="111">
        <f t="shared" si="63"/>
        <v>171.75</v>
      </c>
      <c r="P140" s="125">
        <v>0.56000000000000005</v>
      </c>
      <c r="Q140" s="49">
        <v>0.68</v>
      </c>
      <c r="R140" s="173">
        <v>0.42</v>
      </c>
      <c r="S140" s="228">
        <v>0.53</v>
      </c>
      <c r="T140" s="49">
        <v>0.63</v>
      </c>
      <c r="U140" s="138"/>
    </row>
    <row r="141" spans="1:21" x14ac:dyDescent="0.25">
      <c r="A141" s="31">
        <v>5</v>
      </c>
      <c r="B141" s="4" t="s">
        <v>1067</v>
      </c>
      <c r="C141" s="5">
        <v>1</v>
      </c>
      <c r="D141" s="7">
        <v>0</v>
      </c>
      <c r="E141" s="3">
        <f t="shared" si="58"/>
        <v>1</v>
      </c>
      <c r="F141" s="3" t="s">
        <v>867</v>
      </c>
      <c r="G141" s="77">
        <v>138</v>
      </c>
      <c r="H141" s="5" t="s">
        <v>1</v>
      </c>
      <c r="I141" s="78">
        <f t="shared" si="59"/>
        <v>138</v>
      </c>
      <c r="J141" s="110">
        <f t="shared" si="60"/>
        <v>75</v>
      </c>
      <c r="K141" s="4">
        <v>0.45</v>
      </c>
      <c r="L141" s="5" t="s">
        <v>1</v>
      </c>
      <c r="M141" s="80">
        <f t="shared" si="61"/>
        <v>0.45</v>
      </c>
      <c r="N141" s="78">
        <f t="shared" si="62"/>
        <v>33.75</v>
      </c>
      <c r="O141" s="111">
        <f t="shared" si="63"/>
        <v>171.75</v>
      </c>
      <c r="P141" s="125">
        <v>0.56000000000000005</v>
      </c>
      <c r="Q141" s="49">
        <v>0.68</v>
      </c>
      <c r="R141" s="173">
        <v>0.42</v>
      </c>
      <c r="S141" s="228">
        <v>0.53</v>
      </c>
      <c r="T141" s="49">
        <v>0.63</v>
      </c>
      <c r="U141" s="138"/>
    </row>
    <row r="142" spans="1:21" x14ac:dyDescent="0.25">
      <c r="A142" s="31">
        <v>6</v>
      </c>
      <c r="B142" s="4" t="s">
        <v>1068</v>
      </c>
      <c r="C142" s="5">
        <v>1</v>
      </c>
      <c r="D142" s="7">
        <v>0</v>
      </c>
      <c r="E142" s="3">
        <f t="shared" si="58"/>
        <v>1</v>
      </c>
      <c r="F142" s="3" t="s">
        <v>867</v>
      </c>
      <c r="G142" s="77">
        <v>190</v>
      </c>
      <c r="H142" s="5" t="s">
        <v>1</v>
      </c>
      <c r="I142" s="78">
        <f t="shared" si="59"/>
        <v>190</v>
      </c>
      <c r="J142" s="110">
        <f t="shared" si="60"/>
        <v>75</v>
      </c>
      <c r="K142" s="4">
        <v>0.45</v>
      </c>
      <c r="L142" s="5" t="s">
        <v>1</v>
      </c>
      <c r="M142" s="80">
        <f t="shared" si="61"/>
        <v>0.45</v>
      </c>
      <c r="N142" s="78">
        <f t="shared" si="62"/>
        <v>33.75</v>
      </c>
      <c r="O142" s="111">
        <f t="shared" si="63"/>
        <v>223.75</v>
      </c>
      <c r="P142" s="125">
        <v>0.56000000000000005</v>
      </c>
      <c r="Q142" s="49">
        <v>0.68</v>
      </c>
      <c r="R142" s="173">
        <v>0.47</v>
      </c>
      <c r="S142" s="228">
        <v>0.59</v>
      </c>
      <c r="T142" s="49">
        <v>0.71</v>
      </c>
      <c r="U142" s="138"/>
    </row>
    <row r="143" spans="1:21" x14ac:dyDescent="0.25">
      <c r="A143" s="31">
        <v>7</v>
      </c>
      <c r="B143" s="4" t="s">
        <v>1069</v>
      </c>
      <c r="C143" s="5">
        <v>1</v>
      </c>
      <c r="D143" s="7">
        <v>0</v>
      </c>
      <c r="E143" s="3">
        <f t="shared" si="58"/>
        <v>1</v>
      </c>
      <c r="F143" s="3" t="s">
        <v>867</v>
      </c>
      <c r="G143" s="77">
        <v>250</v>
      </c>
      <c r="H143" s="5" t="s">
        <v>1</v>
      </c>
      <c r="I143" s="78">
        <f t="shared" si="59"/>
        <v>250</v>
      </c>
      <c r="J143" s="110">
        <f t="shared" si="60"/>
        <v>75</v>
      </c>
      <c r="K143" s="4">
        <v>0.45</v>
      </c>
      <c r="L143" s="5" t="s">
        <v>1</v>
      </c>
      <c r="M143" s="80">
        <f t="shared" si="61"/>
        <v>0.45</v>
      </c>
      <c r="N143" s="78">
        <f t="shared" si="62"/>
        <v>33.75</v>
      </c>
      <c r="O143" s="111">
        <f t="shared" si="63"/>
        <v>283.75</v>
      </c>
      <c r="P143" s="125">
        <v>0.56000000000000005</v>
      </c>
      <c r="Q143" s="49">
        <v>0.68</v>
      </c>
      <c r="R143" s="173">
        <v>0.53</v>
      </c>
      <c r="S143" s="228">
        <v>0.66</v>
      </c>
      <c r="T143" s="49">
        <v>0.8</v>
      </c>
      <c r="U143" s="138"/>
    </row>
    <row r="144" spans="1:21" x14ac:dyDescent="0.25">
      <c r="A144" s="31">
        <v>8</v>
      </c>
      <c r="B144" s="4" t="s">
        <v>1070</v>
      </c>
      <c r="C144" s="5">
        <v>1</v>
      </c>
      <c r="D144" s="7">
        <v>0</v>
      </c>
      <c r="E144" s="3">
        <f t="shared" si="58"/>
        <v>1</v>
      </c>
      <c r="F144" s="3" t="s">
        <v>867</v>
      </c>
      <c r="G144" s="77">
        <v>265</v>
      </c>
      <c r="H144" s="5" t="s">
        <v>1</v>
      </c>
      <c r="I144" s="78">
        <f t="shared" si="59"/>
        <v>265</v>
      </c>
      <c r="J144" s="110">
        <f t="shared" si="60"/>
        <v>75</v>
      </c>
      <c r="K144" s="4">
        <v>0.45</v>
      </c>
      <c r="L144" s="5" t="s">
        <v>1</v>
      </c>
      <c r="M144" s="80">
        <f t="shared" si="61"/>
        <v>0.45</v>
      </c>
      <c r="N144" s="78">
        <f t="shared" si="62"/>
        <v>33.75</v>
      </c>
      <c r="O144" s="111">
        <f t="shared" si="63"/>
        <v>298.75</v>
      </c>
      <c r="P144" s="125">
        <v>0.56000000000000005</v>
      </c>
      <c r="Q144" s="49">
        <v>0.68</v>
      </c>
      <c r="R144" s="173">
        <v>0.57999999999999996</v>
      </c>
      <c r="S144" s="228">
        <v>0.73</v>
      </c>
      <c r="T144" s="49">
        <v>0.87</v>
      </c>
      <c r="U144" s="138"/>
    </row>
    <row r="145" spans="1:21" x14ac:dyDescent="0.25">
      <c r="A145" s="31">
        <v>9</v>
      </c>
      <c r="B145" s="4" t="s">
        <v>1071</v>
      </c>
      <c r="C145" s="5">
        <v>1</v>
      </c>
      <c r="D145" s="7">
        <v>0</v>
      </c>
      <c r="E145" s="3">
        <f t="shared" si="58"/>
        <v>1</v>
      </c>
      <c r="F145" s="3" t="s">
        <v>867</v>
      </c>
      <c r="G145" s="77">
        <v>314</v>
      </c>
      <c r="H145" s="5" t="s">
        <v>1</v>
      </c>
      <c r="I145" s="78">
        <f t="shared" si="59"/>
        <v>314</v>
      </c>
      <c r="J145" s="110">
        <f t="shared" si="60"/>
        <v>75</v>
      </c>
      <c r="K145" s="4">
        <v>0.45</v>
      </c>
      <c r="L145" s="5" t="s">
        <v>1</v>
      </c>
      <c r="M145" s="80">
        <f t="shared" si="61"/>
        <v>0.45</v>
      </c>
      <c r="N145" s="78">
        <f t="shared" si="62"/>
        <v>33.75</v>
      </c>
      <c r="O145" s="111">
        <f t="shared" si="63"/>
        <v>347.75</v>
      </c>
      <c r="P145" s="125">
        <v>0.56000000000000005</v>
      </c>
      <c r="Q145" s="49">
        <v>0.68</v>
      </c>
      <c r="R145" s="173">
        <v>0.61</v>
      </c>
      <c r="S145" s="228">
        <v>0.76</v>
      </c>
      <c r="T145" s="49">
        <v>0.92</v>
      </c>
      <c r="U145" s="138"/>
    </row>
    <row r="146" spans="1:21" ht="15.75" thickBot="1" x14ac:dyDescent="0.3">
      <c r="A146" s="31"/>
      <c r="B146" s="4"/>
      <c r="C146" s="5"/>
      <c r="D146" s="7"/>
      <c r="E146" s="3"/>
      <c r="F146" s="3"/>
      <c r="G146" s="77"/>
      <c r="H146" s="5"/>
      <c r="I146" s="78"/>
      <c r="J146" s="9"/>
      <c r="K146" s="4"/>
      <c r="L146" s="5"/>
      <c r="M146" s="80"/>
      <c r="N146" s="78"/>
      <c r="O146" s="111"/>
      <c r="P146" s="125"/>
      <c r="Q146" s="49"/>
      <c r="R146" s="173"/>
      <c r="S146" s="228"/>
      <c r="T146" s="49"/>
      <c r="U146" s="138"/>
    </row>
    <row r="147" spans="1:21" ht="15.75" thickBot="1" x14ac:dyDescent="0.3">
      <c r="A147" s="31"/>
      <c r="B147" s="118" t="s">
        <v>1072</v>
      </c>
      <c r="C147" s="5"/>
      <c r="D147" s="7"/>
      <c r="E147" s="3"/>
      <c r="F147" s="3"/>
      <c r="G147" s="77"/>
      <c r="H147" s="5"/>
      <c r="I147" s="78"/>
      <c r="J147" s="9"/>
      <c r="K147" s="4"/>
      <c r="L147" s="5"/>
      <c r="M147" s="80"/>
      <c r="N147" s="78"/>
      <c r="O147" s="111"/>
      <c r="P147" s="125"/>
      <c r="Q147" s="49"/>
      <c r="R147" s="173"/>
      <c r="S147" s="228"/>
      <c r="T147" s="49"/>
      <c r="U147" s="138"/>
    </row>
    <row r="148" spans="1:21" x14ac:dyDescent="0.25">
      <c r="A148" s="31"/>
      <c r="B148" s="4"/>
      <c r="C148" s="5"/>
      <c r="D148" s="7"/>
      <c r="E148" s="3"/>
      <c r="F148" s="3"/>
      <c r="G148" s="77"/>
      <c r="H148" s="5"/>
      <c r="I148" s="78"/>
      <c r="J148" s="9"/>
      <c r="K148" s="4"/>
      <c r="L148" s="5"/>
      <c r="M148" s="80"/>
      <c r="N148" s="78"/>
      <c r="O148" s="111"/>
      <c r="P148" s="125"/>
      <c r="Q148" s="49"/>
      <c r="R148" s="173"/>
      <c r="S148" s="228"/>
      <c r="T148" s="49"/>
      <c r="U148" s="138"/>
    </row>
    <row r="149" spans="1:21" x14ac:dyDescent="0.25">
      <c r="A149" s="31">
        <v>1</v>
      </c>
      <c r="B149" s="4" t="s">
        <v>1073</v>
      </c>
      <c r="C149" s="5">
        <v>1</v>
      </c>
      <c r="D149" s="7">
        <v>0</v>
      </c>
      <c r="E149" s="3">
        <f t="shared" ref="E149:E161" si="64">C149+(C149*D149)</f>
        <v>1</v>
      </c>
      <c r="F149" s="3" t="s">
        <v>867</v>
      </c>
      <c r="G149" s="77">
        <v>311</v>
      </c>
      <c r="H149" s="5" t="s">
        <v>1</v>
      </c>
      <c r="I149" s="78">
        <f t="shared" ref="I149:I161" si="65">G149*E149</f>
        <v>311</v>
      </c>
      <c r="J149" s="110">
        <f t="shared" ref="J149:J161" si="66">$O$4</f>
        <v>75</v>
      </c>
      <c r="K149" s="4">
        <v>0.6</v>
      </c>
      <c r="L149" s="5" t="s">
        <v>1</v>
      </c>
      <c r="M149" s="80">
        <f t="shared" ref="M149:M161" si="67">K149*E149</f>
        <v>0.6</v>
      </c>
      <c r="N149" s="78">
        <f t="shared" ref="N149:N161" si="68">M149*J149</f>
        <v>45</v>
      </c>
      <c r="O149" s="111">
        <f t="shared" ref="O149:O161" si="69">N149+I149</f>
        <v>356</v>
      </c>
      <c r="P149" s="125">
        <v>0.75</v>
      </c>
      <c r="Q149" s="49">
        <v>0.9</v>
      </c>
      <c r="R149" s="173">
        <v>0.48</v>
      </c>
      <c r="S149" s="228">
        <v>0.6</v>
      </c>
      <c r="T149" s="49">
        <v>0.72</v>
      </c>
      <c r="U149" s="138"/>
    </row>
    <row r="150" spans="1:21" x14ac:dyDescent="0.25">
      <c r="A150" s="31">
        <v>2</v>
      </c>
      <c r="B150" s="4" t="s">
        <v>1074</v>
      </c>
      <c r="C150" s="5">
        <v>1</v>
      </c>
      <c r="D150" s="7">
        <v>0</v>
      </c>
      <c r="E150" s="3">
        <f t="shared" si="64"/>
        <v>1</v>
      </c>
      <c r="F150" s="3" t="s">
        <v>867</v>
      </c>
      <c r="G150" s="77">
        <v>311</v>
      </c>
      <c r="H150" s="5" t="s">
        <v>1</v>
      </c>
      <c r="I150" s="78">
        <f t="shared" si="65"/>
        <v>311</v>
      </c>
      <c r="J150" s="110">
        <f t="shared" si="66"/>
        <v>75</v>
      </c>
      <c r="K150" s="4">
        <v>0.6</v>
      </c>
      <c r="L150" s="5" t="s">
        <v>1</v>
      </c>
      <c r="M150" s="80">
        <f t="shared" si="67"/>
        <v>0.6</v>
      </c>
      <c r="N150" s="78">
        <f t="shared" si="68"/>
        <v>45</v>
      </c>
      <c r="O150" s="111">
        <f t="shared" si="69"/>
        <v>356</v>
      </c>
      <c r="P150" s="125">
        <v>0.75</v>
      </c>
      <c r="Q150" s="49">
        <v>0.9</v>
      </c>
      <c r="R150" s="173">
        <v>0.52</v>
      </c>
      <c r="S150" s="228">
        <v>0.65</v>
      </c>
      <c r="T150" s="49">
        <v>0.78</v>
      </c>
      <c r="U150" s="138"/>
    </row>
    <row r="151" spans="1:21" x14ac:dyDescent="0.25">
      <c r="A151" s="31">
        <v>3</v>
      </c>
      <c r="B151" s="4" t="s">
        <v>1075</v>
      </c>
      <c r="C151" s="5">
        <v>1</v>
      </c>
      <c r="D151" s="7">
        <v>0</v>
      </c>
      <c r="E151" s="3">
        <f t="shared" si="64"/>
        <v>1</v>
      </c>
      <c r="F151" s="3" t="s">
        <v>867</v>
      </c>
      <c r="G151" s="77">
        <v>311</v>
      </c>
      <c r="H151" s="5" t="s">
        <v>1</v>
      </c>
      <c r="I151" s="78">
        <f t="shared" si="65"/>
        <v>311</v>
      </c>
      <c r="J151" s="110">
        <f t="shared" si="66"/>
        <v>75</v>
      </c>
      <c r="K151" s="4">
        <v>0.6</v>
      </c>
      <c r="L151" s="5" t="s">
        <v>1</v>
      </c>
      <c r="M151" s="80">
        <f t="shared" si="67"/>
        <v>0.6</v>
      </c>
      <c r="N151" s="78">
        <f t="shared" si="68"/>
        <v>45</v>
      </c>
      <c r="O151" s="111">
        <f t="shared" si="69"/>
        <v>356</v>
      </c>
      <c r="P151" s="125">
        <v>0.75</v>
      </c>
      <c r="Q151" s="49">
        <v>0.9</v>
      </c>
      <c r="R151" s="173">
        <v>0.57999999999999996</v>
      </c>
      <c r="S151" s="228">
        <v>0.73</v>
      </c>
      <c r="T151" s="49">
        <v>0.87</v>
      </c>
      <c r="U151" s="138"/>
    </row>
    <row r="152" spans="1:21" x14ac:dyDescent="0.25">
      <c r="A152" s="31">
        <v>4</v>
      </c>
      <c r="B152" s="4" t="s">
        <v>1076</v>
      </c>
      <c r="C152" s="5">
        <v>1</v>
      </c>
      <c r="D152" s="7">
        <v>0</v>
      </c>
      <c r="E152" s="3">
        <f t="shared" si="64"/>
        <v>1</v>
      </c>
      <c r="F152" s="3" t="s">
        <v>867</v>
      </c>
      <c r="G152" s="77">
        <v>311</v>
      </c>
      <c r="H152" s="5" t="s">
        <v>1</v>
      </c>
      <c r="I152" s="78">
        <f t="shared" si="65"/>
        <v>311</v>
      </c>
      <c r="J152" s="110">
        <f t="shared" si="66"/>
        <v>75</v>
      </c>
      <c r="K152" s="4">
        <v>0.6</v>
      </c>
      <c r="L152" s="5" t="s">
        <v>1</v>
      </c>
      <c r="M152" s="80">
        <f t="shared" si="67"/>
        <v>0.6</v>
      </c>
      <c r="N152" s="78">
        <f t="shared" si="68"/>
        <v>45</v>
      </c>
      <c r="O152" s="111">
        <f t="shared" si="69"/>
        <v>356</v>
      </c>
      <c r="P152" s="125">
        <v>0.75</v>
      </c>
      <c r="Q152" s="49">
        <v>0.9</v>
      </c>
      <c r="R152" s="173">
        <v>0.64</v>
      </c>
      <c r="S152" s="228">
        <v>0.8</v>
      </c>
      <c r="T152" s="49">
        <v>0.96</v>
      </c>
      <c r="U152" s="138"/>
    </row>
    <row r="153" spans="1:21" x14ac:dyDescent="0.25">
      <c r="A153" s="31">
        <v>5</v>
      </c>
      <c r="B153" s="4" t="s">
        <v>1077</v>
      </c>
      <c r="C153" s="5">
        <v>1</v>
      </c>
      <c r="D153" s="7">
        <v>0</v>
      </c>
      <c r="E153" s="3">
        <f t="shared" si="64"/>
        <v>1</v>
      </c>
      <c r="F153" s="3" t="s">
        <v>867</v>
      </c>
      <c r="G153" s="77">
        <v>331</v>
      </c>
      <c r="H153" s="5" t="s">
        <v>1</v>
      </c>
      <c r="I153" s="78">
        <f t="shared" si="65"/>
        <v>331</v>
      </c>
      <c r="J153" s="110">
        <f t="shared" si="66"/>
        <v>75</v>
      </c>
      <c r="K153" s="4">
        <v>0.6</v>
      </c>
      <c r="L153" s="5" t="s">
        <v>1</v>
      </c>
      <c r="M153" s="80">
        <f t="shared" si="67"/>
        <v>0.6</v>
      </c>
      <c r="N153" s="78">
        <f t="shared" si="68"/>
        <v>45</v>
      </c>
      <c r="O153" s="111">
        <f t="shared" si="69"/>
        <v>376</v>
      </c>
      <c r="P153" s="125">
        <v>0.75</v>
      </c>
      <c r="Q153" s="49">
        <v>0.9</v>
      </c>
      <c r="R153" s="173">
        <v>0.64</v>
      </c>
      <c r="S153" s="228">
        <v>0.8</v>
      </c>
      <c r="T153" s="49">
        <v>0.96</v>
      </c>
      <c r="U153" s="138"/>
    </row>
    <row r="154" spans="1:21" x14ac:dyDescent="0.25">
      <c r="A154" s="31">
        <v>6</v>
      </c>
      <c r="B154" s="4" t="s">
        <v>1078</v>
      </c>
      <c r="C154" s="5">
        <v>1</v>
      </c>
      <c r="D154" s="7">
        <v>0</v>
      </c>
      <c r="E154" s="3">
        <f t="shared" si="64"/>
        <v>1</v>
      </c>
      <c r="F154" s="3" t="s">
        <v>867</v>
      </c>
      <c r="G154" s="77">
        <v>332</v>
      </c>
      <c r="H154" s="5" t="s">
        <v>1</v>
      </c>
      <c r="I154" s="78">
        <f t="shared" si="65"/>
        <v>332</v>
      </c>
      <c r="J154" s="110">
        <f t="shared" si="66"/>
        <v>75</v>
      </c>
      <c r="K154" s="4">
        <v>0.6</v>
      </c>
      <c r="L154" s="5" t="s">
        <v>1</v>
      </c>
      <c r="M154" s="80">
        <f t="shared" si="67"/>
        <v>0.6</v>
      </c>
      <c r="N154" s="78">
        <f t="shared" si="68"/>
        <v>45</v>
      </c>
      <c r="O154" s="111">
        <f t="shared" si="69"/>
        <v>377</v>
      </c>
      <c r="P154" s="125">
        <v>0.75</v>
      </c>
      <c r="Q154" s="49">
        <v>0.9</v>
      </c>
      <c r="R154" s="173">
        <v>0.72</v>
      </c>
      <c r="S154" s="228">
        <v>0.9</v>
      </c>
      <c r="T154" s="49">
        <v>1.08</v>
      </c>
      <c r="U154" s="138"/>
    </row>
    <row r="155" spans="1:21" x14ac:dyDescent="0.25">
      <c r="A155" s="31">
        <v>7</v>
      </c>
      <c r="B155" s="4" t="s">
        <v>1079</v>
      </c>
      <c r="C155" s="5">
        <v>1</v>
      </c>
      <c r="D155" s="7">
        <v>0</v>
      </c>
      <c r="E155" s="3">
        <f t="shared" si="64"/>
        <v>1</v>
      </c>
      <c r="F155" s="3" t="s">
        <v>867</v>
      </c>
      <c r="G155" s="77">
        <v>386</v>
      </c>
      <c r="H155" s="5" t="s">
        <v>1</v>
      </c>
      <c r="I155" s="78">
        <f t="shared" si="65"/>
        <v>386</v>
      </c>
      <c r="J155" s="110">
        <f t="shared" si="66"/>
        <v>75</v>
      </c>
      <c r="K155" s="4">
        <v>0.6</v>
      </c>
      <c r="L155" s="5" t="s">
        <v>1</v>
      </c>
      <c r="M155" s="80">
        <f t="shared" si="67"/>
        <v>0.6</v>
      </c>
      <c r="N155" s="78">
        <f t="shared" si="68"/>
        <v>45</v>
      </c>
      <c r="O155" s="111">
        <f t="shared" si="69"/>
        <v>431</v>
      </c>
      <c r="P155" s="125">
        <v>0.75</v>
      </c>
      <c r="Q155" s="49">
        <v>0.9</v>
      </c>
      <c r="R155" s="173">
        <v>0.81</v>
      </c>
      <c r="S155" s="228">
        <v>1.01</v>
      </c>
      <c r="T155" s="49">
        <v>1.22</v>
      </c>
      <c r="U155" s="138"/>
    </row>
    <row r="156" spans="1:21" x14ac:dyDescent="0.25">
      <c r="A156" s="31">
        <v>8</v>
      </c>
      <c r="B156" s="4" t="s">
        <v>1080</v>
      </c>
      <c r="C156" s="5">
        <v>1</v>
      </c>
      <c r="D156" s="7">
        <v>0</v>
      </c>
      <c r="E156" s="3">
        <f t="shared" si="64"/>
        <v>1</v>
      </c>
      <c r="F156" s="3" t="s">
        <v>867</v>
      </c>
      <c r="G156" s="77">
        <v>405</v>
      </c>
      <c r="H156" s="5" t="s">
        <v>1</v>
      </c>
      <c r="I156" s="78">
        <f t="shared" si="65"/>
        <v>405</v>
      </c>
      <c r="J156" s="110">
        <f t="shared" si="66"/>
        <v>75</v>
      </c>
      <c r="K156" s="4">
        <v>0.6</v>
      </c>
      <c r="L156" s="5" t="s">
        <v>1</v>
      </c>
      <c r="M156" s="80">
        <f t="shared" si="67"/>
        <v>0.6</v>
      </c>
      <c r="N156" s="78">
        <f t="shared" si="68"/>
        <v>45</v>
      </c>
      <c r="O156" s="111">
        <f t="shared" si="69"/>
        <v>450</v>
      </c>
      <c r="P156" s="125">
        <v>0.75</v>
      </c>
      <c r="Q156" s="49">
        <v>0.9</v>
      </c>
      <c r="R156" s="173">
        <v>0.88</v>
      </c>
      <c r="S156" s="228">
        <v>1.1000000000000001</v>
      </c>
      <c r="T156" s="49">
        <v>1.32</v>
      </c>
      <c r="U156" s="138"/>
    </row>
    <row r="157" spans="1:21" x14ac:dyDescent="0.25">
      <c r="A157" s="31">
        <v>9</v>
      </c>
      <c r="B157" s="4" t="s">
        <v>1081</v>
      </c>
      <c r="C157" s="5">
        <v>1</v>
      </c>
      <c r="D157" s="7">
        <v>0</v>
      </c>
      <c r="E157" s="3">
        <f t="shared" si="64"/>
        <v>1</v>
      </c>
      <c r="F157" s="3" t="s">
        <v>867</v>
      </c>
      <c r="G157" s="77">
        <v>430</v>
      </c>
      <c r="H157" s="5" t="s">
        <v>1</v>
      </c>
      <c r="I157" s="78">
        <f t="shared" si="65"/>
        <v>430</v>
      </c>
      <c r="J157" s="110">
        <f t="shared" si="66"/>
        <v>75</v>
      </c>
      <c r="K157" s="4">
        <v>0.6</v>
      </c>
      <c r="L157" s="5" t="s">
        <v>1</v>
      </c>
      <c r="M157" s="80">
        <f t="shared" si="67"/>
        <v>0.6</v>
      </c>
      <c r="N157" s="78">
        <f t="shared" si="68"/>
        <v>45</v>
      </c>
      <c r="O157" s="111">
        <f t="shared" si="69"/>
        <v>475</v>
      </c>
      <c r="P157" s="125">
        <v>0.75</v>
      </c>
      <c r="Q157" s="49">
        <v>0.9</v>
      </c>
      <c r="R157" s="173">
        <v>0.94</v>
      </c>
      <c r="S157" s="228">
        <v>1.18</v>
      </c>
      <c r="T157" s="49">
        <v>1.41</v>
      </c>
      <c r="U157" s="138"/>
    </row>
    <row r="158" spans="1:21" x14ac:dyDescent="0.25">
      <c r="A158" s="31">
        <v>10</v>
      </c>
      <c r="B158" s="4" t="s">
        <v>1082</v>
      </c>
      <c r="C158" s="5">
        <v>1</v>
      </c>
      <c r="D158" s="7">
        <v>0</v>
      </c>
      <c r="E158" s="3">
        <f t="shared" si="64"/>
        <v>1</v>
      </c>
      <c r="F158" s="3" t="s">
        <v>867</v>
      </c>
      <c r="G158" s="77">
        <v>526</v>
      </c>
      <c r="H158" s="5" t="s">
        <v>1</v>
      </c>
      <c r="I158" s="78">
        <f t="shared" si="65"/>
        <v>526</v>
      </c>
      <c r="J158" s="110">
        <f t="shared" si="66"/>
        <v>75</v>
      </c>
      <c r="K158" s="4">
        <v>1</v>
      </c>
      <c r="L158" s="5" t="s">
        <v>1</v>
      </c>
      <c r="M158" s="80">
        <f t="shared" si="67"/>
        <v>1</v>
      </c>
      <c r="N158" s="78">
        <f t="shared" si="68"/>
        <v>75</v>
      </c>
      <c r="O158" s="111">
        <f t="shared" si="69"/>
        <v>601</v>
      </c>
      <c r="P158" s="125">
        <v>1.25</v>
      </c>
      <c r="Q158" s="49">
        <v>1.5</v>
      </c>
      <c r="R158" s="173">
        <v>1.05</v>
      </c>
      <c r="S158" s="228">
        <v>1.31</v>
      </c>
      <c r="T158" s="49">
        <v>1.58</v>
      </c>
      <c r="U158" s="138"/>
    </row>
    <row r="159" spans="1:21" x14ac:dyDescent="0.25">
      <c r="A159" s="31">
        <v>11</v>
      </c>
      <c r="B159" s="4" t="s">
        <v>1083</v>
      </c>
      <c r="C159" s="5">
        <v>1</v>
      </c>
      <c r="D159" s="7">
        <v>0</v>
      </c>
      <c r="E159" s="3">
        <f t="shared" si="64"/>
        <v>1</v>
      </c>
      <c r="F159" s="3" t="s">
        <v>867</v>
      </c>
      <c r="G159" s="77">
        <v>571</v>
      </c>
      <c r="H159" s="5" t="s">
        <v>1</v>
      </c>
      <c r="I159" s="78">
        <f t="shared" si="65"/>
        <v>571</v>
      </c>
      <c r="J159" s="110">
        <f t="shared" si="66"/>
        <v>75</v>
      </c>
      <c r="K159" s="4">
        <v>1</v>
      </c>
      <c r="L159" s="5" t="s">
        <v>1</v>
      </c>
      <c r="M159" s="80">
        <f t="shared" si="67"/>
        <v>1</v>
      </c>
      <c r="N159" s="78">
        <f t="shared" si="68"/>
        <v>75</v>
      </c>
      <c r="O159" s="111">
        <f t="shared" si="69"/>
        <v>646</v>
      </c>
      <c r="P159" s="125">
        <v>1.25</v>
      </c>
      <c r="Q159" s="49">
        <v>1.5</v>
      </c>
      <c r="R159" s="173">
        <v>1.2</v>
      </c>
      <c r="S159" s="228">
        <v>1.5</v>
      </c>
      <c r="T159" s="49">
        <v>1.8</v>
      </c>
      <c r="U159" s="138"/>
    </row>
    <row r="160" spans="1:21" x14ac:dyDescent="0.25">
      <c r="A160" s="31">
        <v>12</v>
      </c>
      <c r="B160" s="4" t="s">
        <v>1084</v>
      </c>
      <c r="C160" s="5">
        <v>1</v>
      </c>
      <c r="D160" s="7">
        <v>0</v>
      </c>
      <c r="E160" s="3">
        <f t="shared" si="64"/>
        <v>1</v>
      </c>
      <c r="F160" s="3" t="s">
        <v>867</v>
      </c>
      <c r="G160" s="77">
        <v>595</v>
      </c>
      <c r="H160" s="5" t="s">
        <v>1</v>
      </c>
      <c r="I160" s="78">
        <f t="shared" si="65"/>
        <v>595</v>
      </c>
      <c r="J160" s="110">
        <f t="shared" si="66"/>
        <v>75</v>
      </c>
      <c r="K160" s="4">
        <v>1</v>
      </c>
      <c r="L160" s="5" t="s">
        <v>1</v>
      </c>
      <c r="M160" s="80">
        <f t="shared" si="67"/>
        <v>1</v>
      </c>
      <c r="N160" s="78">
        <f t="shared" si="68"/>
        <v>75</v>
      </c>
      <c r="O160" s="111">
        <f t="shared" si="69"/>
        <v>670</v>
      </c>
      <c r="P160" s="125">
        <v>1.25</v>
      </c>
      <c r="Q160" s="49">
        <v>1.5</v>
      </c>
      <c r="R160" s="173">
        <v>1.35</v>
      </c>
      <c r="S160" s="228">
        <v>1.69</v>
      </c>
      <c r="T160" s="49">
        <v>2.0299999999999998</v>
      </c>
      <c r="U160" s="138"/>
    </row>
    <row r="161" spans="1:21" x14ac:dyDescent="0.25">
      <c r="A161" s="31">
        <v>13</v>
      </c>
      <c r="B161" s="4" t="s">
        <v>1085</v>
      </c>
      <c r="C161" s="5">
        <v>1</v>
      </c>
      <c r="D161" s="7">
        <v>0</v>
      </c>
      <c r="E161" s="3">
        <f t="shared" si="64"/>
        <v>1</v>
      </c>
      <c r="F161" s="3" t="s">
        <v>867</v>
      </c>
      <c r="G161" s="77">
        <v>611</v>
      </c>
      <c r="H161" s="5" t="s">
        <v>1</v>
      </c>
      <c r="I161" s="78">
        <f t="shared" si="65"/>
        <v>611</v>
      </c>
      <c r="J161" s="110">
        <f t="shared" si="66"/>
        <v>75</v>
      </c>
      <c r="K161" s="4">
        <v>1</v>
      </c>
      <c r="L161" s="5" t="s">
        <v>1</v>
      </c>
      <c r="M161" s="80">
        <f t="shared" si="67"/>
        <v>1</v>
      </c>
      <c r="N161" s="78">
        <f t="shared" si="68"/>
        <v>75</v>
      </c>
      <c r="O161" s="111">
        <f t="shared" si="69"/>
        <v>686</v>
      </c>
      <c r="P161" s="125">
        <v>1.25</v>
      </c>
      <c r="Q161" s="49">
        <v>1.5</v>
      </c>
      <c r="R161" s="173">
        <v>1.5</v>
      </c>
      <c r="S161" s="228">
        <v>1.88</v>
      </c>
      <c r="T161" s="49">
        <v>2.25</v>
      </c>
      <c r="U161" s="138"/>
    </row>
    <row r="162" spans="1:21" ht="15.75" thickBot="1" x14ac:dyDescent="0.3">
      <c r="A162" s="31"/>
      <c r="B162" s="4"/>
      <c r="C162" s="5"/>
      <c r="D162" s="7"/>
      <c r="E162" s="3"/>
      <c r="F162" s="3"/>
      <c r="G162" s="77"/>
      <c r="H162" s="5"/>
      <c r="I162" s="78"/>
      <c r="J162" s="9"/>
      <c r="K162" s="4"/>
      <c r="L162" s="5"/>
      <c r="M162" s="80"/>
      <c r="N162" s="78"/>
      <c r="O162" s="111"/>
      <c r="P162" s="125"/>
      <c r="Q162" s="49"/>
      <c r="R162" s="173"/>
      <c r="S162" s="228"/>
      <c r="T162" s="49"/>
      <c r="U162" s="138"/>
    </row>
    <row r="163" spans="1:21" ht="15.75" thickBot="1" x14ac:dyDescent="0.3">
      <c r="A163" s="31"/>
      <c r="B163" s="118" t="s">
        <v>1033</v>
      </c>
      <c r="C163" s="5"/>
      <c r="D163" s="7"/>
      <c r="E163" s="3"/>
      <c r="F163" s="3"/>
      <c r="G163" s="77"/>
      <c r="H163" s="5"/>
      <c r="I163" s="78"/>
      <c r="J163" s="9"/>
      <c r="K163" s="4"/>
      <c r="L163" s="5"/>
      <c r="M163" s="80"/>
      <c r="N163" s="78"/>
      <c r="O163" s="111"/>
      <c r="P163" s="125"/>
      <c r="Q163" s="49"/>
      <c r="R163" s="173"/>
      <c r="S163" s="228"/>
      <c r="T163" s="49"/>
      <c r="U163" s="138"/>
    </row>
    <row r="164" spans="1:21" x14ac:dyDescent="0.25">
      <c r="A164" s="31"/>
      <c r="B164" s="4"/>
      <c r="C164" s="5"/>
      <c r="D164" s="7"/>
      <c r="E164" s="3"/>
      <c r="F164" s="3"/>
      <c r="G164" s="77"/>
      <c r="H164" s="5"/>
      <c r="I164" s="78"/>
      <c r="J164" s="9"/>
      <c r="K164" s="4"/>
      <c r="L164" s="5"/>
      <c r="M164" s="80"/>
      <c r="N164" s="78"/>
      <c r="O164" s="111"/>
      <c r="P164" s="125"/>
      <c r="Q164" s="49"/>
      <c r="R164" s="173"/>
      <c r="S164" s="228"/>
      <c r="T164" s="49"/>
      <c r="U164" s="138"/>
    </row>
    <row r="165" spans="1:21" x14ac:dyDescent="0.25">
      <c r="A165" s="31">
        <v>1</v>
      </c>
      <c r="B165" s="4" t="s">
        <v>1034</v>
      </c>
      <c r="C165" s="5">
        <v>1</v>
      </c>
      <c r="D165" s="7">
        <v>0</v>
      </c>
      <c r="E165" s="3">
        <f t="shared" ref="E165:E178" si="70">C165+(C165*D165)</f>
        <v>1</v>
      </c>
      <c r="F165" s="3" t="s">
        <v>867</v>
      </c>
      <c r="G165" s="77">
        <v>270</v>
      </c>
      <c r="H165" s="5" t="s">
        <v>1</v>
      </c>
      <c r="I165" s="78">
        <f t="shared" ref="I165:I178" si="71">G165*E165</f>
        <v>270</v>
      </c>
      <c r="J165" s="110">
        <f t="shared" ref="J165:J178" si="72">$O$4</f>
        <v>75</v>
      </c>
      <c r="K165" s="4">
        <v>0.75</v>
      </c>
      <c r="L165" s="5" t="s">
        <v>1</v>
      </c>
      <c r="M165" s="80">
        <f t="shared" ref="M165:M178" si="73">K165*E165</f>
        <v>0.75</v>
      </c>
      <c r="N165" s="78">
        <f t="shared" ref="N165:N178" si="74">M165*J165</f>
        <v>56.25</v>
      </c>
      <c r="O165" s="111">
        <f t="shared" ref="O165:O178" si="75">N165+I165</f>
        <v>326.25</v>
      </c>
      <c r="P165" s="125">
        <v>0.94</v>
      </c>
      <c r="Q165" s="49">
        <v>1.1299999999999999</v>
      </c>
      <c r="R165" s="173">
        <v>0.66</v>
      </c>
      <c r="S165" s="228">
        <v>0.83</v>
      </c>
      <c r="T165" s="49">
        <v>0.99</v>
      </c>
      <c r="U165" s="138"/>
    </row>
    <row r="166" spans="1:21" x14ac:dyDescent="0.25">
      <c r="A166" s="31">
        <v>2</v>
      </c>
      <c r="B166" s="4" t="s">
        <v>1035</v>
      </c>
      <c r="C166" s="5">
        <v>1</v>
      </c>
      <c r="D166" s="7">
        <v>0</v>
      </c>
      <c r="E166" s="3">
        <f t="shared" si="70"/>
        <v>1</v>
      </c>
      <c r="F166" s="3" t="s">
        <v>867</v>
      </c>
      <c r="G166" s="77">
        <v>270</v>
      </c>
      <c r="H166" s="5" t="s">
        <v>1</v>
      </c>
      <c r="I166" s="78">
        <f t="shared" si="71"/>
        <v>270</v>
      </c>
      <c r="J166" s="110">
        <f t="shared" si="72"/>
        <v>75</v>
      </c>
      <c r="K166" s="4">
        <v>0.75</v>
      </c>
      <c r="L166" s="5" t="s">
        <v>1</v>
      </c>
      <c r="M166" s="80">
        <f t="shared" si="73"/>
        <v>0.75</v>
      </c>
      <c r="N166" s="78">
        <f t="shared" si="74"/>
        <v>56.25</v>
      </c>
      <c r="O166" s="111">
        <f t="shared" si="75"/>
        <v>326.25</v>
      </c>
      <c r="P166" s="125">
        <v>0.94</v>
      </c>
      <c r="Q166" s="49">
        <v>1.1299999999999999</v>
      </c>
      <c r="R166" s="173">
        <v>0.71</v>
      </c>
      <c r="S166" s="228">
        <v>0.89</v>
      </c>
      <c r="T166" s="49">
        <v>1.07</v>
      </c>
      <c r="U166" s="138"/>
    </row>
    <row r="167" spans="1:21" x14ac:dyDescent="0.25">
      <c r="A167" s="31">
        <v>3</v>
      </c>
      <c r="B167" s="4" t="s">
        <v>1036</v>
      </c>
      <c r="C167" s="5">
        <v>1</v>
      </c>
      <c r="D167" s="7">
        <v>0</v>
      </c>
      <c r="E167" s="3">
        <f t="shared" si="70"/>
        <v>1</v>
      </c>
      <c r="F167" s="3" t="s">
        <v>867</v>
      </c>
      <c r="G167" s="77">
        <v>275</v>
      </c>
      <c r="H167" s="5" t="s">
        <v>1</v>
      </c>
      <c r="I167" s="78">
        <f t="shared" si="71"/>
        <v>275</v>
      </c>
      <c r="J167" s="110">
        <f t="shared" si="72"/>
        <v>75</v>
      </c>
      <c r="K167" s="4">
        <v>0.75</v>
      </c>
      <c r="L167" s="5" t="s">
        <v>1</v>
      </c>
      <c r="M167" s="80">
        <f t="shared" si="73"/>
        <v>0.75</v>
      </c>
      <c r="N167" s="78">
        <f t="shared" si="74"/>
        <v>56.25</v>
      </c>
      <c r="O167" s="111">
        <f t="shared" si="75"/>
        <v>331.25</v>
      </c>
      <c r="P167" s="125">
        <v>0.94</v>
      </c>
      <c r="Q167" s="49">
        <v>1.1299999999999999</v>
      </c>
      <c r="R167" s="173">
        <v>0.78</v>
      </c>
      <c r="S167" s="228">
        <v>0.98</v>
      </c>
      <c r="T167" s="49">
        <v>1.17</v>
      </c>
      <c r="U167" s="138"/>
    </row>
    <row r="168" spans="1:21" x14ac:dyDescent="0.25">
      <c r="A168" s="31">
        <v>4</v>
      </c>
      <c r="B168" s="4" t="s">
        <v>1037</v>
      </c>
      <c r="C168" s="5">
        <v>1</v>
      </c>
      <c r="D168" s="7">
        <v>0</v>
      </c>
      <c r="E168" s="3">
        <f t="shared" si="70"/>
        <v>1</v>
      </c>
      <c r="F168" s="3" t="s">
        <v>867</v>
      </c>
      <c r="G168" s="77">
        <v>275</v>
      </c>
      <c r="H168" s="5" t="s">
        <v>1</v>
      </c>
      <c r="I168" s="78">
        <f t="shared" si="71"/>
        <v>275</v>
      </c>
      <c r="J168" s="110">
        <f t="shared" si="72"/>
        <v>75</v>
      </c>
      <c r="K168" s="4">
        <v>0.75</v>
      </c>
      <c r="L168" s="5" t="s">
        <v>1</v>
      </c>
      <c r="M168" s="80">
        <f t="shared" si="73"/>
        <v>0.75</v>
      </c>
      <c r="N168" s="78">
        <f t="shared" si="74"/>
        <v>56.25</v>
      </c>
      <c r="O168" s="111">
        <f t="shared" si="75"/>
        <v>331.25</v>
      </c>
      <c r="P168" s="125">
        <v>0.94</v>
      </c>
      <c r="Q168" s="49">
        <v>1.1299999999999999</v>
      </c>
      <c r="R168" s="173">
        <v>0.82</v>
      </c>
      <c r="S168" s="228">
        <v>1</v>
      </c>
      <c r="T168" s="49">
        <v>1.22</v>
      </c>
      <c r="U168" s="138"/>
    </row>
    <row r="169" spans="1:21" x14ac:dyDescent="0.25">
      <c r="A169" s="31">
        <v>5</v>
      </c>
      <c r="B169" s="4" t="s">
        <v>1038</v>
      </c>
      <c r="C169" s="5">
        <v>1</v>
      </c>
      <c r="D169" s="7">
        <v>0</v>
      </c>
      <c r="E169" s="3">
        <f t="shared" si="70"/>
        <v>1</v>
      </c>
      <c r="F169" s="3" t="s">
        <v>867</v>
      </c>
      <c r="G169" s="77">
        <v>275</v>
      </c>
      <c r="H169" s="5" t="s">
        <v>1</v>
      </c>
      <c r="I169" s="78">
        <f t="shared" si="71"/>
        <v>275</v>
      </c>
      <c r="J169" s="110">
        <f t="shared" si="72"/>
        <v>75</v>
      </c>
      <c r="K169" s="4">
        <v>0.75</v>
      </c>
      <c r="L169" s="5" t="s">
        <v>1</v>
      </c>
      <c r="M169" s="80">
        <f t="shared" si="73"/>
        <v>0.75</v>
      </c>
      <c r="N169" s="78">
        <f t="shared" si="74"/>
        <v>56.25</v>
      </c>
      <c r="O169" s="111">
        <f t="shared" si="75"/>
        <v>331.25</v>
      </c>
      <c r="P169" s="125">
        <v>0.94</v>
      </c>
      <c r="Q169" s="49">
        <v>1.1299999999999999</v>
      </c>
      <c r="R169" s="173">
        <v>0.85</v>
      </c>
      <c r="S169" s="228">
        <v>1.06</v>
      </c>
      <c r="T169" s="49">
        <v>1.28</v>
      </c>
      <c r="U169" s="138"/>
    </row>
    <row r="170" spans="1:21" x14ac:dyDescent="0.25">
      <c r="A170" s="31">
        <v>6</v>
      </c>
      <c r="B170" s="4" t="s">
        <v>1039</v>
      </c>
      <c r="C170" s="5">
        <v>1</v>
      </c>
      <c r="D170" s="7">
        <v>0</v>
      </c>
      <c r="E170" s="3">
        <f t="shared" si="70"/>
        <v>1</v>
      </c>
      <c r="F170" s="3" t="s">
        <v>867</v>
      </c>
      <c r="G170" s="77">
        <v>305</v>
      </c>
      <c r="H170" s="5" t="s">
        <v>1</v>
      </c>
      <c r="I170" s="78">
        <f t="shared" si="71"/>
        <v>305</v>
      </c>
      <c r="J170" s="110">
        <f t="shared" si="72"/>
        <v>75</v>
      </c>
      <c r="K170" s="4">
        <v>0.75</v>
      </c>
      <c r="L170" s="5" t="s">
        <v>1</v>
      </c>
      <c r="M170" s="80">
        <f t="shared" si="73"/>
        <v>0.75</v>
      </c>
      <c r="N170" s="78">
        <f t="shared" si="74"/>
        <v>56.25</v>
      </c>
      <c r="O170" s="111">
        <f t="shared" si="75"/>
        <v>361.25</v>
      </c>
      <c r="P170" s="125">
        <v>0.94</v>
      </c>
      <c r="Q170" s="49">
        <v>1.1299999999999999</v>
      </c>
      <c r="R170" s="173">
        <v>0.92</v>
      </c>
      <c r="S170" s="228">
        <v>1.1499999999999999</v>
      </c>
      <c r="T170" s="49">
        <v>1.38</v>
      </c>
      <c r="U170" s="138"/>
    </row>
    <row r="171" spans="1:21" x14ac:dyDescent="0.25">
      <c r="A171" s="31">
        <v>7</v>
      </c>
      <c r="B171" s="4" t="s">
        <v>1040</v>
      </c>
      <c r="C171" s="5">
        <v>1</v>
      </c>
      <c r="D171" s="7">
        <v>0</v>
      </c>
      <c r="E171" s="3">
        <f t="shared" si="70"/>
        <v>1</v>
      </c>
      <c r="F171" s="3" t="s">
        <v>867</v>
      </c>
      <c r="G171" s="77">
        <v>345</v>
      </c>
      <c r="H171" s="5" t="s">
        <v>1</v>
      </c>
      <c r="I171" s="78">
        <f t="shared" si="71"/>
        <v>345</v>
      </c>
      <c r="J171" s="110">
        <f t="shared" si="72"/>
        <v>75</v>
      </c>
      <c r="K171" s="4">
        <v>0.75</v>
      </c>
      <c r="L171" s="5" t="s">
        <v>1</v>
      </c>
      <c r="M171" s="80">
        <f t="shared" si="73"/>
        <v>0.75</v>
      </c>
      <c r="N171" s="78">
        <f t="shared" si="74"/>
        <v>56.25</v>
      </c>
      <c r="O171" s="111">
        <f t="shared" si="75"/>
        <v>401.25</v>
      </c>
      <c r="P171" s="125">
        <v>0.94</v>
      </c>
      <c r="Q171" s="49">
        <v>1.1299999999999999</v>
      </c>
      <c r="R171" s="173">
        <v>1.05</v>
      </c>
      <c r="S171" s="228">
        <v>1.31</v>
      </c>
      <c r="T171" s="49">
        <v>1.58</v>
      </c>
      <c r="U171" s="138"/>
    </row>
    <row r="172" spans="1:21" x14ac:dyDescent="0.25">
      <c r="A172" s="31">
        <v>8</v>
      </c>
      <c r="B172" s="4" t="s">
        <v>1041</v>
      </c>
      <c r="C172" s="5">
        <v>1</v>
      </c>
      <c r="D172" s="7">
        <v>0</v>
      </c>
      <c r="E172" s="3">
        <f t="shared" si="70"/>
        <v>1</v>
      </c>
      <c r="F172" s="3" t="s">
        <v>867</v>
      </c>
      <c r="G172" s="77">
        <v>390</v>
      </c>
      <c r="H172" s="5" t="s">
        <v>1</v>
      </c>
      <c r="I172" s="78">
        <f t="shared" si="71"/>
        <v>390</v>
      </c>
      <c r="J172" s="110">
        <f t="shared" si="72"/>
        <v>75</v>
      </c>
      <c r="K172" s="4">
        <v>0.75</v>
      </c>
      <c r="L172" s="5" t="s">
        <v>1</v>
      </c>
      <c r="M172" s="80">
        <f t="shared" si="73"/>
        <v>0.75</v>
      </c>
      <c r="N172" s="78">
        <f t="shared" si="74"/>
        <v>56.25</v>
      </c>
      <c r="O172" s="111">
        <f t="shared" si="75"/>
        <v>446.25</v>
      </c>
      <c r="P172" s="125">
        <v>0.94</v>
      </c>
      <c r="Q172" s="49">
        <v>1.1299999999999999</v>
      </c>
      <c r="R172" s="173">
        <v>1.18</v>
      </c>
      <c r="S172" s="228">
        <v>1.48</v>
      </c>
      <c r="T172" s="49">
        <v>1.77</v>
      </c>
      <c r="U172" s="138"/>
    </row>
    <row r="173" spans="1:21" x14ac:dyDescent="0.25">
      <c r="A173" s="31">
        <v>9</v>
      </c>
      <c r="B173" s="4" t="s">
        <v>1042</v>
      </c>
      <c r="C173" s="5">
        <v>1</v>
      </c>
      <c r="D173" s="7">
        <v>0</v>
      </c>
      <c r="E173" s="3">
        <f t="shared" si="70"/>
        <v>1</v>
      </c>
      <c r="F173" s="3" t="s">
        <v>867</v>
      </c>
      <c r="G173" s="77">
        <v>480</v>
      </c>
      <c r="H173" s="5" t="s">
        <v>1</v>
      </c>
      <c r="I173" s="78">
        <f t="shared" si="71"/>
        <v>480</v>
      </c>
      <c r="J173" s="110">
        <f t="shared" si="72"/>
        <v>75</v>
      </c>
      <c r="K173" s="4">
        <v>0.75</v>
      </c>
      <c r="L173" s="5" t="s">
        <v>1</v>
      </c>
      <c r="M173" s="80">
        <f t="shared" si="73"/>
        <v>0.75</v>
      </c>
      <c r="N173" s="78">
        <f t="shared" si="74"/>
        <v>56.25</v>
      </c>
      <c r="O173" s="111">
        <f t="shared" si="75"/>
        <v>536.25</v>
      </c>
      <c r="P173" s="125">
        <v>0.94</v>
      </c>
      <c r="Q173" s="49">
        <v>1.1299999999999999</v>
      </c>
      <c r="R173" s="173">
        <v>1.28</v>
      </c>
      <c r="S173" s="228">
        <v>1.6</v>
      </c>
      <c r="T173" s="49">
        <v>1.92</v>
      </c>
      <c r="U173" s="138"/>
    </row>
    <row r="174" spans="1:21" x14ac:dyDescent="0.25">
      <c r="A174" s="31">
        <v>10</v>
      </c>
      <c r="B174" s="4" t="s">
        <v>1043</v>
      </c>
      <c r="C174" s="5">
        <v>1</v>
      </c>
      <c r="D174" s="7">
        <v>0</v>
      </c>
      <c r="E174" s="3">
        <f t="shared" si="70"/>
        <v>1</v>
      </c>
      <c r="F174" s="3" t="s">
        <v>867</v>
      </c>
      <c r="G174" s="77">
        <v>530</v>
      </c>
      <c r="H174" s="5" t="s">
        <v>1</v>
      </c>
      <c r="I174" s="78">
        <f t="shared" si="71"/>
        <v>530</v>
      </c>
      <c r="J174" s="110">
        <f t="shared" si="72"/>
        <v>75</v>
      </c>
      <c r="K174" s="4">
        <v>1.2</v>
      </c>
      <c r="L174" s="5" t="s">
        <v>1</v>
      </c>
      <c r="M174" s="80">
        <f t="shared" si="73"/>
        <v>1.2</v>
      </c>
      <c r="N174" s="78">
        <f t="shared" si="74"/>
        <v>90</v>
      </c>
      <c r="O174" s="111">
        <f t="shared" si="75"/>
        <v>620</v>
      </c>
      <c r="P174" s="125">
        <v>1.5</v>
      </c>
      <c r="Q174" s="49">
        <v>1.8</v>
      </c>
      <c r="R174" s="173">
        <v>1.43</v>
      </c>
      <c r="S174" s="228">
        <v>1.79</v>
      </c>
      <c r="T174" s="49">
        <v>2.15</v>
      </c>
      <c r="U174" s="138"/>
    </row>
    <row r="175" spans="1:21" x14ac:dyDescent="0.25">
      <c r="A175" s="31">
        <v>11</v>
      </c>
      <c r="B175" s="4" t="s">
        <v>1044</v>
      </c>
      <c r="C175" s="5">
        <v>1</v>
      </c>
      <c r="D175" s="7">
        <v>0</v>
      </c>
      <c r="E175" s="3">
        <f t="shared" si="70"/>
        <v>1</v>
      </c>
      <c r="F175" s="3" t="s">
        <v>867</v>
      </c>
      <c r="G175" s="77">
        <v>580</v>
      </c>
      <c r="H175" s="5" t="s">
        <v>1</v>
      </c>
      <c r="I175" s="78">
        <f t="shared" si="71"/>
        <v>580</v>
      </c>
      <c r="J175" s="110">
        <f t="shared" si="72"/>
        <v>75</v>
      </c>
      <c r="K175" s="4">
        <v>1.2</v>
      </c>
      <c r="L175" s="5" t="s">
        <v>1</v>
      </c>
      <c r="M175" s="80">
        <f t="shared" si="73"/>
        <v>1.2</v>
      </c>
      <c r="N175" s="78">
        <f t="shared" si="74"/>
        <v>90</v>
      </c>
      <c r="O175" s="111">
        <f t="shared" si="75"/>
        <v>670</v>
      </c>
      <c r="P175" s="125">
        <v>1.5</v>
      </c>
      <c r="Q175" s="49">
        <v>1.8</v>
      </c>
      <c r="R175" s="173">
        <v>1.6</v>
      </c>
      <c r="S175" s="228">
        <v>2</v>
      </c>
      <c r="T175" s="49">
        <v>2.4</v>
      </c>
      <c r="U175" s="138"/>
    </row>
    <row r="176" spans="1:21" x14ac:dyDescent="0.25">
      <c r="A176" s="31">
        <v>12</v>
      </c>
      <c r="B176" s="4" t="s">
        <v>1045</v>
      </c>
      <c r="C176" s="5">
        <v>1</v>
      </c>
      <c r="D176" s="7">
        <v>0</v>
      </c>
      <c r="E176" s="3">
        <f t="shared" si="70"/>
        <v>1</v>
      </c>
      <c r="F176" s="3" t="s">
        <v>867</v>
      </c>
      <c r="G176" s="77">
        <v>612</v>
      </c>
      <c r="H176" s="5" t="s">
        <v>1</v>
      </c>
      <c r="I176" s="78">
        <f t="shared" si="71"/>
        <v>612</v>
      </c>
      <c r="J176" s="110">
        <f t="shared" si="72"/>
        <v>75</v>
      </c>
      <c r="K176" s="4">
        <v>1.2</v>
      </c>
      <c r="L176" s="5" t="s">
        <v>1</v>
      </c>
      <c r="M176" s="80">
        <f t="shared" si="73"/>
        <v>1.2</v>
      </c>
      <c r="N176" s="78">
        <f t="shared" si="74"/>
        <v>90</v>
      </c>
      <c r="O176" s="111">
        <f t="shared" si="75"/>
        <v>702</v>
      </c>
      <c r="P176" s="125">
        <v>1.5</v>
      </c>
      <c r="Q176" s="49">
        <v>1.8</v>
      </c>
      <c r="R176" s="173">
        <v>1.8</v>
      </c>
      <c r="S176" s="228">
        <v>2.25</v>
      </c>
      <c r="T176" s="49">
        <v>2.7</v>
      </c>
      <c r="U176" s="138"/>
    </row>
    <row r="177" spans="1:21" x14ac:dyDescent="0.25">
      <c r="A177" s="31">
        <v>13</v>
      </c>
      <c r="B177" s="4" t="s">
        <v>1046</v>
      </c>
      <c r="C177" s="5">
        <v>1</v>
      </c>
      <c r="D177" s="7">
        <v>0</v>
      </c>
      <c r="E177" s="3">
        <f t="shared" si="70"/>
        <v>1</v>
      </c>
      <c r="F177" s="3" t="s">
        <v>867</v>
      </c>
      <c r="G177" s="77">
        <v>648</v>
      </c>
      <c r="H177" s="5" t="s">
        <v>1</v>
      </c>
      <c r="I177" s="78">
        <f t="shared" si="71"/>
        <v>648</v>
      </c>
      <c r="J177" s="110">
        <f t="shared" si="72"/>
        <v>75</v>
      </c>
      <c r="K177" s="4">
        <v>1.2</v>
      </c>
      <c r="L177" s="5" t="s">
        <v>1</v>
      </c>
      <c r="M177" s="80">
        <f t="shared" si="73"/>
        <v>1.2</v>
      </c>
      <c r="N177" s="78">
        <f t="shared" si="74"/>
        <v>90</v>
      </c>
      <c r="O177" s="111">
        <f t="shared" si="75"/>
        <v>738</v>
      </c>
      <c r="P177" s="125">
        <v>1.5</v>
      </c>
      <c r="Q177" s="49">
        <v>1.8</v>
      </c>
      <c r="R177" s="173">
        <v>2</v>
      </c>
      <c r="S177" s="228">
        <v>2.5</v>
      </c>
      <c r="T177" s="49">
        <v>3</v>
      </c>
      <c r="U177" s="138"/>
    </row>
    <row r="178" spans="1:21" x14ac:dyDescent="0.25">
      <c r="A178" s="31">
        <v>14</v>
      </c>
      <c r="B178" s="4" t="s">
        <v>1143</v>
      </c>
      <c r="C178" s="5">
        <v>1</v>
      </c>
      <c r="D178" s="7">
        <v>0</v>
      </c>
      <c r="E178" s="3">
        <f t="shared" si="70"/>
        <v>1</v>
      </c>
      <c r="F178" s="3" t="s">
        <v>867</v>
      </c>
      <c r="G178" s="77">
        <v>660</v>
      </c>
      <c r="H178" s="5" t="s">
        <v>1</v>
      </c>
      <c r="I178" s="78">
        <f t="shared" si="71"/>
        <v>660</v>
      </c>
      <c r="J178" s="110">
        <f t="shared" si="72"/>
        <v>75</v>
      </c>
      <c r="K178" s="4">
        <v>1.8</v>
      </c>
      <c r="L178" s="5" t="s">
        <v>1</v>
      </c>
      <c r="M178" s="80">
        <f t="shared" si="73"/>
        <v>1.8</v>
      </c>
      <c r="N178" s="78">
        <f t="shared" si="74"/>
        <v>135</v>
      </c>
      <c r="O178" s="111">
        <f t="shared" si="75"/>
        <v>795</v>
      </c>
      <c r="P178" s="125">
        <v>2.25</v>
      </c>
      <c r="Q178" s="49">
        <v>2.7</v>
      </c>
      <c r="R178" s="173">
        <v>2.25</v>
      </c>
      <c r="S178" s="228">
        <v>2.81</v>
      </c>
      <c r="T178" s="49">
        <v>3.38</v>
      </c>
      <c r="U178" s="138"/>
    </row>
    <row r="179" spans="1:21" ht="15.75" thickBot="1" x14ac:dyDescent="0.3">
      <c r="A179" s="31"/>
      <c r="B179" s="4"/>
      <c r="C179" s="5"/>
      <c r="D179" s="7"/>
      <c r="E179" s="3"/>
      <c r="F179" s="3"/>
      <c r="G179" s="77"/>
      <c r="H179" s="5"/>
      <c r="I179" s="78"/>
      <c r="J179" s="9"/>
      <c r="K179" s="4"/>
      <c r="L179" s="5"/>
      <c r="M179" s="80"/>
      <c r="N179" s="78"/>
      <c r="O179" s="111"/>
      <c r="P179" s="125"/>
      <c r="Q179" s="49"/>
      <c r="R179" s="173"/>
      <c r="S179" s="228"/>
      <c r="T179" s="49"/>
      <c r="U179" s="138"/>
    </row>
    <row r="180" spans="1:21" ht="15.75" thickBot="1" x14ac:dyDescent="0.3">
      <c r="A180" s="32"/>
      <c r="B180" s="118" t="s">
        <v>964</v>
      </c>
      <c r="C180" s="5"/>
      <c r="D180" s="5"/>
      <c r="E180" s="5"/>
      <c r="F180" s="5"/>
      <c r="G180" s="9"/>
      <c r="H180" s="5"/>
      <c r="I180" s="78"/>
      <c r="J180" s="4"/>
      <c r="K180" s="4"/>
      <c r="L180" s="5"/>
      <c r="M180" s="80"/>
      <c r="N180" s="78"/>
      <c r="O180" s="111"/>
      <c r="P180" s="125"/>
      <c r="Q180" s="49"/>
      <c r="R180" s="173"/>
      <c r="S180" s="228"/>
      <c r="T180" s="49"/>
      <c r="U180" s="138"/>
    </row>
    <row r="181" spans="1:21" ht="15.75" thickBot="1" x14ac:dyDescent="0.3">
      <c r="A181" s="31"/>
      <c r="B181" s="4"/>
      <c r="C181" s="5"/>
      <c r="D181" s="5"/>
      <c r="E181" s="5"/>
      <c r="F181" s="5"/>
      <c r="G181" s="77"/>
      <c r="H181" s="5"/>
      <c r="I181" s="78"/>
      <c r="J181" s="4"/>
      <c r="K181" s="4"/>
      <c r="L181" s="5"/>
      <c r="M181" s="80"/>
      <c r="N181" s="78"/>
      <c r="O181" s="111"/>
      <c r="P181" s="125"/>
      <c r="Q181" s="49"/>
      <c r="R181" s="173"/>
      <c r="S181" s="228"/>
      <c r="T181" s="49"/>
      <c r="U181" s="138"/>
    </row>
    <row r="182" spans="1:21" ht="15.75" thickBot="1" x14ac:dyDescent="0.3">
      <c r="A182" s="112"/>
      <c r="B182" s="118" t="s">
        <v>965</v>
      </c>
      <c r="C182" s="5"/>
      <c r="D182" s="5"/>
      <c r="E182" s="5"/>
      <c r="F182" s="5"/>
      <c r="G182" s="77"/>
      <c r="H182" s="5"/>
      <c r="I182" s="78"/>
      <c r="J182" s="4"/>
      <c r="K182" s="4"/>
      <c r="L182" s="5"/>
      <c r="M182" s="80"/>
      <c r="N182" s="78"/>
      <c r="O182" s="111"/>
      <c r="P182" s="125"/>
      <c r="Q182" s="49"/>
      <c r="R182" s="173"/>
      <c r="S182" s="228"/>
      <c r="T182" s="49"/>
      <c r="U182" s="138"/>
    </row>
    <row r="183" spans="1:21" x14ac:dyDescent="0.25">
      <c r="A183" s="31"/>
      <c r="B183" s="4"/>
      <c r="C183" s="5"/>
      <c r="D183" s="5"/>
      <c r="E183" s="5"/>
      <c r="F183" s="5"/>
      <c r="G183" s="77"/>
      <c r="H183" s="5"/>
      <c r="I183" s="78"/>
      <c r="J183" s="4"/>
      <c r="K183" s="4"/>
      <c r="L183" s="5"/>
      <c r="M183" s="80"/>
      <c r="N183" s="78"/>
      <c r="O183" s="111"/>
      <c r="P183" s="125"/>
      <c r="Q183" s="49"/>
      <c r="R183" s="173"/>
      <c r="S183" s="228"/>
      <c r="T183" s="49"/>
      <c r="U183" s="138"/>
    </row>
    <row r="184" spans="1:21" x14ac:dyDescent="0.25">
      <c r="A184" s="31">
        <v>1</v>
      </c>
      <c r="B184" s="4" t="s">
        <v>971</v>
      </c>
      <c r="C184" s="5">
        <v>1</v>
      </c>
      <c r="D184" s="7">
        <v>0</v>
      </c>
      <c r="E184" s="3">
        <f t="shared" ref="E184" si="76">C184+(C184*D184)</f>
        <v>1</v>
      </c>
      <c r="F184" s="3" t="s">
        <v>867</v>
      </c>
      <c r="G184" s="77">
        <v>128</v>
      </c>
      <c r="H184" s="5" t="s">
        <v>1</v>
      </c>
      <c r="I184" s="78">
        <f t="shared" ref="I184" si="77">G184*E184</f>
        <v>128</v>
      </c>
      <c r="J184" s="110">
        <f t="shared" ref="J184:J192" si="78">$O$4</f>
        <v>75</v>
      </c>
      <c r="K184" s="4">
        <v>0.45</v>
      </c>
      <c r="L184" s="5" t="s">
        <v>1</v>
      </c>
      <c r="M184" s="80">
        <f t="shared" ref="M184" si="79">K184*E184</f>
        <v>0.45</v>
      </c>
      <c r="N184" s="78">
        <f t="shared" ref="N184" si="80">M184*J184</f>
        <v>33.75</v>
      </c>
      <c r="O184" s="111">
        <f t="shared" ref="O184" si="81">N184+I184</f>
        <v>161.75</v>
      </c>
      <c r="P184" s="125">
        <v>0.56000000000000005</v>
      </c>
      <c r="Q184" s="49">
        <v>0.68</v>
      </c>
      <c r="R184" s="173">
        <v>0.32</v>
      </c>
      <c r="S184" s="228">
        <v>0.4</v>
      </c>
      <c r="T184" s="49">
        <v>0.48</v>
      </c>
      <c r="U184" s="138"/>
    </row>
    <row r="185" spans="1:21" x14ac:dyDescent="0.25">
      <c r="A185" s="31">
        <v>2</v>
      </c>
      <c r="B185" s="4" t="s">
        <v>972</v>
      </c>
      <c r="C185" s="5">
        <v>1</v>
      </c>
      <c r="D185" s="7">
        <v>0</v>
      </c>
      <c r="E185" s="3">
        <f t="shared" ref="E185:E189" si="82">C185+(C185*D185)</f>
        <v>1</v>
      </c>
      <c r="F185" s="3" t="s">
        <v>867</v>
      </c>
      <c r="G185" s="77">
        <v>128</v>
      </c>
      <c r="H185" s="5" t="s">
        <v>1</v>
      </c>
      <c r="I185" s="78">
        <f t="shared" ref="I185:I189" si="83">G185*E185</f>
        <v>128</v>
      </c>
      <c r="J185" s="110">
        <f t="shared" si="78"/>
        <v>75</v>
      </c>
      <c r="K185" s="4">
        <v>0.45</v>
      </c>
      <c r="L185" s="5" t="s">
        <v>1</v>
      </c>
      <c r="M185" s="80">
        <f t="shared" ref="M185:M189" si="84">K185*E185</f>
        <v>0.45</v>
      </c>
      <c r="N185" s="78">
        <f t="shared" ref="N185:N189" si="85">M185*J185</f>
        <v>33.75</v>
      </c>
      <c r="O185" s="111">
        <f t="shared" ref="O185:O189" si="86">N185+I185</f>
        <v>161.75</v>
      </c>
      <c r="P185" s="125">
        <v>0.56000000000000005</v>
      </c>
      <c r="Q185" s="49">
        <v>0.68</v>
      </c>
      <c r="R185" s="173">
        <v>0.34</v>
      </c>
      <c r="S185" s="228">
        <v>0.43</v>
      </c>
      <c r="T185" s="49">
        <v>0.51</v>
      </c>
      <c r="U185" s="138"/>
    </row>
    <row r="186" spans="1:21" x14ac:dyDescent="0.25">
      <c r="A186" s="31">
        <v>3</v>
      </c>
      <c r="B186" s="4" t="s">
        <v>973</v>
      </c>
      <c r="C186" s="5">
        <v>1</v>
      </c>
      <c r="D186" s="7">
        <v>0</v>
      </c>
      <c r="E186" s="3">
        <f t="shared" si="82"/>
        <v>1</v>
      </c>
      <c r="F186" s="3" t="s">
        <v>867</v>
      </c>
      <c r="G186" s="77">
        <v>128</v>
      </c>
      <c r="H186" s="5" t="s">
        <v>1</v>
      </c>
      <c r="I186" s="78">
        <f t="shared" si="83"/>
        <v>128</v>
      </c>
      <c r="J186" s="110">
        <f t="shared" si="78"/>
        <v>75</v>
      </c>
      <c r="K186" s="4">
        <v>0.45</v>
      </c>
      <c r="L186" s="5" t="s">
        <v>1</v>
      </c>
      <c r="M186" s="80">
        <f t="shared" si="84"/>
        <v>0.45</v>
      </c>
      <c r="N186" s="78">
        <f t="shared" si="85"/>
        <v>33.75</v>
      </c>
      <c r="O186" s="111">
        <f t="shared" si="86"/>
        <v>161.75</v>
      </c>
      <c r="P186" s="125">
        <v>0.56000000000000005</v>
      </c>
      <c r="Q186" s="49">
        <v>0.68</v>
      </c>
      <c r="R186" s="173">
        <v>0.38</v>
      </c>
      <c r="S186" s="228">
        <v>0.48</v>
      </c>
      <c r="T186" s="49">
        <v>0.56999999999999995</v>
      </c>
      <c r="U186" s="138"/>
    </row>
    <row r="187" spans="1:21" x14ac:dyDescent="0.25">
      <c r="A187" s="31">
        <v>4</v>
      </c>
      <c r="B187" s="4" t="s">
        <v>974</v>
      </c>
      <c r="C187" s="5">
        <v>1</v>
      </c>
      <c r="D187" s="7">
        <v>0</v>
      </c>
      <c r="E187" s="3">
        <f t="shared" si="82"/>
        <v>1</v>
      </c>
      <c r="F187" s="3" t="s">
        <v>867</v>
      </c>
      <c r="G187" s="77">
        <v>133</v>
      </c>
      <c r="H187" s="5" t="s">
        <v>1</v>
      </c>
      <c r="I187" s="78">
        <f t="shared" si="83"/>
        <v>133</v>
      </c>
      <c r="J187" s="110">
        <f t="shared" si="78"/>
        <v>75</v>
      </c>
      <c r="K187" s="4">
        <v>0.45</v>
      </c>
      <c r="L187" s="5" t="s">
        <v>1</v>
      </c>
      <c r="M187" s="80">
        <f t="shared" si="84"/>
        <v>0.45</v>
      </c>
      <c r="N187" s="78">
        <f t="shared" si="85"/>
        <v>33.75</v>
      </c>
      <c r="O187" s="111">
        <f t="shared" si="86"/>
        <v>166.75</v>
      </c>
      <c r="P187" s="125">
        <v>0.56000000000000005</v>
      </c>
      <c r="Q187" s="49">
        <v>0.68</v>
      </c>
      <c r="R187" s="173">
        <v>0.42</v>
      </c>
      <c r="S187" s="228">
        <v>0.53</v>
      </c>
      <c r="T187" s="49">
        <v>0.63</v>
      </c>
      <c r="U187" s="138"/>
    </row>
    <row r="188" spans="1:21" x14ac:dyDescent="0.25">
      <c r="A188" s="31">
        <v>5</v>
      </c>
      <c r="B188" s="4" t="s">
        <v>975</v>
      </c>
      <c r="C188" s="5">
        <v>1</v>
      </c>
      <c r="D188" s="7">
        <v>0</v>
      </c>
      <c r="E188" s="3">
        <f t="shared" si="82"/>
        <v>1</v>
      </c>
      <c r="F188" s="3" t="s">
        <v>867</v>
      </c>
      <c r="G188" s="77">
        <v>133</v>
      </c>
      <c r="H188" s="5" t="s">
        <v>1</v>
      </c>
      <c r="I188" s="78">
        <f t="shared" si="83"/>
        <v>133</v>
      </c>
      <c r="J188" s="110">
        <f t="shared" si="78"/>
        <v>75</v>
      </c>
      <c r="K188" s="4">
        <v>0.45</v>
      </c>
      <c r="L188" s="5" t="s">
        <v>1</v>
      </c>
      <c r="M188" s="80">
        <f t="shared" si="84"/>
        <v>0.45</v>
      </c>
      <c r="N188" s="78">
        <f t="shared" si="85"/>
        <v>33.75</v>
      </c>
      <c r="O188" s="111">
        <f t="shared" si="86"/>
        <v>166.75</v>
      </c>
      <c r="P188" s="125">
        <v>0.56000000000000005</v>
      </c>
      <c r="Q188" s="49">
        <v>0.68</v>
      </c>
      <c r="R188" s="173">
        <v>0.42</v>
      </c>
      <c r="S188" s="228">
        <v>0.53</v>
      </c>
      <c r="T188" s="49">
        <v>0.63</v>
      </c>
      <c r="U188" s="138"/>
    </row>
    <row r="189" spans="1:21" x14ac:dyDescent="0.25">
      <c r="A189" s="31">
        <v>6</v>
      </c>
      <c r="B189" s="4" t="s">
        <v>976</v>
      </c>
      <c r="C189" s="5">
        <v>1</v>
      </c>
      <c r="D189" s="7">
        <v>0</v>
      </c>
      <c r="E189" s="3">
        <f t="shared" si="82"/>
        <v>1</v>
      </c>
      <c r="F189" s="3" t="s">
        <v>867</v>
      </c>
      <c r="G189" s="77">
        <v>171</v>
      </c>
      <c r="H189" s="5" t="s">
        <v>1</v>
      </c>
      <c r="I189" s="78">
        <f t="shared" si="83"/>
        <v>171</v>
      </c>
      <c r="J189" s="110">
        <f t="shared" si="78"/>
        <v>75</v>
      </c>
      <c r="K189" s="4">
        <v>0.45</v>
      </c>
      <c r="L189" s="5" t="s">
        <v>1</v>
      </c>
      <c r="M189" s="80">
        <f t="shared" si="84"/>
        <v>0.45</v>
      </c>
      <c r="N189" s="78">
        <f t="shared" si="85"/>
        <v>33.75</v>
      </c>
      <c r="O189" s="111">
        <f t="shared" si="86"/>
        <v>204.75</v>
      </c>
      <c r="P189" s="125">
        <v>0.56000000000000005</v>
      </c>
      <c r="Q189" s="49">
        <v>0.68</v>
      </c>
      <c r="R189" s="173">
        <v>0.47</v>
      </c>
      <c r="S189" s="228">
        <v>0.59</v>
      </c>
      <c r="T189" s="49">
        <v>0.71</v>
      </c>
      <c r="U189" s="138"/>
    </row>
    <row r="190" spans="1:21" x14ac:dyDescent="0.25">
      <c r="A190" s="31">
        <v>7</v>
      </c>
      <c r="B190" s="4" t="s">
        <v>977</v>
      </c>
      <c r="C190" s="5">
        <v>1</v>
      </c>
      <c r="D190" s="7">
        <v>0</v>
      </c>
      <c r="E190" s="3">
        <f t="shared" ref="E190" si="87">C190+(C190*D190)</f>
        <v>1</v>
      </c>
      <c r="F190" s="3" t="s">
        <v>867</v>
      </c>
      <c r="G190" s="77">
        <v>175</v>
      </c>
      <c r="H190" s="5" t="s">
        <v>1</v>
      </c>
      <c r="I190" s="78">
        <f t="shared" ref="I190" si="88">G190*E190</f>
        <v>175</v>
      </c>
      <c r="J190" s="110">
        <f t="shared" si="78"/>
        <v>75</v>
      </c>
      <c r="K190" s="4">
        <v>0.45</v>
      </c>
      <c r="L190" s="5" t="s">
        <v>1</v>
      </c>
      <c r="M190" s="80">
        <f t="shared" ref="M190" si="89">K190*E190</f>
        <v>0.45</v>
      </c>
      <c r="N190" s="78">
        <f t="shared" ref="N190" si="90">M190*J190</f>
        <v>33.75</v>
      </c>
      <c r="O190" s="111">
        <f t="shared" ref="O190" si="91">N190+I190</f>
        <v>208.75</v>
      </c>
      <c r="P190" s="125">
        <v>0.56000000000000005</v>
      </c>
      <c r="Q190" s="49">
        <v>0.68</v>
      </c>
      <c r="R190" s="173">
        <v>0.53</v>
      </c>
      <c r="S190" s="228">
        <v>0.66</v>
      </c>
      <c r="T190" s="49">
        <v>0.8</v>
      </c>
      <c r="U190" s="138"/>
    </row>
    <row r="191" spans="1:21" x14ac:dyDescent="0.25">
      <c r="A191" s="31">
        <v>8</v>
      </c>
      <c r="B191" s="4" t="s">
        <v>978</v>
      </c>
      <c r="C191" s="5">
        <v>1</v>
      </c>
      <c r="D191" s="7">
        <v>0</v>
      </c>
      <c r="E191" s="3">
        <f t="shared" ref="E191:E192" si="92">C191+(C191*D191)</f>
        <v>1</v>
      </c>
      <c r="F191" s="3" t="s">
        <v>867</v>
      </c>
      <c r="G191" s="77">
        <v>219</v>
      </c>
      <c r="H191" s="5" t="s">
        <v>1</v>
      </c>
      <c r="I191" s="78">
        <f t="shared" ref="I191:I192" si="93">G191*E191</f>
        <v>219</v>
      </c>
      <c r="J191" s="110">
        <f t="shared" si="78"/>
        <v>75</v>
      </c>
      <c r="K191" s="4">
        <v>0.45</v>
      </c>
      <c r="L191" s="5" t="s">
        <v>1</v>
      </c>
      <c r="M191" s="80">
        <f t="shared" ref="M191:M192" si="94">K191*E191</f>
        <v>0.45</v>
      </c>
      <c r="N191" s="78">
        <f t="shared" ref="N191:N192" si="95">M191*J191</f>
        <v>33.75</v>
      </c>
      <c r="O191" s="111">
        <f t="shared" ref="O191:O192" si="96">N191+I191</f>
        <v>252.75</v>
      </c>
      <c r="P191" s="125">
        <v>0.56000000000000005</v>
      </c>
      <c r="Q191" s="49">
        <v>0.68</v>
      </c>
      <c r="R191" s="173">
        <v>0.57999999999999996</v>
      </c>
      <c r="S191" s="228">
        <v>0.73</v>
      </c>
      <c r="T191" s="49">
        <v>0.87</v>
      </c>
      <c r="U191" s="138"/>
    </row>
    <row r="192" spans="1:21" x14ac:dyDescent="0.25">
      <c r="A192" s="31">
        <v>9</v>
      </c>
      <c r="B192" s="4" t="s">
        <v>979</v>
      </c>
      <c r="C192" s="5">
        <v>1</v>
      </c>
      <c r="D192" s="7">
        <v>0</v>
      </c>
      <c r="E192" s="3">
        <f t="shared" si="92"/>
        <v>1</v>
      </c>
      <c r="F192" s="3" t="s">
        <v>867</v>
      </c>
      <c r="G192" s="77">
        <v>219</v>
      </c>
      <c r="H192" s="5" t="s">
        <v>1</v>
      </c>
      <c r="I192" s="78">
        <f t="shared" si="93"/>
        <v>219</v>
      </c>
      <c r="J192" s="110">
        <f t="shared" si="78"/>
        <v>75</v>
      </c>
      <c r="K192" s="4">
        <v>0.45</v>
      </c>
      <c r="L192" s="5" t="s">
        <v>1</v>
      </c>
      <c r="M192" s="80">
        <f t="shared" si="94"/>
        <v>0.45</v>
      </c>
      <c r="N192" s="78">
        <f t="shared" si="95"/>
        <v>33.75</v>
      </c>
      <c r="O192" s="111">
        <f t="shared" si="96"/>
        <v>252.75</v>
      </c>
      <c r="P192" s="125">
        <v>0.56000000000000005</v>
      </c>
      <c r="Q192" s="49">
        <v>0.68</v>
      </c>
      <c r="R192" s="173">
        <v>0.61</v>
      </c>
      <c r="S192" s="228">
        <v>0.76</v>
      </c>
      <c r="T192" s="49">
        <v>0.92</v>
      </c>
      <c r="U192" s="138"/>
    </row>
    <row r="193" spans="1:21" ht="15.75" thickBot="1" x14ac:dyDescent="0.3">
      <c r="A193" s="31"/>
      <c r="B193" s="4"/>
      <c r="C193" s="5"/>
      <c r="D193" s="7"/>
      <c r="E193" s="3"/>
      <c r="F193" s="3"/>
      <c r="G193" s="77"/>
      <c r="H193" s="5"/>
      <c r="I193" s="78"/>
      <c r="J193" s="9"/>
      <c r="K193" s="4"/>
      <c r="L193" s="5"/>
      <c r="M193" s="80"/>
      <c r="N193" s="78"/>
      <c r="O193" s="111"/>
      <c r="P193" s="125"/>
      <c r="Q193" s="49"/>
      <c r="R193" s="173"/>
      <c r="S193" s="228"/>
      <c r="T193" s="49"/>
      <c r="U193" s="138"/>
    </row>
    <row r="194" spans="1:21" ht="15.75" thickBot="1" x14ac:dyDescent="0.3">
      <c r="A194" s="31"/>
      <c r="B194" s="118" t="s">
        <v>963</v>
      </c>
      <c r="C194" s="5"/>
      <c r="D194" s="7"/>
      <c r="E194" s="3"/>
      <c r="F194" s="3"/>
      <c r="G194" s="77"/>
      <c r="H194" s="5"/>
      <c r="I194" s="78"/>
      <c r="J194" s="9"/>
      <c r="K194" s="4"/>
      <c r="L194" s="5"/>
      <c r="M194" s="80"/>
      <c r="N194" s="78"/>
      <c r="O194" s="111"/>
      <c r="P194" s="125"/>
      <c r="Q194" s="49"/>
      <c r="R194" s="173"/>
      <c r="S194" s="228"/>
      <c r="T194" s="49"/>
      <c r="U194" s="138"/>
    </row>
    <row r="195" spans="1:21" x14ac:dyDescent="0.25">
      <c r="A195" s="31"/>
      <c r="B195" s="4"/>
      <c r="C195" s="5"/>
      <c r="D195" s="7"/>
      <c r="E195" s="3"/>
      <c r="F195" s="3"/>
      <c r="G195" s="77"/>
      <c r="H195" s="5"/>
      <c r="I195" s="78"/>
      <c r="J195" s="9"/>
      <c r="K195" s="4"/>
      <c r="L195" s="5"/>
      <c r="M195" s="80"/>
      <c r="N195" s="78"/>
      <c r="O195" s="111"/>
      <c r="P195" s="125"/>
      <c r="Q195" s="49"/>
      <c r="R195" s="173"/>
      <c r="S195" s="228"/>
      <c r="T195" s="49"/>
      <c r="U195" s="138"/>
    </row>
    <row r="196" spans="1:21" x14ac:dyDescent="0.25">
      <c r="A196" s="31">
        <v>1</v>
      </c>
      <c r="B196" s="4" t="s">
        <v>980</v>
      </c>
      <c r="C196" s="5">
        <v>1</v>
      </c>
      <c r="D196" s="7">
        <v>0</v>
      </c>
      <c r="E196" s="3">
        <f t="shared" ref="E196" si="97">C196+(C196*D196)</f>
        <v>1</v>
      </c>
      <c r="F196" s="3" t="s">
        <v>867</v>
      </c>
      <c r="G196" s="77">
        <v>240</v>
      </c>
      <c r="H196" s="5" t="s">
        <v>1</v>
      </c>
      <c r="I196" s="78">
        <f t="shared" ref="I196" si="98">G196*E196</f>
        <v>240</v>
      </c>
      <c r="J196" s="110">
        <f t="shared" ref="J196:J215" si="99">$O$4</f>
        <v>75</v>
      </c>
      <c r="K196" s="4">
        <v>0.6</v>
      </c>
      <c r="L196" s="5" t="s">
        <v>1</v>
      </c>
      <c r="M196" s="80">
        <f t="shared" ref="M196:M204" si="100">K196*E196</f>
        <v>0.6</v>
      </c>
      <c r="N196" s="78">
        <f t="shared" ref="N196" si="101">M196*J196</f>
        <v>45</v>
      </c>
      <c r="O196" s="111">
        <f t="shared" ref="O196" si="102">N196+I196</f>
        <v>285</v>
      </c>
      <c r="P196" s="125">
        <v>0.75</v>
      </c>
      <c r="Q196" s="49">
        <v>0.9</v>
      </c>
      <c r="R196" s="173">
        <v>0.48</v>
      </c>
      <c r="S196" s="228">
        <v>0.6</v>
      </c>
      <c r="T196" s="49">
        <v>0.72</v>
      </c>
      <c r="U196" s="138"/>
    </row>
    <row r="197" spans="1:21" x14ac:dyDescent="0.25">
      <c r="A197" s="31">
        <v>2</v>
      </c>
      <c r="B197" s="4" t="s">
        <v>981</v>
      </c>
      <c r="C197" s="5">
        <v>1</v>
      </c>
      <c r="D197" s="7">
        <v>0</v>
      </c>
      <c r="E197" s="3">
        <f t="shared" ref="E197:E204" si="103">C197+(C197*D197)</f>
        <v>1</v>
      </c>
      <c r="F197" s="3" t="s">
        <v>867</v>
      </c>
      <c r="G197" s="77">
        <v>265</v>
      </c>
      <c r="H197" s="5" t="s">
        <v>1</v>
      </c>
      <c r="I197" s="78">
        <f t="shared" ref="I197:I204" si="104">G197*E197</f>
        <v>265</v>
      </c>
      <c r="J197" s="110">
        <f t="shared" si="99"/>
        <v>75</v>
      </c>
      <c r="K197" s="4">
        <v>0.6</v>
      </c>
      <c r="L197" s="5" t="s">
        <v>1</v>
      </c>
      <c r="M197" s="80">
        <f t="shared" si="100"/>
        <v>0.6</v>
      </c>
      <c r="N197" s="78">
        <f t="shared" ref="N197:N204" si="105">M197*J197</f>
        <v>45</v>
      </c>
      <c r="O197" s="111">
        <f t="shared" ref="O197:O204" si="106">N197+I197</f>
        <v>310</v>
      </c>
      <c r="P197" s="125">
        <v>0.75</v>
      </c>
      <c r="Q197" s="49">
        <v>0.9</v>
      </c>
      <c r="R197" s="173">
        <v>0.52</v>
      </c>
      <c r="S197" s="228">
        <v>0.65</v>
      </c>
      <c r="T197" s="49">
        <v>0.78</v>
      </c>
      <c r="U197" s="138"/>
    </row>
    <row r="198" spans="1:21" x14ac:dyDescent="0.25">
      <c r="A198" s="31">
        <v>3</v>
      </c>
      <c r="B198" s="4" t="s">
        <v>982</v>
      </c>
      <c r="C198" s="5">
        <v>1</v>
      </c>
      <c r="D198" s="7">
        <v>0</v>
      </c>
      <c r="E198" s="3">
        <f t="shared" si="103"/>
        <v>1</v>
      </c>
      <c r="F198" s="3" t="s">
        <v>867</v>
      </c>
      <c r="G198" s="77">
        <v>265</v>
      </c>
      <c r="H198" s="5" t="s">
        <v>1</v>
      </c>
      <c r="I198" s="78">
        <f t="shared" si="104"/>
        <v>265</v>
      </c>
      <c r="J198" s="110">
        <f t="shared" si="99"/>
        <v>75</v>
      </c>
      <c r="K198" s="4">
        <v>0.6</v>
      </c>
      <c r="L198" s="5" t="s">
        <v>1</v>
      </c>
      <c r="M198" s="80">
        <f t="shared" si="100"/>
        <v>0.6</v>
      </c>
      <c r="N198" s="78">
        <f t="shared" si="105"/>
        <v>45</v>
      </c>
      <c r="O198" s="111">
        <f t="shared" si="106"/>
        <v>310</v>
      </c>
      <c r="P198" s="125">
        <v>0.75</v>
      </c>
      <c r="Q198" s="49">
        <v>0.9</v>
      </c>
      <c r="R198" s="173">
        <v>0.57999999999999996</v>
      </c>
      <c r="S198" s="228">
        <v>0.73</v>
      </c>
      <c r="T198" s="49">
        <v>0.87</v>
      </c>
      <c r="U198" s="138"/>
    </row>
    <row r="199" spans="1:21" x14ac:dyDescent="0.25">
      <c r="A199" s="31">
        <v>4</v>
      </c>
      <c r="B199" s="4" t="s">
        <v>983</v>
      </c>
      <c r="C199" s="5">
        <v>1</v>
      </c>
      <c r="D199" s="7">
        <v>0</v>
      </c>
      <c r="E199" s="3">
        <f t="shared" si="103"/>
        <v>1</v>
      </c>
      <c r="F199" s="3" t="s">
        <v>867</v>
      </c>
      <c r="G199" s="77">
        <v>312</v>
      </c>
      <c r="H199" s="5" t="s">
        <v>1</v>
      </c>
      <c r="I199" s="78">
        <f t="shared" si="104"/>
        <v>312</v>
      </c>
      <c r="J199" s="110">
        <f t="shared" si="99"/>
        <v>75</v>
      </c>
      <c r="K199" s="4">
        <v>0.6</v>
      </c>
      <c r="L199" s="5" t="s">
        <v>1</v>
      </c>
      <c r="M199" s="80">
        <f t="shared" si="100"/>
        <v>0.6</v>
      </c>
      <c r="N199" s="78">
        <f t="shared" si="105"/>
        <v>45</v>
      </c>
      <c r="O199" s="111">
        <f t="shared" si="106"/>
        <v>357</v>
      </c>
      <c r="P199" s="125">
        <v>0.75</v>
      </c>
      <c r="Q199" s="49">
        <v>0.9</v>
      </c>
      <c r="R199" s="173">
        <v>0.64</v>
      </c>
      <c r="S199" s="228">
        <v>0.8</v>
      </c>
      <c r="T199" s="49">
        <v>0.96</v>
      </c>
      <c r="U199" s="138"/>
    </row>
    <row r="200" spans="1:21" x14ac:dyDescent="0.25">
      <c r="A200" s="31">
        <v>5</v>
      </c>
      <c r="B200" s="4" t="s">
        <v>984</v>
      </c>
      <c r="C200" s="5">
        <v>1</v>
      </c>
      <c r="D200" s="7">
        <v>0</v>
      </c>
      <c r="E200" s="3">
        <f t="shared" si="103"/>
        <v>1</v>
      </c>
      <c r="F200" s="3" t="s">
        <v>867</v>
      </c>
      <c r="G200" s="77">
        <v>312.93</v>
      </c>
      <c r="H200" s="5" t="s">
        <v>1</v>
      </c>
      <c r="I200" s="78">
        <f t="shared" si="104"/>
        <v>312.93</v>
      </c>
      <c r="J200" s="110">
        <f t="shared" si="99"/>
        <v>75</v>
      </c>
      <c r="K200" s="4">
        <v>0.6</v>
      </c>
      <c r="L200" s="5" t="s">
        <v>1</v>
      </c>
      <c r="M200" s="80">
        <f t="shared" si="100"/>
        <v>0.6</v>
      </c>
      <c r="N200" s="78">
        <f t="shared" si="105"/>
        <v>45</v>
      </c>
      <c r="O200" s="111">
        <f t="shared" si="106"/>
        <v>357.93</v>
      </c>
      <c r="P200" s="125">
        <v>0.75</v>
      </c>
      <c r="Q200" s="49">
        <v>0.9</v>
      </c>
      <c r="R200" s="173">
        <v>0.64</v>
      </c>
      <c r="S200" s="228">
        <v>0.8</v>
      </c>
      <c r="T200" s="49">
        <v>0.96</v>
      </c>
      <c r="U200" s="138"/>
    </row>
    <row r="201" spans="1:21" x14ac:dyDescent="0.25">
      <c r="A201" s="31">
        <v>6</v>
      </c>
      <c r="B201" s="4" t="s">
        <v>985</v>
      </c>
      <c r="C201" s="5">
        <v>1</v>
      </c>
      <c r="D201" s="7">
        <v>0</v>
      </c>
      <c r="E201" s="3">
        <f t="shared" si="103"/>
        <v>1</v>
      </c>
      <c r="F201" s="3" t="s">
        <v>867</v>
      </c>
      <c r="G201" s="77">
        <v>312.93</v>
      </c>
      <c r="H201" s="5" t="s">
        <v>1</v>
      </c>
      <c r="I201" s="78">
        <f t="shared" si="104"/>
        <v>312.93</v>
      </c>
      <c r="J201" s="110">
        <f t="shared" si="99"/>
        <v>75</v>
      </c>
      <c r="K201" s="4">
        <v>0.6</v>
      </c>
      <c r="L201" s="5" t="s">
        <v>1</v>
      </c>
      <c r="M201" s="80">
        <f t="shared" si="100"/>
        <v>0.6</v>
      </c>
      <c r="N201" s="78">
        <f t="shared" si="105"/>
        <v>45</v>
      </c>
      <c r="O201" s="111">
        <f t="shared" si="106"/>
        <v>357.93</v>
      </c>
      <c r="P201" s="125">
        <v>0.75</v>
      </c>
      <c r="Q201" s="49">
        <v>0.9</v>
      </c>
      <c r="R201" s="173">
        <v>0.72</v>
      </c>
      <c r="S201" s="228">
        <v>0.9</v>
      </c>
      <c r="T201" s="49">
        <v>1.08</v>
      </c>
      <c r="U201" s="138"/>
    </row>
    <row r="202" spans="1:21" x14ac:dyDescent="0.25">
      <c r="A202" s="31">
        <v>7</v>
      </c>
      <c r="B202" s="4" t="s">
        <v>986</v>
      </c>
      <c r="C202" s="5">
        <v>1</v>
      </c>
      <c r="D202" s="7">
        <v>0</v>
      </c>
      <c r="E202" s="3">
        <f t="shared" si="103"/>
        <v>1</v>
      </c>
      <c r="F202" s="3" t="s">
        <v>867</v>
      </c>
      <c r="G202" s="77">
        <v>347</v>
      </c>
      <c r="H202" s="5" t="s">
        <v>1</v>
      </c>
      <c r="I202" s="78">
        <f t="shared" si="104"/>
        <v>347</v>
      </c>
      <c r="J202" s="110">
        <f t="shared" si="99"/>
        <v>75</v>
      </c>
      <c r="K202" s="4">
        <v>0.6</v>
      </c>
      <c r="L202" s="5" t="s">
        <v>1</v>
      </c>
      <c r="M202" s="80">
        <f t="shared" si="100"/>
        <v>0.6</v>
      </c>
      <c r="N202" s="78">
        <f t="shared" si="105"/>
        <v>45</v>
      </c>
      <c r="O202" s="111">
        <f t="shared" si="106"/>
        <v>392</v>
      </c>
      <c r="P202" s="125">
        <v>0.75</v>
      </c>
      <c r="Q202" s="49">
        <v>0.9</v>
      </c>
      <c r="R202" s="173">
        <v>0.81</v>
      </c>
      <c r="S202" s="228">
        <v>1.01</v>
      </c>
      <c r="T202" s="49">
        <v>1.22</v>
      </c>
      <c r="U202" s="138"/>
    </row>
    <row r="203" spans="1:21" x14ac:dyDescent="0.25">
      <c r="A203" s="31">
        <v>8</v>
      </c>
      <c r="B203" s="4" t="s">
        <v>987</v>
      </c>
      <c r="C203" s="5">
        <v>1</v>
      </c>
      <c r="D203" s="7">
        <v>0</v>
      </c>
      <c r="E203" s="3">
        <f t="shared" si="103"/>
        <v>1</v>
      </c>
      <c r="F203" s="3" t="s">
        <v>867</v>
      </c>
      <c r="G203" s="77">
        <v>355</v>
      </c>
      <c r="H203" s="5" t="s">
        <v>1</v>
      </c>
      <c r="I203" s="78">
        <f t="shared" si="104"/>
        <v>355</v>
      </c>
      <c r="J203" s="110">
        <f t="shared" si="99"/>
        <v>75</v>
      </c>
      <c r="K203" s="4">
        <v>0.6</v>
      </c>
      <c r="L203" s="5" t="s">
        <v>1</v>
      </c>
      <c r="M203" s="80">
        <f t="shared" si="100"/>
        <v>0.6</v>
      </c>
      <c r="N203" s="78">
        <f t="shared" si="105"/>
        <v>45</v>
      </c>
      <c r="O203" s="111">
        <f t="shared" si="106"/>
        <v>400</v>
      </c>
      <c r="P203" s="125">
        <v>0.75</v>
      </c>
      <c r="Q203" s="49">
        <v>0.9</v>
      </c>
      <c r="R203" s="173">
        <v>0.88</v>
      </c>
      <c r="S203" s="228">
        <v>1.1000000000000001</v>
      </c>
      <c r="T203" s="49">
        <v>1.32</v>
      </c>
      <c r="U203" s="138"/>
    </row>
    <row r="204" spans="1:21" x14ac:dyDescent="0.25">
      <c r="A204" s="31">
        <v>9</v>
      </c>
      <c r="B204" s="4" t="s">
        <v>988</v>
      </c>
      <c r="C204" s="5">
        <v>1</v>
      </c>
      <c r="D204" s="7">
        <v>0</v>
      </c>
      <c r="E204" s="3">
        <f t="shared" si="103"/>
        <v>1</v>
      </c>
      <c r="F204" s="3" t="s">
        <v>867</v>
      </c>
      <c r="G204" s="77">
        <v>374</v>
      </c>
      <c r="H204" s="5" t="s">
        <v>1</v>
      </c>
      <c r="I204" s="78">
        <f t="shared" si="104"/>
        <v>374</v>
      </c>
      <c r="J204" s="110">
        <f t="shared" si="99"/>
        <v>75</v>
      </c>
      <c r="K204" s="4">
        <v>0.6</v>
      </c>
      <c r="L204" s="5" t="s">
        <v>1</v>
      </c>
      <c r="M204" s="80">
        <f t="shared" si="100"/>
        <v>0.6</v>
      </c>
      <c r="N204" s="78">
        <f t="shared" si="105"/>
        <v>45</v>
      </c>
      <c r="O204" s="111">
        <f t="shared" si="106"/>
        <v>419</v>
      </c>
      <c r="P204" s="125">
        <v>0.75</v>
      </c>
      <c r="Q204" s="49">
        <v>0.9</v>
      </c>
      <c r="R204" s="173">
        <v>0.94</v>
      </c>
      <c r="S204" s="228">
        <v>1.18</v>
      </c>
      <c r="T204" s="49">
        <v>1.41</v>
      </c>
      <c r="U204" s="138"/>
    </row>
    <row r="205" spans="1:21" x14ac:dyDescent="0.25">
      <c r="A205" s="31">
        <v>10</v>
      </c>
      <c r="B205" s="4" t="s">
        <v>989</v>
      </c>
      <c r="C205" s="5">
        <v>1</v>
      </c>
      <c r="D205" s="7">
        <v>0</v>
      </c>
      <c r="E205" s="3">
        <f t="shared" ref="E205" si="107">C205+(C205*D205)</f>
        <v>1</v>
      </c>
      <c r="F205" s="3" t="s">
        <v>867</v>
      </c>
      <c r="G205" s="77">
        <v>406.11</v>
      </c>
      <c r="H205" s="5" t="s">
        <v>1</v>
      </c>
      <c r="I205" s="78">
        <f t="shared" ref="I205" si="108">G205*E205</f>
        <v>406.11</v>
      </c>
      <c r="J205" s="110">
        <f t="shared" si="99"/>
        <v>75</v>
      </c>
      <c r="K205" s="4">
        <v>1</v>
      </c>
      <c r="L205" s="5" t="s">
        <v>1</v>
      </c>
      <c r="M205" s="80">
        <f t="shared" ref="M205" si="109">K205*E205</f>
        <v>1</v>
      </c>
      <c r="N205" s="78">
        <f t="shared" ref="N205" si="110">M205*J205</f>
        <v>75</v>
      </c>
      <c r="O205" s="111">
        <f t="shared" ref="O205" si="111">N205+I205</f>
        <v>481.11</v>
      </c>
      <c r="P205" s="125">
        <v>1.25</v>
      </c>
      <c r="Q205" s="49">
        <v>1.5</v>
      </c>
      <c r="R205" s="173">
        <v>1.05</v>
      </c>
      <c r="S205" s="228">
        <v>1.31</v>
      </c>
      <c r="T205" s="49">
        <v>1.58</v>
      </c>
      <c r="U205" s="138"/>
    </row>
    <row r="206" spans="1:21" x14ac:dyDescent="0.25">
      <c r="A206" s="31">
        <v>11</v>
      </c>
      <c r="B206" s="4" t="s">
        <v>990</v>
      </c>
      <c r="C206" s="5">
        <v>1</v>
      </c>
      <c r="D206" s="7">
        <v>0</v>
      </c>
      <c r="E206" s="3">
        <f t="shared" ref="E206:E209" si="112">C206+(C206*D206)</f>
        <v>1</v>
      </c>
      <c r="F206" s="3" t="s">
        <v>867</v>
      </c>
      <c r="G206" s="77">
        <v>542</v>
      </c>
      <c r="H206" s="5" t="s">
        <v>1</v>
      </c>
      <c r="I206" s="78">
        <f t="shared" ref="I206:I209" si="113">G206*E206</f>
        <v>542</v>
      </c>
      <c r="J206" s="110">
        <f t="shared" si="99"/>
        <v>75</v>
      </c>
      <c r="K206" s="4">
        <v>1</v>
      </c>
      <c r="L206" s="5" t="s">
        <v>1</v>
      </c>
      <c r="M206" s="80">
        <f t="shared" ref="M206:M209" si="114">K206*E206</f>
        <v>1</v>
      </c>
      <c r="N206" s="78">
        <f t="shared" ref="N206:N209" si="115">M206*J206</f>
        <v>75</v>
      </c>
      <c r="O206" s="111">
        <f t="shared" ref="O206:O209" si="116">N206+I206</f>
        <v>617</v>
      </c>
      <c r="P206" s="125">
        <v>1.25</v>
      </c>
      <c r="Q206" s="49">
        <v>1.5</v>
      </c>
      <c r="R206" s="173">
        <v>1.2</v>
      </c>
      <c r="S206" s="228">
        <v>1.5</v>
      </c>
      <c r="T206" s="49">
        <v>1.8</v>
      </c>
      <c r="U206" s="138"/>
    </row>
    <row r="207" spans="1:21" x14ac:dyDescent="0.25">
      <c r="A207" s="31">
        <v>12</v>
      </c>
      <c r="B207" s="4" t="s">
        <v>991</v>
      </c>
      <c r="C207" s="5">
        <v>1</v>
      </c>
      <c r="D207" s="7">
        <v>0</v>
      </c>
      <c r="E207" s="3">
        <f t="shared" si="112"/>
        <v>1</v>
      </c>
      <c r="F207" s="3" t="s">
        <v>867</v>
      </c>
      <c r="G207" s="77">
        <v>613</v>
      </c>
      <c r="H207" s="5" t="s">
        <v>1</v>
      </c>
      <c r="I207" s="78">
        <f t="shared" si="113"/>
        <v>613</v>
      </c>
      <c r="J207" s="110">
        <f t="shared" si="99"/>
        <v>75</v>
      </c>
      <c r="K207" s="4">
        <v>1</v>
      </c>
      <c r="L207" s="5" t="s">
        <v>1</v>
      </c>
      <c r="M207" s="80">
        <f t="shared" si="114"/>
        <v>1</v>
      </c>
      <c r="N207" s="78">
        <f t="shared" si="115"/>
        <v>75</v>
      </c>
      <c r="O207" s="111">
        <f t="shared" si="116"/>
        <v>688</v>
      </c>
      <c r="P207" s="125">
        <v>1.25</v>
      </c>
      <c r="Q207" s="49">
        <v>1.5</v>
      </c>
      <c r="R207" s="173">
        <v>1.35</v>
      </c>
      <c r="S207" s="228">
        <v>1.69</v>
      </c>
      <c r="T207" s="49">
        <v>2.0299999999999998</v>
      </c>
      <c r="U207" s="138"/>
    </row>
    <row r="208" spans="1:21" x14ac:dyDescent="0.25">
      <c r="A208" s="31">
        <v>13</v>
      </c>
      <c r="B208" s="4" t="s">
        <v>992</v>
      </c>
      <c r="C208" s="5">
        <v>1</v>
      </c>
      <c r="D208" s="7">
        <v>0</v>
      </c>
      <c r="E208" s="3">
        <f t="shared" si="112"/>
        <v>1</v>
      </c>
      <c r="F208" s="3" t="s">
        <v>867</v>
      </c>
      <c r="G208" s="77">
        <v>613</v>
      </c>
      <c r="H208" s="5" t="s">
        <v>1</v>
      </c>
      <c r="I208" s="78">
        <f t="shared" si="113"/>
        <v>613</v>
      </c>
      <c r="J208" s="110">
        <f t="shared" si="99"/>
        <v>75</v>
      </c>
      <c r="K208" s="4">
        <v>1</v>
      </c>
      <c r="L208" s="5" t="s">
        <v>1</v>
      </c>
      <c r="M208" s="80">
        <f t="shared" si="114"/>
        <v>1</v>
      </c>
      <c r="N208" s="78">
        <f t="shared" si="115"/>
        <v>75</v>
      </c>
      <c r="O208" s="111">
        <f t="shared" si="116"/>
        <v>688</v>
      </c>
      <c r="P208" s="125">
        <v>1.25</v>
      </c>
      <c r="Q208" s="49">
        <v>1.5</v>
      </c>
      <c r="R208" s="173">
        <v>1.5</v>
      </c>
      <c r="S208" s="228">
        <v>1.88</v>
      </c>
      <c r="T208" s="49">
        <v>2.25</v>
      </c>
      <c r="U208" s="138"/>
    </row>
    <row r="209" spans="1:21" x14ac:dyDescent="0.25">
      <c r="A209" s="31">
        <v>14</v>
      </c>
      <c r="B209" s="4" t="s">
        <v>993</v>
      </c>
      <c r="C209" s="5">
        <v>1</v>
      </c>
      <c r="D209" s="7">
        <v>0</v>
      </c>
      <c r="E209" s="3">
        <f t="shared" si="112"/>
        <v>1</v>
      </c>
      <c r="F209" s="3" t="s">
        <v>867</v>
      </c>
      <c r="G209" s="77">
        <v>732.17</v>
      </c>
      <c r="H209" s="5" t="s">
        <v>1</v>
      </c>
      <c r="I209" s="78">
        <f t="shared" si="113"/>
        <v>732.17</v>
      </c>
      <c r="J209" s="110">
        <f t="shared" si="99"/>
        <v>75</v>
      </c>
      <c r="K209" s="4">
        <v>1.5</v>
      </c>
      <c r="L209" s="5" t="s">
        <v>1</v>
      </c>
      <c r="M209" s="80">
        <f t="shared" si="114"/>
        <v>1.5</v>
      </c>
      <c r="N209" s="78">
        <f t="shared" si="115"/>
        <v>112.5</v>
      </c>
      <c r="O209" s="111">
        <f t="shared" si="116"/>
        <v>844.67</v>
      </c>
      <c r="P209" s="125">
        <v>1.88</v>
      </c>
      <c r="Q209" s="49">
        <v>2.25</v>
      </c>
      <c r="R209" s="173">
        <v>1.65</v>
      </c>
      <c r="S209" s="228">
        <v>2.06</v>
      </c>
      <c r="T209" s="49">
        <v>2.48</v>
      </c>
      <c r="U209" s="138"/>
    </row>
    <row r="210" spans="1:21" x14ac:dyDescent="0.25">
      <c r="A210" s="31">
        <v>15</v>
      </c>
      <c r="B210" s="4" t="s">
        <v>994</v>
      </c>
      <c r="C210" s="5">
        <v>1</v>
      </c>
      <c r="D210" s="7">
        <v>0</v>
      </c>
      <c r="E210" s="3">
        <f t="shared" ref="E210:E211" si="117">C210+(C210*D210)</f>
        <v>1</v>
      </c>
      <c r="F210" s="3" t="s">
        <v>867</v>
      </c>
      <c r="G210" s="77">
        <v>1152.54</v>
      </c>
      <c r="H210" s="5" t="s">
        <v>1</v>
      </c>
      <c r="I210" s="78">
        <f t="shared" ref="I210:I211" si="118">G210*E210</f>
        <v>1152.54</v>
      </c>
      <c r="J210" s="110">
        <f t="shared" si="99"/>
        <v>75</v>
      </c>
      <c r="K210" s="4">
        <v>1.5</v>
      </c>
      <c r="L210" s="5" t="s">
        <v>1</v>
      </c>
      <c r="M210" s="80">
        <f t="shared" ref="M210:M211" si="119">K210*E210</f>
        <v>1.5</v>
      </c>
      <c r="N210" s="78">
        <f t="shared" ref="N210:N211" si="120">M210*J210</f>
        <v>112.5</v>
      </c>
      <c r="O210" s="111">
        <f t="shared" ref="O210:O211" si="121">N210+I210</f>
        <v>1265.04</v>
      </c>
      <c r="P210" s="125">
        <v>1.88</v>
      </c>
      <c r="Q210" s="49">
        <v>2.25</v>
      </c>
      <c r="R210" s="173">
        <v>1.85</v>
      </c>
      <c r="S210" s="228">
        <v>2.31</v>
      </c>
      <c r="T210" s="49">
        <v>2.78</v>
      </c>
      <c r="U210" s="138"/>
    </row>
    <row r="211" spans="1:21" x14ac:dyDescent="0.25">
      <c r="A211" s="31">
        <v>16</v>
      </c>
      <c r="B211" s="4" t="s">
        <v>995</v>
      </c>
      <c r="C211" s="5">
        <v>1</v>
      </c>
      <c r="D211" s="7">
        <v>0</v>
      </c>
      <c r="E211" s="3">
        <f t="shared" si="117"/>
        <v>1</v>
      </c>
      <c r="F211" s="3" t="s">
        <v>867</v>
      </c>
      <c r="G211" s="77">
        <v>1209</v>
      </c>
      <c r="H211" s="5" t="s">
        <v>1</v>
      </c>
      <c r="I211" s="78">
        <f t="shared" si="118"/>
        <v>1209</v>
      </c>
      <c r="J211" s="110">
        <f t="shared" si="99"/>
        <v>75</v>
      </c>
      <c r="K211" s="4">
        <v>1.5</v>
      </c>
      <c r="L211" s="5" t="s">
        <v>1</v>
      </c>
      <c r="M211" s="80">
        <f t="shared" si="119"/>
        <v>1.5</v>
      </c>
      <c r="N211" s="78">
        <f t="shared" si="120"/>
        <v>112.5</v>
      </c>
      <c r="O211" s="111">
        <f t="shared" si="121"/>
        <v>1321.5</v>
      </c>
      <c r="P211" s="125">
        <v>1.88</v>
      </c>
      <c r="Q211" s="49">
        <v>2.25</v>
      </c>
      <c r="R211" s="173">
        <v>2.0499999999999998</v>
      </c>
      <c r="S211" s="228">
        <v>2.56</v>
      </c>
      <c r="T211" s="49">
        <v>3.08</v>
      </c>
      <c r="U211" s="138"/>
    </row>
    <row r="212" spans="1:21" x14ac:dyDescent="0.25">
      <c r="A212" s="31">
        <v>17</v>
      </c>
      <c r="B212" s="4" t="s">
        <v>996</v>
      </c>
      <c r="C212" s="5">
        <v>1</v>
      </c>
      <c r="D212" s="7">
        <v>0</v>
      </c>
      <c r="E212" s="3">
        <f t="shared" ref="E212:E214" si="122">C212+(C212*D212)</f>
        <v>1</v>
      </c>
      <c r="F212" s="3" t="s">
        <v>867</v>
      </c>
      <c r="G212" s="77">
        <v>1269</v>
      </c>
      <c r="H212" s="5" t="s">
        <v>1</v>
      </c>
      <c r="I212" s="78">
        <f t="shared" ref="I212:I214" si="123">G212*E212</f>
        <v>1269</v>
      </c>
      <c r="J212" s="110">
        <f t="shared" si="99"/>
        <v>75</v>
      </c>
      <c r="K212" s="4">
        <v>1.5</v>
      </c>
      <c r="L212" s="5" t="s">
        <v>1</v>
      </c>
      <c r="M212" s="80">
        <f t="shared" ref="M212:M213" si="124">K212*E212</f>
        <v>1.5</v>
      </c>
      <c r="N212" s="78">
        <f t="shared" ref="N212:N214" si="125">M212*J212</f>
        <v>112.5</v>
      </c>
      <c r="O212" s="111">
        <f t="shared" ref="O212:O214" si="126">N212+I212</f>
        <v>1381.5</v>
      </c>
      <c r="P212" s="125">
        <v>1.88</v>
      </c>
      <c r="Q212" s="49">
        <v>2.25</v>
      </c>
      <c r="R212" s="173">
        <v>2.25</v>
      </c>
      <c r="S212" s="228">
        <v>2.81</v>
      </c>
      <c r="T212" s="49">
        <v>3.38</v>
      </c>
      <c r="U212" s="138"/>
    </row>
    <row r="213" spans="1:21" x14ac:dyDescent="0.25">
      <c r="A213" s="31">
        <v>18</v>
      </c>
      <c r="B213" s="4" t="s">
        <v>997</v>
      </c>
      <c r="C213" s="5">
        <v>1</v>
      </c>
      <c r="D213" s="7">
        <v>0</v>
      </c>
      <c r="E213" s="3">
        <f t="shared" si="122"/>
        <v>1</v>
      </c>
      <c r="F213" s="3" t="s">
        <v>867</v>
      </c>
      <c r="G213" s="77">
        <v>1380</v>
      </c>
      <c r="H213" s="5" t="s">
        <v>1</v>
      </c>
      <c r="I213" s="78">
        <f t="shared" si="123"/>
        <v>1380</v>
      </c>
      <c r="J213" s="110">
        <f t="shared" si="99"/>
        <v>75</v>
      </c>
      <c r="K213" s="4">
        <v>1.5</v>
      </c>
      <c r="L213" s="5" t="s">
        <v>1</v>
      </c>
      <c r="M213" s="80">
        <f t="shared" si="124"/>
        <v>1.5</v>
      </c>
      <c r="N213" s="78">
        <f t="shared" si="125"/>
        <v>112.5</v>
      </c>
      <c r="O213" s="111">
        <f t="shared" si="126"/>
        <v>1492.5</v>
      </c>
      <c r="P213" s="125">
        <v>1.88</v>
      </c>
      <c r="Q213" s="49">
        <v>2.25</v>
      </c>
      <c r="R213" s="173">
        <v>2.25</v>
      </c>
      <c r="S213" s="228">
        <v>2.81</v>
      </c>
      <c r="T213" s="49">
        <v>3.38</v>
      </c>
      <c r="U213" s="138"/>
    </row>
    <row r="214" spans="1:21" x14ac:dyDescent="0.25">
      <c r="A214" s="31">
        <v>19</v>
      </c>
      <c r="B214" s="4" t="s">
        <v>998</v>
      </c>
      <c r="C214" s="5">
        <v>1</v>
      </c>
      <c r="D214" s="7">
        <v>0</v>
      </c>
      <c r="E214" s="3">
        <f t="shared" si="122"/>
        <v>1</v>
      </c>
      <c r="F214" s="3" t="s">
        <v>867</v>
      </c>
      <c r="G214" s="77">
        <v>1409</v>
      </c>
      <c r="H214" s="5" t="s">
        <v>1</v>
      </c>
      <c r="I214" s="78">
        <f t="shared" si="123"/>
        <v>1409</v>
      </c>
      <c r="J214" s="110">
        <f t="shared" si="99"/>
        <v>75</v>
      </c>
      <c r="K214" s="4">
        <v>2.2000000000000002</v>
      </c>
      <c r="L214" s="5" t="s">
        <v>1</v>
      </c>
      <c r="M214" s="80">
        <f t="shared" ref="M214:M215" si="127">K214*E214</f>
        <v>2.2000000000000002</v>
      </c>
      <c r="N214" s="78">
        <f t="shared" si="125"/>
        <v>165</v>
      </c>
      <c r="O214" s="111">
        <f t="shared" si="126"/>
        <v>1574</v>
      </c>
      <c r="P214" s="125">
        <v>2.75</v>
      </c>
      <c r="Q214" s="49">
        <v>3.3</v>
      </c>
      <c r="R214" s="173">
        <v>2.5</v>
      </c>
      <c r="S214" s="228">
        <v>3.13</v>
      </c>
      <c r="T214" s="49">
        <v>3.75</v>
      </c>
      <c r="U214" s="138"/>
    </row>
    <row r="215" spans="1:21" x14ac:dyDescent="0.25">
      <c r="A215" s="31">
        <v>20</v>
      </c>
      <c r="B215" s="4" t="s">
        <v>999</v>
      </c>
      <c r="C215" s="5">
        <v>1</v>
      </c>
      <c r="D215" s="7">
        <v>0</v>
      </c>
      <c r="E215" s="3">
        <f t="shared" ref="E215" si="128">C215+(C215*D215)</f>
        <v>1</v>
      </c>
      <c r="F215" s="3" t="s">
        <v>867</v>
      </c>
      <c r="G215" s="77">
        <v>1504</v>
      </c>
      <c r="H215" s="5" t="s">
        <v>1</v>
      </c>
      <c r="I215" s="78">
        <f t="shared" ref="I215" si="129">G215*E215</f>
        <v>1504</v>
      </c>
      <c r="J215" s="110">
        <f t="shared" si="99"/>
        <v>75</v>
      </c>
      <c r="K215" s="4">
        <v>2.2000000000000002</v>
      </c>
      <c r="L215" s="5" t="s">
        <v>1</v>
      </c>
      <c r="M215" s="80">
        <f t="shared" si="127"/>
        <v>2.2000000000000002</v>
      </c>
      <c r="N215" s="78">
        <f t="shared" ref="N215" si="130">M215*J215</f>
        <v>165</v>
      </c>
      <c r="O215" s="111">
        <f t="shared" ref="O215" si="131">N215+I215</f>
        <v>1669</v>
      </c>
      <c r="P215" s="125">
        <v>2.75</v>
      </c>
      <c r="Q215" s="49">
        <v>3.3</v>
      </c>
      <c r="R215" s="173">
        <v>2.5</v>
      </c>
      <c r="S215" s="228">
        <v>3.13</v>
      </c>
      <c r="T215" s="49">
        <v>3.75</v>
      </c>
      <c r="U215" s="138"/>
    </row>
    <row r="216" spans="1:21" ht="15.75" thickBot="1" x14ac:dyDescent="0.3">
      <c r="A216" s="31"/>
      <c r="B216" s="4"/>
      <c r="C216" s="5"/>
      <c r="D216" s="7"/>
      <c r="E216" s="3"/>
      <c r="F216" s="3"/>
      <c r="G216" s="77">
        <v>0.8</v>
      </c>
      <c r="H216" s="5"/>
      <c r="I216" s="78"/>
      <c r="J216" s="9"/>
      <c r="K216" s="4"/>
      <c r="L216" s="5"/>
      <c r="M216" s="80"/>
      <c r="N216" s="78"/>
      <c r="O216" s="111"/>
      <c r="P216" s="125"/>
      <c r="Q216" s="49"/>
      <c r="R216" s="173"/>
      <c r="S216" s="228"/>
      <c r="T216" s="49"/>
      <c r="U216" s="138"/>
    </row>
    <row r="217" spans="1:21" ht="15.75" thickBot="1" x14ac:dyDescent="0.3">
      <c r="A217" s="31"/>
      <c r="B217" s="118" t="s">
        <v>962</v>
      </c>
      <c r="C217" s="5"/>
      <c r="D217" s="7"/>
      <c r="E217" s="3"/>
      <c r="F217" s="3"/>
      <c r="G217" s="77"/>
      <c r="H217" s="5"/>
      <c r="I217" s="78"/>
      <c r="J217" s="9"/>
      <c r="K217" s="4"/>
      <c r="L217" s="5"/>
      <c r="M217" s="80"/>
      <c r="N217" s="78"/>
      <c r="O217" s="111"/>
      <c r="P217" s="125"/>
      <c r="Q217" s="49"/>
      <c r="R217" s="173"/>
      <c r="S217" s="228"/>
      <c r="T217" s="49"/>
      <c r="U217" s="138"/>
    </row>
    <row r="218" spans="1:21" x14ac:dyDescent="0.25">
      <c r="A218" s="31"/>
      <c r="B218" s="4"/>
      <c r="C218" s="5"/>
      <c r="D218" s="7"/>
      <c r="E218" s="3"/>
      <c r="F218" s="3"/>
      <c r="G218" s="77"/>
      <c r="H218" s="5"/>
      <c r="I218" s="78"/>
      <c r="J218" s="9"/>
      <c r="K218" s="4"/>
      <c r="L218" s="5"/>
      <c r="M218" s="80"/>
      <c r="N218" s="78"/>
      <c r="O218" s="111"/>
      <c r="P218" s="125"/>
      <c r="Q218" s="49"/>
      <c r="R218" s="173"/>
      <c r="S218" s="228"/>
      <c r="T218" s="49"/>
      <c r="U218" s="138"/>
    </row>
    <row r="219" spans="1:21" x14ac:dyDescent="0.25">
      <c r="A219" s="31">
        <v>1</v>
      </c>
      <c r="B219" s="4" t="s">
        <v>1000</v>
      </c>
      <c r="C219" s="5">
        <v>1</v>
      </c>
      <c r="D219" s="7">
        <v>0</v>
      </c>
      <c r="E219" s="3">
        <f t="shared" ref="E219" si="132">C219+(C219*D219)</f>
        <v>1</v>
      </c>
      <c r="F219" s="3" t="s">
        <v>867</v>
      </c>
      <c r="G219" s="77">
        <v>356</v>
      </c>
      <c r="H219" s="5" t="s">
        <v>1</v>
      </c>
      <c r="I219" s="78">
        <f t="shared" ref="I219" si="133">G219*E219</f>
        <v>356</v>
      </c>
      <c r="J219" s="110">
        <f t="shared" ref="J219:J245" si="134">$O$4</f>
        <v>75</v>
      </c>
      <c r="K219" s="4">
        <v>0.75</v>
      </c>
      <c r="L219" s="5" t="s">
        <v>1</v>
      </c>
      <c r="M219" s="80">
        <f t="shared" ref="M219" si="135">K219*E219</f>
        <v>0.75</v>
      </c>
      <c r="N219" s="78">
        <f t="shared" ref="N219" si="136">M219*J219</f>
        <v>56.25</v>
      </c>
      <c r="O219" s="111">
        <f t="shared" ref="O219" si="137">N219+I219</f>
        <v>412.25</v>
      </c>
      <c r="P219" s="125">
        <v>0.94</v>
      </c>
      <c r="Q219" s="49">
        <v>1.1299999999999999</v>
      </c>
      <c r="R219" s="173">
        <v>0.66</v>
      </c>
      <c r="S219" s="228">
        <v>0.83</v>
      </c>
      <c r="T219" s="49">
        <v>0.99</v>
      </c>
      <c r="U219" s="138"/>
    </row>
    <row r="220" spans="1:21" x14ac:dyDescent="0.25">
      <c r="A220" s="31">
        <v>2</v>
      </c>
      <c r="B220" s="4" t="s">
        <v>1001</v>
      </c>
      <c r="C220" s="5">
        <v>1</v>
      </c>
      <c r="D220" s="7">
        <v>0</v>
      </c>
      <c r="E220" s="3">
        <f t="shared" ref="E220:E231" si="138">C220+(C220*D220)</f>
        <v>1</v>
      </c>
      <c r="F220" s="3" t="s">
        <v>867</v>
      </c>
      <c r="G220" s="77">
        <v>403</v>
      </c>
      <c r="H220" s="5" t="s">
        <v>1</v>
      </c>
      <c r="I220" s="78">
        <f t="shared" ref="I220:I231" si="139">G220*E220</f>
        <v>403</v>
      </c>
      <c r="J220" s="110">
        <f t="shared" si="134"/>
        <v>75</v>
      </c>
      <c r="K220" s="4">
        <v>0.75</v>
      </c>
      <c r="L220" s="5" t="s">
        <v>1</v>
      </c>
      <c r="M220" s="80">
        <f t="shared" ref="M220:M231" si="140">K220*E220</f>
        <v>0.75</v>
      </c>
      <c r="N220" s="78">
        <f t="shared" ref="N220:N231" si="141">M220*J220</f>
        <v>56.25</v>
      </c>
      <c r="O220" s="111">
        <f t="shared" ref="O220:O231" si="142">N220+I220</f>
        <v>459.25</v>
      </c>
      <c r="P220" s="125">
        <v>0.94</v>
      </c>
      <c r="Q220" s="49">
        <v>1.1299999999999999</v>
      </c>
      <c r="R220" s="173">
        <v>0.71</v>
      </c>
      <c r="S220" s="228">
        <v>0.89</v>
      </c>
      <c r="T220" s="49">
        <v>1.07</v>
      </c>
      <c r="U220" s="138"/>
    </row>
    <row r="221" spans="1:21" x14ac:dyDescent="0.25">
      <c r="A221" s="31">
        <v>3</v>
      </c>
      <c r="B221" s="4" t="s">
        <v>1002</v>
      </c>
      <c r="C221" s="5">
        <v>1</v>
      </c>
      <c r="D221" s="7">
        <v>0</v>
      </c>
      <c r="E221" s="3">
        <f t="shared" si="138"/>
        <v>1</v>
      </c>
      <c r="F221" s="3" t="s">
        <v>867</v>
      </c>
      <c r="G221" s="77">
        <v>468.5</v>
      </c>
      <c r="H221" s="5" t="s">
        <v>1</v>
      </c>
      <c r="I221" s="78">
        <f t="shared" si="139"/>
        <v>468.5</v>
      </c>
      <c r="J221" s="110">
        <f t="shared" si="134"/>
        <v>75</v>
      </c>
      <c r="K221" s="4">
        <v>0.75</v>
      </c>
      <c r="L221" s="5" t="s">
        <v>1</v>
      </c>
      <c r="M221" s="80">
        <f t="shared" si="140"/>
        <v>0.75</v>
      </c>
      <c r="N221" s="78">
        <f t="shared" si="141"/>
        <v>56.25</v>
      </c>
      <c r="O221" s="111">
        <f t="shared" si="142"/>
        <v>524.75</v>
      </c>
      <c r="P221" s="125">
        <v>0.94</v>
      </c>
      <c r="Q221" s="49">
        <v>1.1299999999999999</v>
      </c>
      <c r="R221" s="173">
        <v>0.78</v>
      </c>
      <c r="S221" s="228">
        <v>0.98</v>
      </c>
      <c r="T221" s="49">
        <v>1.17</v>
      </c>
      <c r="U221" s="138"/>
    </row>
    <row r="222" spans="1:21" x14ac:dyDescent="0.25">
      <c r="A222" s="31">
        <v>4</v>
      </c>
      <c r="B222" s="4" t="s">
        <v>1003</v>
      </c>
      <c r="C222" s="5">
        <v>1</v>
      </c>
      <c r="D222" s="7">
        <v>0</v>
      </c>
      <c r="E222" s="3">
        <f t="shared" si="138"/>
        <v>1</v>
      </c>
      <c r="F222" s="3" t="s">
        <v>867</v>
      </c>
      <c r="G222" s="77">
        <v>511.58</v>
      </c>
      <c r="H222" s="5" t="s">
        <v>1</v>
      </c>
      <c r="I222" s="78">
        <f t="shared" si="139"/>
        <v>511.58</v>
      </c>
      <c r="J222" s="110">
        <f t="shared" si="134"/>
        <v>75</v>
      </c>
      <c r="K222" s="4">
        <v>0.75</v>
      </c>
      <c r="L222" s="5" t="s">
        <v>1</v>
      </c>
      <c r="M222" s="80">
        <f t="shared" si="140"/>
        <v>0.75</v>
      </c>
      <c r="N222" s="78">
        <f t="shared" si="141"/>
        <v>56.25</v>
      </c>
      <c r="O222" s="111">
        <f t="shared" si="142"/>
        <v>567.82999999999993</v>
      </c>
      <c r="P222" s="125">
        <v>0.94</v>
      </c>
      <c r="Q222" s="49">
        <v>1.1299999999999999</v>
      </c>
      <c r="R222" s="173">
        <v>0.82</v>
      </c>
      <c r="S222" s="228">
        <v>1</v>
      </c>
      <c r="T222" s="49">
        <v>1.22</v>
      </c>
      <c r="U222" s="138"/>
    </row>
    <row r="223" spans="1:21" x14ac:dyDescent="0.25">
      <c r="A223" s="31">
        <v>5</v>
      </c>
      <c r="B223" s="4" t="s">
        <v>1004</v>
      </c>
      <c r="C223" s="5">
        <v>1</v>
      </c>
      <c r="D223" s="7">
        <v>0</v>
      </c>
      <c r="E223" s="3">
        <f t="shared" si="138"/>
        <v>1</v>
      </c>
      <c r="F223" s="3" t="s">
        <v>867</v>
      </c>
      <c r="G223" s="77">
        <v>513.28</v>
      </c>
      <c r="H223" s="5" t="s">
        <v>1</v>
      </c>
      <c r="I223" s="78">
        <f t="shared" si="139"/>
        <v>513.28</v>
      </c>
      <c r="J223" s="110">
        <f t="shared" si="134"/>
        <v>75</v>
      </c>
      <c r="K223" s="4">
        <v>0.75</v>
      </c>
      <c r="L223" s="5" t="s">
        <v>1</v>
      </c>
      <c r="M223" s="80">
        <f t="shared" si="140"/>
        <v>0.75</v>
      </c>
      <c r="N223" s="78">
        <f t="shared" si="141"/>
        <v>56.25</v>
      </c>
      <c r="O223" s="111">
        <f t="shared" si="142"/>
        <v>569.53</v>
      </c>
      <c r="P223" s="125">
        <v>0.94</v>
      </c>
      <c r="Q223" s="49">
        <v>1.1299999999999999</v>
      </c>
      <c r="R223" s="173">
        <v>0.85</v>
      </c>
      <c r="S223" s="228">
        <v>1.06</v>
      </c>
      <c r="T223" s="49">
        <v>1.28</v>
      </c>
      <c r="U223" s="138"/>
    </row>
    <row r="224" spans="1:21" x14ac:dyDescent="0.25">
      <c r="A224" s="31">
        <v>6</v>
      </c>
      <c r="B224" s="4" t="s">
        <v>1005</v>
      </c>
      <c r="C224" s="5">
        <v>1</v>
      </c>
      <c r="D224" s="7">
        <v>0</v>
      </c>
      <c r="E224" s="3">
        <f t="shared" si="138"/>
        <v>1</v>
      </c>
      <c r="F224" s="3" t="s">
        <v>867</v>
      </c>
      <c r="G224" s="77">
        <v>552.80999999999995</v>
      </c>
      <c r="H224" s="5" t="s">
        <v>1</v>
      </c>
      <c r="I224" s="78">
        <f t="shared" si="139"/>
        <v>552.80999999999995</v>
      </c>
      <c r="J224" s="110">
        <f t="shared" si="134"/>
        <v>75</v>
      </c>
      <c r="K224" s="4">
        <v>0.75</v>
      </c>
      <c r="L224" s="5" t="s">
        <v>1</v>
      </c>
      <c r="M224" s="80">
        <f t="shared" si="140"/>
        <v>0.75</v>
      </c>
      <c r="N224" s="78">
        <f t="shared" si="141"/>
        <v>56.25</v>
      </c>
      <c r="O224" s="111">
        <f t="shared" si="142"/>
        <v>609.05999999999995</v>
      </c>
      <c r="P224" s="125">
        <v>0.94</v>
      </c>
      <c r="Q224" s="49">
        <v>1.1299999999999999</v>
      </c>
      <c r="R224" s="173">
        <v>0.92</v>
      </c>
      <c r="S224" s="228">
        <v>1.1499999999999999</v>
      </c>
      <c r="T224" s="49">
        <v>1.38</v>
      </c>
      <c r="U224" s="138"/>
    </row>
    <row r="225" spans="1:21" x14ac:dyDescent="0.25">
      <c r="A225" s="31">
        <v>7</v>
      </c>
      <c r="B225" s="4" t="s">
        <v>1006</v>
      </c>
      <c r="C225" s="5">
        <v>1</v>
      </c>
      <c r="D225" s="7">
        <v>0</v>
      </c>
      <c r="E225" s="3">
        <f t="shared" si="138"/>
        <v>1</v>
      </c>
      <c r="F225" s="3" t="s">
        <v>867</v>
      </c>
      <c r="G225" s="77">
        <v>727.6</v>
      </c>
      <c r="H225" s="5" t="s">
        <v>1</v>
      </c>
      <c r="I225" s="78">
        <f t="shared" si="139"/>
        <v>727.6</v>
      </c>
      <c r="J225" s="110">
        <f t="shared" si="134"/>
        <v>75</v>
      </c>
      <c r="K225" s="4">
        <v>0.75</v>
      </c>
      <c r="L225" s="5" t="s">
        <v>1</v>
      </c>
      <c r="M225" s="80">
        <f t="shared" si="140"/>
        <v>0.75</v>
      </c>
      <c r="N225" s="78">
        <f t="shared" si="141"/>
        <v>56.25</v>
      </c>
      <c r="O225" s="111">
        <f t="shared" si="142"/>
        <v>783.85</v>
      </c>
      <c r="P225" s="125">
        <v>0.94</v>
      </c>
      <c r="Q225" s="49">
        <v>1.1299999999999999</v>
      </c>
      <c r="R225" s="173">
        <v>1.05</v>
      </c>
      <c r="S225" s="228">
        <v>1.31</v>
      </c>
      <c r="T225" s="49">
        <v>1.58</v>
      </c>
      <c r="U225" s="138"/>
    </row>
    <row r="226" spans="1:21" x14ac:dyDescent="0.25">
      <c r="A226" s="31">
        <v>8</v>
      </c>
      <c r="B226" s="4" t="s">
        <v>1007</v>
      </c>
      <c r="C226" s="5">
        <v>1</v>
      </c>
      <c r="D226" s="7">
        <v>0</v>
      </c>
      <c r="E226" s="3">
        <f t="shared" si="138"/>
        <v>1</v>
      </c>
      <c r="F226" s="3" t="s">
        <v>867</v>
      </c>
      <c r="G226" s="77">
        <v>738.15</v>
      </c>
      <c r="H226" s="5" t="s">
        <v>1</v>
      </c>
      <c r="I226" s="78">
        <f t="shared" si="139"/>
        <v>738.15</v>
      </c>
      <c r="J226" s="110">
        <f t="shared" si="134"/>
        <v>75</v>
      </c>
      <c r="K226" s="4">
        <v>0.75</v>
      </c>
      <c r="L226" s="5" t="s">
        <v>1</v>
      </c>
      <c r="M226" s="80">
        <f t="shared" si="140"/>
        <v>0.75</v>
      </c>
      <c r="N226" s="78">
        <f t="shared" si="141"/>
        <v>56.25</v>
      </c>
      <c r="O226" s="111">
        <f t="shared" si="142"/>
        <v>794.4</v>
      </c>
      <c r="P226" s="125">
        <v>0.94</v>
      </c>
      <c r="Q226" s="49">
        <v>1.1299999999999999</v>
      </c>
      <c r="R226" s="173">
        <v>1.18</v>
      </c>
      <c r="S226" s="228">
        <v>1.48</v>
      </c>
      <c r="T226" s="49">
        <v>1.77</v>
      </c>
      <c r="U226" s="138"/>
    </row>
    <row r="227" spans="1:21" x14ac:dyDescent="0.25">
      <c r="A227" s="31">
        <v>9</v>
      </c>
      <c r="B227" s="4" t="s">
        <v>1008</v>
      </c>
      <c r="C227" s="5">
        <v>1</v>
      </c>
      <c r="D227" s="7">
        <v>0</v>
      </c>
      <c r="E227" s="3">
        <f t="shared" si="138"/>
        <v>1</v>
      </c>
      <c r="F227" s="3" t="s">
        <v>867</v>
      </c>
      <c r="G227" s="77">
        <v>777</v>
      </c>
      <c r="H227" s="5" t="s">
        <v>1</v>
      </c>
      <c r="I227" s="78">
        <f t="shared" si="139"/>
        <v>777</v>
      </c>
      <c r="J227" s="110">
        <f t="shared" si="134"/>
        <v>75</v>
      </c>
      <c r="K227" s="4">
        <v>0.75</v>
      </c>
      <c r="L227" s="5" t="s">
        <v>1</v>
      </c>
      <c r="M227" s="80">
        <f t="shared" si="140"/>
        <v>0.75</v>
      </c>
      <c r="N227" s="78">
        <f t="shared" si="141"/>
        <v>56.25</v>
      </c>
      <c r="O227" s="111">
        <f t="shared" si="142"/>
        <v>833.25</v>
      </c>
      <c r="P227" s="125">
        <v>0.94</v>
      </c>
      <c r="Q227" s="49">
        <v>1.1299999999999999</v>
      </c>
      <c r="R227" s="173">
        <v>1.28</v>
      </c>
      <c r="S227" s="228">
        <v>1.6</v>
      </c>
      <c r="T227" s="49">
        <v>1.92</v>
      </c>
      <c r="U227" s="138"/>
    </row>
    <row r="228" spans="1:21" x14ac:dyDescent="0.25">
      <c r="A228" s="31">
        <v>10</v>
      </c>
      <c r="B228" s="4" t="s">
        <v>1009</v>
      </c>
      <c r="C228" s="5">
        <v>1</v>
      </c>
      <c r="D228" s="7">
        <v>0</v>
      </c>
      <c r="E228" s="3">
        <f t="shared" si="138"/>
        <v>1</v>
      </c>
      <c r="F228" s="3" t="s">
        <v>867</v>
      </c>
      <c r="G228" s="77">
        <v>1173.47</v>
      </c>
      <c r="H228" s="5" t="s">
        <v>1</v>
      </c>
      <c r="I228" s="78">
        <f t="shared" si="139"/>
        <v>1173.47</v>
      </c>
      <c r="J228" s="110">
        <f t="shared" si="134"/>
        <v>75</v>
      </c>
      <c r="K228" s="4">
        <v>1.2</v>
      </c>
      <c r="L228" s="5" t="s">
        <v>1</v>
      </c>
      <c r="M228" s="80">
        <f t="shared" si="140"/>
        <v>1.2</v>
      </c>
      <c r="N228" s="78">
        <f t="shared" si="141"/>
        <v>90</v>
      </c>
      <c r="O228" s="111">
        <f t="shared" si="142"/>
        <v>1263.47</v>
      </c>
      <c r="P228" s="125">
        <v>1.5</v>
      </c>
      <c r="Q228" s="49">
        <v>1.8</v>
      </c>
      <c r="R228" s="173">
        <v>1.43</v>
      </c>
      <c r="S228" s="228">
        <v>1.79</v>
      </c>
      <c r="T228" s="49">
        <v>2.15</v>
      </c>
      <c r="U228" s="138"/>
    </row>
    <row r="229" spans="1:21" x14ac:dyDescent="0.25">
      <c r="A229" s="31">
        <v>11</v>
      </c>
      <c r="B229" s="4" t="s">
        <v>1010</v>
      </c>
      <c r="C229" s="5">
        <v>1</v>
      </c>
      <c r="D229" s="7">
        <v>0</v>
      </c>
      <c r="E229" s="3">
        <f t="shared" si="138"/>
        <v>1</v>
      </c>
      <c r="F229" s="3" t="s">
        <v>867</v>
      </c>
      <c r="G229" s="77">
        <v>1356.89</v>
      </c>
      <c r="H229" s="5" t="s">
        <v>1</v>
      </c>
      <c r="I229" s="78">
        <f t="shared" si="139"/>
        <v>1356.89</v>
      </c>
      <c r="J229" s="110">
        <f t="shared" si="134"/>
        <v>75</v>
      </c>
      <c r="K229" s="4">
        <v>1.2</v>
      </c>
      <c r="L229" s="5" t="s">
        <v>1</v>
      </c>
      <c r="M229" s="80">
        <f t="shared" si="140"/>
        <v>1.2</v>
      </c>
      <c r="N229" s="78">
        <f t="shared" si="141"/>
        <v>90</v>
      </c>
      <c r="O229" s="111">
        <f t="shared" si="142"/>
        <v>1446.89</v>
      </c>
      <c r="P229" s="125">
        <v>1.5</v>
      </c>
      <c r="Q229" s="49">
        <v>1.8</v>
      </c>
      <c r="R229" s="173">
        <v>1.6</v>
      </c>
      <c r="S229" s="228">
        <v>2</v>
      </c>
      <c r="T229" s="49">
        <v>2.4</v>
      </c>
      <c r="U229" s="138"/>
    </row>
    <row r="230" spans="1:21" x14ac:dyDescent="0.25">
      <c r="A230" s="31">
        <v>12</v>
      </c>
      <c r="B230" s="4" t="s">
        <v>1011</v>
      </c>
      <c r="C230" s="5">
        <v>1</v>
      </c>
      <c r="D230" s="7">
        <v>0</v>
      </c>
      <c r="E230" s="3">
        <f t="shared" si="138"/>
        <v>1</v>
      </c>
      <c r="F230" s="3" t="s">
        <v>867</v>
      </c>
      <c r="G230" s="77">
        <v>1356.89</v>
      </c>
      <c r="H230" s="5" t="s">
        <v>1</v>
      </c>
      <c r="I230" s="78">
        <f t="shared" si="139"/>
        <v>1356.89</v>
      </c>
      <c r="J230" s="110">
        <f t="shared" si="134"/>
        <v>75</v>
      </c>
      <c r="K230" s="4">
        <v>1.2</v>
      </c>
      <c r="L230" s="5" t="s">
        <v>1</v>
      </c>
      <c r="M230" s="80">
        <f t="shared" si="140"/>
        <v>1.2</v>
      </c>
      <c r="N230" s="78">
        <f t="shared" si="141"/>
        <v>90</v>
      </c>
      <c r="O230" s="111">
        <f t="shared" si="142"/>
        <v>1446.89</v>
      </c>
      <c r="P230" s="125">
        <v>1.5</v>
      </c>
      <c r="Q230" s="49">
        <v>1.8</v>
      </c>
      <c r="R230" s="173">
        <v>1.8</v>
      </c>
      <c r="S230" s="228">
        <v>2.25</v>
      </c>
      <c r="T230" s="49">
        <v>2.7</v>
      </c>
      <c r="U230" s="138"/>
    </row>
    <row r="231" spans="1:21" x14ac:dyDescent="0.25">
      <c r="A231" s="31">
        <v>13</v>
      </c>
      <c r="B231" s="4" t="s">
        <v>1012</v>
      </c>
      <c r="C231" s="5">
        <v>1</v>
      </c>
      <c r="D231" s="7">
        <v>0</v>
      </c>
      <c r="E231" s="3">
        <f t="shared" si="138"/>
        <v>1</v>
      </c>
      <c r="F231" s="3" t="s">
        <v>867</v>
      </c>
      <c r="G231" s="77">
        <v>1498.2</v>
      </c>
      <c r="H231" s="5" t="s">
        <v>1</v>
      </c>
      <c r="I231" s="78">
        <f t="shared" si="139"/>
        <v>1498.2</v>
      </c>
      <c r="J231" s="110">
        <f t="shared" si="134"/>
        <v>75</v>
      </c>
      <c r="K231" s="4">
        <v>1.2</v>
      </c>
      <c r="L231" s="5" t="s">
        <v>1</v>
      </c>
      <c r="M231" s="80">
        <f t="shared" si="140"/>
        <v>1.2</v>
      </c>
      <c r="N231" s="78">
        <f t="shared" si="141"/>
        <v>90</v>
      </c>
      <c r="O231" s="111">
        <f t="shared" si="142"/>
        <v>1588.2</v>
      </c>
      <c r="P231" s="125">
        <v>1.5</v>
      </c>
      <c r="Q231" s="49">
        <v>1.8</v>
      </c>
      <c r="R231" s="173">
        <v>2</v>
      </c>
      <c r="S231" s="228">
        <v>2.5</v>
      </c>
      <c r="T231" s="49">
        <v>3</v>
      </c>
      <c r="U231" s="138"/>
    </row>
    <row r="232" spans="1:21" x14ac:dyDescent="0.25">
      <c r="A232" s="31">
        <v>14</v>
      </c>
      <c r="B232" s="4" t="s">
        <v>1013</v>
      </c>
      <c r="C232" s="5">
        <v>1</v>
      </c>
      <c r="D232" s="7">
        <v>0</v>
      </c>
      <c r="E232" s="3">
        <f t="shared" ref="E232:E242" si="143">C232+(C232*D232)</f>
        <v>1</v>
      </c>
      <c r="F232" s="3" t="s">
        <v>867</v>
      </c>
      <c r="G232" s="77">
        <v>1571.85</v>
      </c>
      <c r="H232" s="5" t="s">
        <v>1</v>
      </c>
      <c r="I232" s="78">
        <f t="shared" ref="I232:I242" si="144">G232*E232</f>
        <v>1571.85</v>
      </c>
      <c r="J232" s="110">
        <f t="shared" si="134"/>
        <v>75</v>
      </c>
      <c r="K232" s="4">
        <v>1.8</v>
      </c>
      <c r="L232" s="5" t="s">
        <v>1</v>
      </c>
      <c r="M232" s="80">
        <f t="shared" ref="M232:M242" si="145">K232*E232</f>
        <v>1.8</v>
      </c>
      <c r="N232" s="78">
        <f t="shared" ref="N232:N242" si="146">M232*J232</f>
        <v>135</v>
      </c>
      <c r="O232" s="111">
        <f t="shared" ref="O232:O242" si="147">N232+I232</f>
        <v>1706.85</v>
      </c>
      <c r="P232" s="125">
        <v>2.25</v>
      </c>
      <c r="Q232" s="49">
        <v>2.7</v>
      </c>
      <c r="R232" s="173">
        <v>2.25</v>
      </c>
      <c r="S232" s="228">
        <v>2.81</v>
      </c>
      <c r="T232" s="49">
        <v>3.38</v>
      </c>
      <c r="U232" s="138"/>
    </row>
    <row r="233" spans="1:21" x14ac:dyDescent="0.25">
      <c r="A233" s="31">
        <v>15</v>
      </c>
      <c r="B233" s="4" t="s">
        <v>1014</v>
      </c>
      <c r="C233" s="5">
        <v>1</v>
      </c>
      <c r="D233" s="7">
        <v>0</v>
      </c>
      <c r="E233" s="3">
        <f t="shared" si="143"/>
        <v>1</v>
      </c>
      <c r="F233" s="3" t="s">
        <v>867</v>
      </c>
      <c r="G233" s="77">
        <v>1751</v>
      </c>
      <c r="H233" s="5" t="s">
        <v>1</v>
      </c>
      <c r="I233" s="78">
        <f t="shared" si="144"/>
        <v>1751</v>
      </c>
      <c r="J233" s="110">
        <f t="shared" si="134"/>
        <v>75</v>
      </c>
      <c r="K233" s="4">
        <v>1.8</v>
      </c>
      <c r="L233" s="5" t="s">
        <v>1</v>
      </c>
      <c r="M233" s="80">
        <f t="shared" si="145"/>
        <v>1.8</v>
      </c>
      <c r="N233" s="78">
        <f t="shared" si="146"/>
        <v>135</v>
      </c>
      <c r="O233" s="111">
        <f t="shared" si="147"/>
        <v>1886</v>
      </c>
      <c r="P233" s="125">
        <v>2.25</v>
      </c>
      <c r="Q233" s="49">
        <v>2.7</v>
      </c>
      <c r="R233" s="173">
        <v>2.5</v>
      </c>
      <c r="S233" s="228">
        <v>3.13</v>
      </c>
      <c r="T233" s="49">
        <v>3.75</v>
      </c>
      <c r="U233" s="138"/>
    </row>
    <row r="234" spans="1:21" x14ac:dyDescent="0.25">
      <c r="A234" s="31">
        <v>16</v>
      </c>
      <c r="B234" s="4" t="s">
        <v>1015</v>
      </c>
      <c r="C234" s="5">
        <v>1</v>
      </c>
      <c r="D234" s="7">
        <v>0</v>
      </c>
      <c r="E234" s="3">
        <f t="shared" si="143"/>
        <v>1</v>
      </c>
      <c r="F234" s="3" t="s">
        <v>867</v>
      </c>
      <c r="G234" s="77">
        <v>1966.6</v>
      </c>
      <c r="H234" s="5" t="s">
        <v>1</v>
      </c>
      <c r="I234" s="78">
        <f t="shared" si="144"/>
        <v>1966.6</v>
      </c>
      <c r="J234" s="110">
        <f t="shared" si="134"/>
        <v>75</v>
      </c>
      <c r="K234" s="4">
        <v>1.8</v>
      </c>
      <c r="L234" s="5" t="s">
        <v>1</v>
      </c>
      <c r="M234" s="80">
        <f t="shared" si="145"/>
        <v>1.8</v>
      </c>
      <c r="N234" s="78">
        <f t="shared" si="146"/>
        <v>135</v>
      </c>
      <c r="O234" s="111">
        <f t="shared" si="147"/>
        <v>2101.6</v>
      </c>
      <c r="P234" s="125">
        <v>2.25</v>
      </c>
      <c r="Q234" s="49">
        <v>2.7</v>
      </c>
      <c r="R234" s="173">
        <v>2.75</v>
      </c>
      <c r="S234" s="228">
        <v>3.44</v>
      </c>
      <c r="T234" s="49">
        <v>4.13</v>
      </c>
      <c r="U234" s="138"/>
    </row>
    <row r="235" spans="1:21" x14ac:dyDescent="0.25">
      <c r="A235" s="31">
        <v>17</v>
      </c>
      <c r="B235" s="4" t="s">
        <v>1016</v>
      </c>
      <c r="C235" s="5">
        <v>1</v>
      </c>
      <c r="D235" s="7">
        <v>0</v>
      </c>
      <c r="E235" s="3">
        <f t="shared" si="143"/>
        <v>1</v>
      </c>
      <c r="F235" s="3" t="s">
        <v>867</v>
      </c>
      <c r="G235" s="77">
        <v>2274.75</v>
      </c>
      <c r="H235" s="5" t="s">
        <v>1</v>
      </c>
      <c r="I235" s="78">
        <f t="shared" si="144"/>
        <v>2274.75</v>
      </c>
      <c r="J235" s="110">
        <f t="shared" si="134"/>
        <v>75</v>
      </c>
      <c r="K235" s="4">
        <v>1.8</v>
      </c>
      <c r="L235" s="5" t="s">
        <v>1</v>
      </c>
      <c r="M235" s="80">
        <f t="shared" si="145"/>
        <v>1.8</v>
      </c>
      <c r="N235" s="78">
        <f t="shared" si="146"/>
        <v>135</v>
      </c>
      <c r="O235" s="111">
        <f t="shared" si="147"/>
        <v>2409.75</v>
      </c>
      <c r="P235" s="125">
        <v>2.25</v>
      </c>
      <c r="Q235" s="49">
        <v>2.7</v>
      </c>
      <c r="R235" s="173">
        <v>3</v>
      </c>
      <c r="S235" s="228">
        <v>3.75</v>
      </c>
      <c r="T235" s="49">
        <v>4.5</v>
      </c>
      <c r="U235" s="138"/>
    </row>
    <row r="236" spans="1:21" x14ac:dyDescent="0.25">
      <c r="A236" s="31">
        <v>18</v>
      </c>
      <c r="B236" s="4" t="s">
        <v>1017</v>
      </c>
      <c r="C236" s="5">
        <v>1</v>
      </c>
      <c r="D236" s="7">
        <v>0</v>
      </c>
      <c r="E236" s="3">
        <f t="shared" si="143"/>
        <v>1</v>
      </c>
      <c r="F236" s="3" t="s">
        <v>867</v>
      </c>
      <c r="G236" s="77">
        <v>2274.75</v>
      </c>
      <c r="H236" s="5" t="s">
        <v>1</v>
      </c>
      <c r="I236" s="78">
        <f t="shared" si="144"/>
        <v>2274.75</v>
      </c>
      <c r="J236" s="110">
        <f t="shared" si="134"/>
        <v>75</v>
      </c>
      <c r="K236" s="4">
        <v>1.8</v>
      </c>
      <c r="L236" s="5" t="s">
        <v>1</v>
      </c>
      <c r="M236" s="80">
        <f t="shared" si="145"/>
        <v>1.8</v>
      </c>
      <c r="N236" s="78">
        <f t="shared" si="146"/>
        <v>135</v>
      </c>
      <c r="O236" s="111">
        <f t="shared" si="147"/>
        <v>2409.75</v>
      </c>
      <c r="P236" s="125">
        <v>2.25</v>
      </c>
      <c r="Q236" s="49">
        <v>2.7</v>
      </c>
      <c r="R236" s="173">
        <v>3</v>
      </c>
      <c r="S236" s="228">
        <v>3.75</v>
      </c>
      <c r="T236" s="49">
        <v>4.5</v>
      </c>
      <c r="U236" s="138"/>
    </row>
    <row r="237" spans="1:21" x14ac:dyDescent="0.25">
      <c r="A237" s="31">
        <v>19</v>
      </c>
      <c r="B237" s="4" t="s">
        <v>1018</v>
      </c>
      <c r="C237" s="5">
        <v>1</v>
      </c>
      <c r="D237" s="7">
        <v>0</v>
      </c>
      <c r="E237" s="3">
        <f t="shared" si="143"/>
        <v>1</v>
      </c>
      <c r="F237" s="3" t="s">
        <v>867</v>
      </c>
      <c r="G237" s="77">
        <v>2660</v>
      </c>
      <c r="H237" s="5" t="s">
        <v>1</v>
      </c>
      <c r="I237" s="78">
        <f t="shared" si="144"/>
        <v>2660</v>
      </c>
      <c r="J237" s="110">
        <f t="shared" si="134"/>
        <v>75</v>
      </c>
      <c r="K237" s="4">
        <v>2.5</v>
      </c>
      <c r="L237" s="5" t="s">
        <v>1</v>
      </c>
      <c r="M237" s="80">
        <f t="shared" si="145"/>
        <v>2.5</v>
      </c>
      <c r="N237" s="78">
        <f t="shared" si="146"/>
        <v>187.5</v>
      </c>
      <c r="O237" s="111">
        <f t="shared" si="147"/>
        <v>2847.5</v>
      </c>
      <c r="P237" s="125">
        <v>3.13</v>
      </c>
      <c r="Q237" s="49">
        <v>3.75</v>
      </c>
      <c r="R237" s="173">
        <v>3.25</v>
      </c>
      <c r="S237" s="228">
        <v>4.0599999999999996</v>
      </c>
      <c r="T237" s="49">
        <v>4.88</v>
      </c>
      <c r="U237" s="138"/>
    </row>
    <row r="238" spans="1:21" x14ac:dyDescent="0.25">
      <c r="A238" s="31">
        <v>20</v>
      </c>
      <c r="B238" s="4" t="s">
        <v>1019</v>
      </c>
      <c r="C238" s="5">
        <v>1</v>
      </c>
      <c r="D238" s="7">
        <v>0</v>
      </c>
      <c r="E238" s="3">
        <f t="shared" si="143"/>
        <v>1</v>
      </c>
      <c r="F238" s="3" t="s">
        <v>867</v>
      </c>
      <c r="G238" s="77">
        <v>2660</v>
      </c>
      <c r="H238" s="5" t="s">
        <v>1</v>
      </c>
      <c r="I238" s="78">
        <f t="shared" si="144"/>
        <v>2660</v>
      </c>
      <c r="J238" s="110">
        <f t="shared" si="134"/>
        <v>75</v>
      </c>
      <c r="K238" s="4">
        <v>2.5</v>
      </c>
      <c r="L238" s="5" t="s">
        <v>1</v>
      </c>
      <c r="M238" s="80">
        <f t="shared" si="145"/>
        <v>2.5</v>
      </c>
      <c r="N238" s="78">
        <f t="shared" si="146"/>
        <v>187.5</v>
      </c>
      <c r="O238" s="111">
        <f t="shared" si="147"/>
        <v>2847.5</v>
      </c>
      <c r="P238" s="125">
        <v>3.13</v>
      </c>
      <c r="Q238" s="49">
        <v>3.75</v>
      </c>
      <c r="R238" s="173">
        <v>3.25</v>
      </c>
      <c r="S238" s="228">
        <v>4.0599999999999996</v>
      </c>
      <c r="T238" s="49">
        <v>4.88</v>
      </c>
      <c r="U238" s="138"/>
    </row>
    <row r="239" spans="1:21" x14ac:dyDescent="0.25">
      <c r="A239" s="31">
        <v>21</v>
      </c>
      <c r="B239" s="4" t="s">
        <v>1020</v>
      </c>
      <c r="C239" s="5">
        <v>1</v>
      </c>
      <c r="D239" s="7">
        <v>0</v>
      </c>
      <c r="E239" s="3">
        <f t="shared" si="143"/>
        <v>1</v>
      </c>
      <c r="F239" s="3" t="s">
        <v>867</v>
      </c>
      <c r="G239" s="77">
        <v>2660</v>
      </c>
      <c r="H239" s="5" t="s">
        <v>1</v>
      </c>
      <c r="I239" s="78">
        <f t="shared" si="144"/>
        <v>2660</v>
      </c>
      <c r="J239" s="110">
        <f t="shared" si="134"/>
        <v>75</v>
      </c>
      <c r="K239" s="4">
        <v>3.5</v>
      </c>
      <c r="L239" s="5" t="s">
        <v>1</v>
      </c>
      <c r="M239" s="80">
        <f t="shared" si="145"/>
        <v>3.5</v>
      </c>
      <c r="N239" s="78">
        <f t="shared" si="146"/>
        <v>262.5</v>
      </c>
      <c r="O239" s="111">
        <f t="shared" si="147"/>
        <v>2922.5</v>
      </c>
      <c r="P239" s="125">
        <v>4.38</v>
      </c>
      <c r="Q239" s="49">
        <v>5.25</v>
      </c>
      <c r="R239" s="173">
        <v>3.5</v>
      </c>
      <c r="S239" s="228">
        <v>4.38</v>
      </c>
      <c r="T239" s="49">
        <v>5.25</v>
      </c>
      <c r="U239" s="138"/>
    </row>
    <row r="240" spans="1:21" x14ac:dyDescent="0.25">
      <c r="A240" s="31">
        <v>22</v>
      </c>
      <c r="B240" s="4" t="s">
        <v>1021</v>
      </c>
      <c r="C240" s="5">
        <v>1</v>
      </c>
      <c r="D240" s="7">
        <v>0</v>
      </c>
      <c r="E240" s="3">
        <f t="shared" si="143"/>
        <v>1</v>
      </c>
      <c r="F240" s="3" t="s">
        <v>867</v>
      </c>
      <c r="G240" s="77">
        <v>3400</v>
      </c>
      <c r="H240" s="5" t="s">
        <v>1</v>
      </c>
      <c r="I240" s="78">
        <f t="shared" si="144"/>
        <v>3400</v>
      </c>
      <c r="J240" s="110">
        <f t="shared" si="134"/>
        <v>75</v>
      </c>
      <c r="K240" s="4">
        <v>3.5</v>
      </c>
      <c r="L240" s="5" t="s">
        <v>1</v>
      </c>
      <c r="M240" s="80">
        <f t="shared" si="145"/>
        <v>3.5</v>
      </c>
      <c r="N240" s="78">
        <f t="shared" si="146"/>
        <v>262.5</v>
      </c>
      <c r="O240" s="111">
        <f t="shared" si="147"/>
        <v>3662.5</v>
      </c>
      <c r="P240" s="125">
        <v>4.38</v>
      </c>
      <c r="Q240" s="49">
        <v>5.25</v>
      </c>
      <c r="R240" s="173">
        <v>3.5</v>
      </c>
      <c r="S240" s="228">
        <v>4.38</v>
      </c>
      <c r="T240" s="49">
        <v>5.25</v>
      </c>
      <c r="U240" s="138"/>
    </row>
    <row r="241" spans="1:21" x14ac:dyDescent="0.25">
      <c r="A241" s="31">
        <v>23</v>
      </c>
      <c r="B241" s="4" t="s">
        <v>1022</v>
      </c>
      <c r="C241" s="5">
        <v>1</v>
      </c>
      <c r="D241" s="7">
        <v>0</v>
      </c>
      <c r="E241" s="3">
        <f t="shared" si="143"/>
        <v>1</v>
      </c>
      <c r="F241" s="3" t="s">
        <v>867</v>
      </c>
      <c r="G241" s="77">
        <v>7250</v>
      </c>
      <c r="H241" s="5" t="s">
        <v>1</v>
      </c>
      <c r="I241" s="78">
        <f t="shared" si="144"/>
        <v>7250</v>
      </c>
      <c r="J241" s="110">
        <f t="shared" si="134"/>
        <v>75</v>
      </c>
      <c r="K241" s="4">
        <v>4.5</v>
      </c>
      <c r="L241" s="5" t="s">
        <v>1</v>
      </c>
      <c r="M241" s="80">
        <f t="shared" si="145"/>
        <v>4.5</v>
      </c>
      <c r="N241" s="78">
        <f t="shared" si="146"/>
        <v>337.5</v>
      </c>
      <c r="O241" s="111">
        <f t="shared" si="147"/>
        <v>7587.5</v>
      </c>
      <c r="P241" s="125">
        <v>5.63</v>
      </c>
      <c r="Q241" s="49">
        <v>6.75</v>
      </c>
      <c r="R241" s="173"/>
      <c r="S241" s="228"/>
      <c r="T241" s="49"/>
      <c r="U241" s="138"/>
    </row>
    <row r="242" spans="1:21" x14ac:dyDescent="0.25">
      <c r="A242" s="31">
        <v>24</v>
      </c>
      <c r="B242" s="4" t="s">
        <v>1023</v>
      </c>
      <c r="C242" s="5">
        <v>1</v>
      </c>
      <c r="D242" s="7">
        <v>0</v>
      </c>
      <c r="E242" s="3">
        <f t="shared" si="143"/>
        <v>1</v>
      </c>
      <c r="F242" s="3" t="s">
        <v>867</v>
      </c>
      <c r="G242" s="77">
        <v>8609</v>
      </c>
      <c r="H242" s="5" t="s">
        <v>1</v>
      </c>
      <c r="I242" s="78">
        <f t="shared" si="144"/>
        <v>8609</v>
      </c>
      <c r="J242" s="110">
        <f t="shared" si="134"/>
        <v>75</v>
      </c>
      <c r="K242" s="4">
        <v>4.5</v>
      </c>
      <c r="L242" s="5" t="s">
        <v>1</v>
      </c>
      <c r="M242" s="80">
        <f t="shared" si="145"/>
        <v>4.5</v>
      </c>
      <c r="N242" s="78">
        <f t="shared" si="146"/>
        <v>337.5</v>
      </c>
      <c r="O242" s="111">
        <f t="shared" si="147"/>
        <v>8946.5</v>
      </c>
      <c r="P242" s="125">
        <v>5.63</v>
      </c>
      <c r="Q242" s="49">
        <v>6.75</v>
      </c>
      <c r="R242" s="173"/>
      <c r="S242" s="228"/>
      <c r="T242" s="49"/>
      <c r="U242" s="138"/>
    </row>
    <row r="243" spans="1:21" x14ac:dyDescent="0.25">
      <c r="A243" s="31">
        <v>25</v>
      </c>
      <c r="B243" s="4" t="s">
        <v>1024</v>
      </c>
      <c r="C243" s="5">
        <v>1</v>
      </c>
      <c r="D243" s="7">
        <v>0</v>
      </c>
      <c r="E243" s="3">
        <f t="shared" ref="E243:E244" si="148">C243+(C243*D243)</f>
        <v>1</v>
      </c>
      <c r="F243" s="3" t="s">
        <v>867</v>
      </c>
      <c r="G243" s="77">
        <v>11580</v>
      </c>
      <c r="H243" s="5" t="s">
        <v>1</v>
      </c>
      <c r="I243" s="78">
        <f t="shared" ref="I243:I244" si="149">G243*E243</f>
        <v>11580</v>
      </c>
      <c r="J243" s="110">
        <f t="shared" si="134"/>
        <v>75</v>
      </c>
      <c r="K243" s="4">
        <v>5.5</v>
      </c>
      <c r="L243" s="5" t="s">
        <v>1</v>
      </c>
      <c r="M243" s="80">
        <f t="shared" ref="M243:M244" si="150">K243*E243</f>
        <v>5.5</v>
      </c>
      <c r="N243" s="78">
        <f t="shared" ref="N243:N244" si="151">M243*J243</f>
        <v>412.5</v>
      </c>
      <c r="O243" s="111">
        <f t="shared" ref="O243:O244" si="152">N243+I243</f>
        <v>11992.5</v>
      </c>
      <c r="P243" s="125">
        <v>6.88</v>
      </c>
      <c r="Q243" s="49">
        <v>8.25</v>
      </c>
      <c r="R243" s="173"/>
      <c r="S243" s="228"/>
      <c r="T243" s="49"/>
      <c r="U243" s="138"/>
    </row>
    <row r="244" spans="1:21" x14ac:dyDescent="0.25">
      <c r="A244" s="31">
        <v>26</v>
      </c>
      <c r="B244" s="4" t="s">
        <v>1025</v>
      </c>
      <c r="C244" s="5">
        <v>1</v>
      </c>
      <c r="D244" s="7">
        <v>0</v>
      </c>
      <c r="E244" s="3">
        <f t="shared" si="148"/>
        <v>1</v>
      </c>
      <c r="F244" s="3" t="s">
        <v>867</v>
      </c>
      <c r="G244" s="77">
        <v>12158</v>
      </c>
      <c r="H244" s="5" t="s">
        <v>1</v>
      </c>
      <c r="I244" s="78">
        <f t="shared" si="149"/>
        <v>12158</v>
      </c>
      <c r="J244" s="110">
        <f t="shared" si="134"/>
        <v>75</v>
      </c>
      <c r="K244" s="4">
        <v>5.5</v>
      </c>
      <c r="L244" s="5" t="s">
        <v>1</v>
      </c>
      <c r="M244" s="80">
        <f t="shared" si="150"/>
        <v>5.5</v>
      </c>
      <c r="N244" s="78">
        <f t="shared" si="151"/>
        <v>412.5</v>
      </c>
      <c r="O244" s="111">
        <f t="shared" si="152"/>
        <v>12570.5</v>
      </c>
      <c r="P244" s="125">
        <v>6.88</v>
      </c>
      <c r="Q244" s="49">
        <v>8.25</v>
      </c>
      <c r="R244" s="173"/>
      <c r="S244" s="228"/>
      <c r="T244" s="49"/>
      <c r="U244" s="138"/>
    </row>
    <row r="245" spans="1:21" x14ac:dyDescent="0.25">
      <c r="A245" s="31">
        <v>27</v>
      </c>
      <c r="B245" s="4" t="s">
        <v>1026</v>
      </c>
      <c r="C245" s="5">
        <v>1</v>
      </c>
      <c r="D245" s="7">
        <v>0</v>
      </c>
      <c r="E245" s="3">
        <f t="shared" ref="E245" si="153">C245+(C245*D245)</f>
        <v>1</v>
      </c>
      <c r="F245" s="3" t="s">
        <v>867</v>
      </c>
      <c r="G245" s="77">
        <v>14350</v>
      </c>
      <c r="H245" s="5" t="s">
        <v>1</v>
      </c>
      <c r="I245" s="78">
        <f t="shared" ref="I245" si="154">G245*E245</f>
        <v>14350</v>
      </c>
      <c r="J245" s="110">
        <f t="shared" si="134"/>
        <v>75</v>
      </c>
      <c r="K245" s="4">
        <v>7</v>
      </c>
      <c r="L245" s="5" t="s">
        <v>1</v>
      </c>
      <c r="M245" s="80">
        <f t="shared" ref="M245" si="155">K245*E245</f>
        <v>7</v>
      </c>
      <c r="N245" s="78">
        <f t="shared" ref="N245" si="156">M245*J245</f>
        <v>525</v>
      </c>
      <c r="O245" s="111">
        <f t="shared" ref="O245" si="157">N245+I245</f>
        <v>14875</v>
      </c>
      <c r="P245" s="125">
        <v>8.75</v>
      </c>
      <c r="Q245" s="49">
        <v>10.5</v>
      </c>
      <c r="R245" s="173"/>
      <c r="S245" s="228"/>
      <c r="T245" s="49"/>
      <c r="U245" s="138"/>
    </row>
    <row r="246" spans="1:21" ht="15.75" thickBot="1" x14ac:dyDescent="0.3">
      <c r="A246" s="31"/>
      <c r="B246" s="4"/>
      <c r="C246" s="5"/>
      <c r="D246" s="5"/>
      <c r="E246" s="5"/>
      <c r="F246" s="5"/>
      <c r="G246" s="9"/>
      <c r="H246" s="5"/>
      <c r="I246" s="9"/>
      <c r="J246" s="4"/>
      <c r="K246" s="15"/>
      <c r="L246" s="5"/>
      <c r="M246" s="15"/>
      <c r="N246" s="4"/>
      <c r="O246" s="42"/>
      <c r="P246" s="125"/>
      <c r="Q246" s="49"/>
      <c r="R246" s="173"/>
      <c r="S246" s="228"/>
      <c r="T246" s="49"/>
      <c r="U246" s="138"/>
    </row>
    <row r="247" spans="1:21" ht="15.75" hidden="1" thickBot="1" x14ac:dyDescent="0.3">
      <c r="A247" s="31"/>
      <c r="B247" s="26" t="s">
        <v>957</v>
      </c>
      <c r="C247" s="5"/>
      <c r="D247" s="5"/>
      <c r="E247" s="5"/>
      <c r="F247" s="5"/>
      <c r="G247" s="9"/>
      <c r="H247" s="5"/>
      <c r="I247" s="78"/>
      <c r="J247" s="4"/>
      <c r="K247" s="4"/>
      <c r="L247" s="5"/>
      <c r="M247" s="80"/>
      <c r="N247" s="78"/>
      <c r="O247" s="111"/>
      <c r="P247" s="125"/>
      <c r="Q247" s="49"/>
      <c r="R247" s="173"/>
      <c r="S247" s="228"/>
      <c r="T247" s="49"/>
      <c r="U247" s="138"/>
    </row>
    <row r="248" spans="1:21" ht="15.75" hidden="1" thickBot="1" x14ac:dyDescent="0.3">
      <c r="A248" s="31"/>
      <c r="B248" s="4"/>
      <c r="C248" s="5"/>
      <c r="D248" s="5"/>
      <c r="E248" s="5"/>
      <c r="F248" s="5"/>
      <c r="G248" s="77"/>
      <c r="H248" s="5"/>
      <c r="I248" s="78"/>
      <c r="J248" s="4"/>
      <c r="K248" s="4"/>
      <c r="L248" s="5"/>
      <c r="M248" s="80"/>
      <c r="N248" s="78"/>
      <c r="O248" s="111"/>
      <c r="P248" s="125"/>
      <c r="Q248" s="49"/>
      <c r="R248" s="173"/>
      <c r="S248" s="228"/>
      <c r="T248" s="49"/>
      <c r="U248" s="138"/>
    </row>
    <row r="249" spans="1:21" ht="15.75" hidden="1" thickBot="1" x14ac:dyDescent="0.3">
      <c r="A249" s="31"/>
      <c r="B249" s="26" t="s">
        <v>956</v>
      </c>
      <c r="C249" s="5"/>
      <c r="D249" s="5"/>
      <c r="E249" s="5"/>
      <c r="F249" s="5"/>
      <c r="G249" s="77"/>
      <c r="H249" s="5"/>
      <c r="I249" s="78"/>
      <c r="J249" s="4"/>
      <c r="K249" s="4"/>
      <c r="L249" s="5"/>
      <c r="M249" s="80"/>
      <c r="N249" s="78"/>
      <c r="O249" s="111"/>
      <c r="P249" s="125"/>
      <c r="Q249" s="49"/>
      <c r="R249" s="173"/>
      <c r="S249" s="228"/>
      <c r="T249" s="49"/>
      <c r="U249" s="138"/>
    </row>
    <row r="250" spans="1:21" ht="15.75" hidden="1" thickBot="1" x14ac:dyDescent="0.3">
      <c r="A250" s="31">
        <v>1</v>
      </c>
      <c r="B250" s="4" t="s">
        <v>873</v>
      </c>
      <c r="C250" s="5">
        <v>1</v>
      </c>
      <c r="D250" s="7">
        <v>0</v>
      </c>
      <c r="E250" s="3">
        <f t="shared" ref="E250" si="158">C250+(C250*D250)</f>
        <v>1</v>
      </c>
      <c r="F250" s="3"/>
      <c r="G250" s="77"/>
      <c r="H250" s="5" t="s">
        <v>1</v>
      </c>
      <c r="I250" s="78">
        <f t="shared" ref="I250" si="159">G250*E250</f>
        <v>0</v>
      </c>
      <c r="J250" s="9"/>
      <c r="K250" s="4">
        <v>1.1000000000000001</v>
      </c>
      <c r="L250" s="5" t="s">
        <v>1</v>
      </c>
      <c r="M250" s="80">
        <f t="shared" ref="M250" si="160">K250*E250</f>
        <v>1.1000000000000001</v>
      </c>
      <c r="N250" s="78">
        <f t="shared" ref="N250" si="161">M250*J250</f>
        <v>0</v>
      </c>
      <c r="O250" s="111">
        <f t="shared" ref="O250" si="162">N250+I250</f>
        <v>0</v>
      </c>
      <c r="P250" s="125"/>
      <c r="Q250" s="49"/>
      <c r="R250" s="173"/>
      <c r="S250" s="228"/>
      <c r="T250" s="49"/>
      <c r="U250" s="138"/>
    </row>
    <row r="251" spans="1:21" ht="15.75" hidden="1" thickBot="1" x14ac:dyDescent="0.3">
      <c r="A251" s="31">
        <v>2</v>
      </c>
      <c r="B251" s="4" t="s">
        <v>874</v>
      </c>
      <c r="C251" s="5">
        <v>1</v>
      </c>
      <c r="D251" s="7">
        <v>0</v>
      </c>
      <c r="E251" s="3">
        <f t="shared" ref="E251:E256" si="163">C251+(C251*D251)</f>
        <v>1</v>
      </c>
      <c r="F251" s="3"/>
      <c r="G251" s="77"/>
      <c r="H251" s="5" t="s">
        <v>1</v>
      </c>
      <c r="I251" s="78">
        <f t="shared" ref="I251:I256" si="164">G251*E251</f>
        <v>0</v>
      </c>
      <c r="J251" s="9"/>
      <c r="K251" s="4">
        <v>1.1000000000000001</v>
      </c>
      <c r="L251" s="5" t="s">
        <v>1</v>
      </c>
      <c r="M251" s="80">
        <f t="shared" ref="M251:M258" si="165">K251*E251</f>
        <v>1.1000000000000001</v>
      </c>
      <c r="N251" s="78">
        <f t="shared" ref="N251:N256" si="166">M251*J251</f>
        <v>0</v>
      </c>
      <c r="O251" s="111">
        <f t="shared" ref="O251:O256" si="167">N251+I251</f>
        <v>0</v>
      </c>
      <c r="P251" s="125"/>
      <c r="Q251" s="49"/>
      <c r="R251" s="173"/>
      <c r="S251" s="228"/>
      <c r="T251" s="49"/>
      <c r="U251" s="138"/>
    </row>
    <row r="252" spans="1:21" ht="15.75" hidden="1" thickBot="1" x14ac:dyDescent="0.3">
      <c r="A252" s="31">
        <v>3</v>
      </c>
      <c r="B252" s="4" t="s">
        <v>875</v>
      </c>
      <c r="C252" s="5">
        <v>1</v>
      </c>
      <c r="D252" s="7">
        <v>0</v>
      </c>
      <c r="E252" s="3">
        <f t="shared" si="163"/>
        <v>1</v>
      </c>
      <c r="F252" s="3"/>
      <c r="G252" s="77"/>
      <c r="H252" s="5" t="s">
        <v>1</v>
      </c>
      <c r="I252" s="78">
        <f t="shared" si="164"/>
        <v>0</v>
      </c>
      <c r="J252" s="9"/>
      <c r="K252" s="4">
        <v>1.1000000000000001</v>
      </c>
      <c r="L252" s="5" t="s">
        <v>1</v>
      </c>
      <c r="M252" s="80">
        <f t="shared" si="165"/>
        <v>1.1000000000000001</v>
      </c>
      <c r="N252" s="78">
        <f t="shared" si="166"/>
        <v>0</v>
      </c>
      <c r="O252" s="111">
        <f t="shared" si="167"/>
        <v>0</v>
      </c>
      <c r="P252" s="125"/>
      <c r="Q252" s="49"/>
      <c r="R252" s="173"/>
      <c r="S252" s="228"/>
      <c r="T252" s="49"/>
      <c r="U252" s="138"/>
    </row>
    <row r="253" spans="1:21" ht="15.75" hidden="1" thickBot="1" x14ac:dyDescent="0.3">
      <c r="A253" s="31">
        <v>4</v>
      </c>
      <c r="B253" s="4" t="s">
        <v>876</v>
      </c>
      <c r="C253" s="5">
        <v>1</v>
      </c>
      <c r="D253" s="7">
        <v>0</v>
      </c>
      <c r="E253" s="3">
        <f t="shared" si="163"/>
        <v>1</v>
      </c>
      <c r="F253" s="3"/>
      <c r="G253" s="77"/>
      <c r="H253" s="5" t="s">
        <v>1</v>
      </c>
      <c r="I253" s="78">
        <f t="shared" si="164"/>
        <v>0</v>
      </c>
      <c r="J253" s="9"/>
      <c r="K253" s="4">
        <v>1.1000000000000001</v>
      </c>
      <c r="L253" s="5" t="s">
        <v>1</v>
      </c>
      <c r="M253" s="80">
        <f t="shared" si="165"/>
        <v>1.1000000000000001</v>
      </c>
      <c r="N253" s="78">
        <f t="shared" si="166"/>
        <v>0</v>
      </c>
      <c r="O253" s="111">
        <f t="shared" si="167"/>
        <v>0</v>
      </c>
      <c r="P253" s="125"/>
      <c r="Q253" s="49"/>
      <c r="R253" s="173"/>
      <c r="S253" s="228"/>
      <c r="T253" s="49"/>
      <c r="U253" s="138"/>
    </row>
    <row r="254" spans="1:21" ht="15.75" hidden="1" thickBot="1" x14ac:dyDescent="0.3">
      <c r="A254" s="31">
        <v>5</v>
      </c>
      <c r="B254" s="4" t="s">
        <v>877</v>
      </c>
      <c r="C254" s="5">
        <v>1</v>
      </c>
      <c r="D254" s="7">
        <v>0</v>
      </c>
      <c r="E254" s="3">
        <f t="shared" si="163"/>
        <v>1</v>
      </c>
      <c r="F254" s="3"/>
      <c r="G254" s="77"/>
      <c r="H254" s="5" t="s">
        <v>1</v>
      </c>
      <c r="I254" s="78">
        <f t="shared" si="164"/>
        <v>0</v>
      </c>
      <c r="J254" s="9"/>
      <c r="K254" s="4">
        <v>1.1000000000000001</v>
      </c>
      <c r="L254" s="5" t="s">
        <v>1</v>
      </c>
      <c r="M254" s="80">
        <f t="shared" si="165"/>
        <v>1.1000000000000001</v>
      </c>
      <c r="N254" s="78">
        <f t="shared" si="166"/>
        <v>0</v>
      </c>
      <c r="O254" s="111">
        <f t="shared" si="167"/>
        <v>0</v>
      </c>
      <c r="P254" s="125"/>
      <c r="Q254" s="49"/>
      <c r="R254" s="173"/>
      <c r="S254" s="228"/>
      <c r="T254" s="49"/>
      <c r="U254" s="138"/>
    </row>
    <row r="255" spans="1:21" ht="15.75" hidden="1" thickBot="1" x14ac:dyDescent="0.3">
      <c r="A255" s="31">
        <v>6</v>
      </c>
      <c r="B255" s="4" t="s">
        <v>878</v>
      </c>
      <c r="C255" s="5">
        <v>1</v>
      </c>
      <c r="D255" s="7">
        <v>0</v>
      </c>
      <c r="E255" s="3">
        <f t="shared" si="163"/>
        <v>1</v>
      </c>
      <c r="F255" s="3"/>
      <c r="G255" s="77"/>
      <c r="H255" s="5" t="s">
        <v>1</v>
      </c>
      <c r="I255" s="78">
        <f t="shared" si="164"/>
        <v>0</v>
      </c>
      <c r="J255" s="9"/>
      <c r="K255" s="4">
        <v>1.1000000000000001</v>
      </c>
      <c r="L255" s="5" t="s">
        <v>1</v>
      </c>
      <c r="M255" s="80">
        <f t="shared" si="165"/>
        <v>1.1000000000000001</v>
      </c>
      <c r="N255" s="78">
        <f t="shared" si="166"/>
        <v>0</v>
      </c>
      <c r="O255" s="111">
        <f t="shared" si="167"/>
        <v>0</v>
      </c>
      <c r="P255" s="125"/>
      <c r="Q255" s="49"/>
      <c r="R255" s="173"/>
      <c r="S255" s="228"/>
      <c r="T255" s="49"/>
      <c r="U255" s="138"/>
    </row>
    <row r="256" spans="1:21" ht="15.75" hidden="1" thickBot="1" x14ac:dyDescent="0.3">
      <c r="A256" s="31">
        <v>7</v>
      </c>
      <c r="B256" s="4" t="s">
        <v>879</v>
      </c>
      <c r="C256" s="5">
        <v>1</v>
      </c>
      <c r="D256" s="7">
        <v>0</v>
      </c>
      <c r="E256" s="3">
        <f t="shared" si="163"/>
        <v>1</v>
      </c>
      <c r="F256" s="3"/>
      <c r="G256" s="77"/>
      <c r="H256" s="5" t="s">
        <v>1</v>
      </c>
      <c r="I256" s="78">
        <f t="shared" si="164"/>
        <v>0</v>
      </c>
      <c r="J256" s="9"/>
      <c r="K256" s="4">
        <v>1.1000000000000001</v>
      </c>
      <c r="L256" s="5" t="s">
        <v>1</v>
      </c>
      <c r="M256" s="80">
        <f t="shared" si="165"/>
        <v>1.1000000000000001</v>
      </c>
      <c r="N256" s="78">
        <f t="shared" si="166"/>
        <v>0</v>
      </c>
      <c r="O256" s="111">
        <f t="shared" si="167"/>
        <v>0</v>
      </c>
      <c r="P256" s="125"/>
      <c r="Q256" s="49"/>
      <c r="R256" s="173"/>
      <c r="S256" s="228"/>
      <c r="T256" s="49"/>
      <c r="U256" s="138"/>
    </row>
    <row r="257" spans="1:21" ht="15.75" hidden="1" thickBot="1" x14ac:dyDescent="0.3">
      <c r="A257" s="31">
        <v>8</v>
      </c>
      <c r="B257" s="4" t="s">
        <v>880</v>
      </c>
      <c r="C257" s="5">
        <v>1</v>
      </c>
      <c r="D257" s="7">
        <v>0</v>
      </c>
      <c r="E257" s="3">
        <f t="shared" ref="E257:E258" si="168">C257+(C257*D257)</f>
        <v>1</v>
      </c>
      <c r="F257" s="3"/>
      <c r="G257" s="77"/>
      <c r="H257" s="5" t="s">
        <v>1</v>
      </c>
      <c r="I257" s="78">
        <f t="shared" ref="I257:I258" si="169">G257*E257</f>
        <v>0</v>
      </c>
      <c r="J257" s="9"/>
      <c r="K257" s="4">
        <v>1.1000000000000001</v>
      </c>
      <c r="L257" s="5" t="s">
        <v>1</v>
      </c>
      <c r="M257" s="80">
        <f t="shared" si="165"/>
        <v>1.1000000000000001</v>
      </c>
      <c r="N257" s="78">
        <f t="shared" ref="N257:N258" si="170">M257*J257</f>
        <v>0</v>
      </c>
      <c r="O257" s="111">
        <f t="shared" ref="O257:O258" si="171">N257+I257</f>
        <v>0</v>
      </c>
      <c r="P257" s="125"/>
      <c r="Q257" s="49"/>
      <c r="R257" s="173"/>
      <c r="S257" s="228"/>
      <c r="T257" s="49"/>
      <c r="U257" s="138"/>
    </row>
    <row r="258" spans="1:21" ht="15.75" hidden="1" thickBot="1" x14ac:dyDescent="0.3">
      <c r="A258" s="31">
        <v>9</v>
      </c>
      <c r="B258" s="4" t="s">
        <v>881</v>
      </c>
      <c r="C258" s="5">
        <v>1</v>
      </c>
      <c r="D258" s="7">
        <v>0</v>
      </c>
      <c r="E258" s="3">
        <f t="shared" si="168"/>
        <v>1</v>
      </c>
      <c r="F258" s="3"/>
      <c r="G258" s="77"/>
      <c r="H258" s="5" t="s">
        <v>1</v>
      </c>
      <c r="I258" s="78">
        <f t="shared" si="169"/>
        <v>0</v>
      </c>
      <c r="J258" s="9"/>
      <c r="K258" s="4">
        <v>1.1000000000000001</v>
      </c>
      <c r="L258" s="5" t="s">
        <v>1</v>
      </c>
      <c r="M258" s="80">
        <f t="shared" si="165"/>
        <v>1.1000000000000001</v>
      </c>
      <c r="N258" s="78">
        <f t="shared" si="170"/>
        <v>0</v>
      </c>
      <c r="O258" s="111">
        <f t="shared" si="171"/>
        <v>0</v>
      </c>
      <c r="P258" s="125"/>
      <c r="Q258" s="49"/>
      <c r="R258" s="173"/>
      <c r="S258" s="228"/>
      <c r="T258" s="49"/>
      <c r="U258" s="138"/>
    </row>
    <row r="259" spans="1:21" ht="15.75" hidden="1" thickBot="1" x14ac:dyDescent="0.3">
      <c r="A259" s="31"/>
      <c r="B259" s="4"/>
      <c r="C259" s="5"/>
      <c r="D259" s="7"/>
      <c r="E259" s="3"/>
      <c r="F259" s="3"/>
      <c r="G259" s="77"/>
      <c r="H259" s="5"/>
      <c r="I259" s="78"/>
      <c r="J259" s="9"/>
      <c r="K259" s="4"/>
      <c r="L259" s="5"/>
      <c r="M259" s="80"/>
      <c r="N259" s="78"/>
      <c r="O259" s="111"/>
      <c r="P259" s="125"/>
      <c r="Q259" s="49"/>
      <c r="R259" s="173"/>
      <c r="S259" s="228"/>
      <c r="T259" s="49"/>
      <c r="U259" s="138"/>
    </row>
    <row r="260" spans="1:21" ht="15.75" hidden="1" thickBot="1" x14ac:dyDescent="0.3">
      <c r="A260" s="31"/>
      <c r="B260" s="26" t="s">
        <v>958</v>
      </c>
      <c r="C260" s="5"/>
      <c r="D260" s="7"/>
      <c r="E260" s="3"/>
      <c r="F260" s="3"/>
      <c r="G260" s="77"/>
      <c r="H260" s="5"/>
      <c r="I260" s="78"/>
      <c r="J260" s="9"/>
      <c r="K260" s="4"/>
      <c r="L260" s="5"/>
      <c r="M260" s="80"/>
      <c r="N260" s="78"/>
      <c r="O260" s="111"/>
      <c r="P260" s="125"/>
      <c r="Q260" s="49"/>
      <c r="R260" s="173"/>
      <c r="S260" s="228"/>
      <c r="T260" s="49"/>
      <c r="U260" s="138"/>
    </row>
    <row r="261" spans="1:21" ht="15.75" hidden="1" thickBot="1" x14ac:dyDescent="0.3">
      <c r="A261" s="31">
        <v>1</v>
      </c>
      <c r="B261" s="4" t="s">
        <v>882</v>
      </c>
      <c r="C261" s="5">
        <v>1</v>
      </c>
      <c r="D261" s="7">
        <v>0</v>
      </c>
      <c r="E261" s="3">
        <f t="shared" ref="E261:E280" si="172">C261+(C261*D261)</f>
        <v>1</v>
      </c>
      <c r="F261" s="3"/>
      <c r="G261" s="77"/>
      <c r="H261" s="5" t="s">
        <v>1</v>
      </c>
      <c r="I261" s="78">
        <f t="shared" ref="I261:I280" si="173">G261*E261</f>
        <v>0</v>
      </c>
      <c r="J261" s="9"/>
      <c r="K261" s="4">
        <v>1.4</v>
      </c>
      <c r="L261" s="5" t="s">
        <v>1</v>
      </c>
      <c r="M261" s="80">
        <f t="shared" ref="M261:M280" si="174">K261*E261</f>
        <v>1.4</v>
      </c>
      <c r="N261" s="78">
        <f t="shared" ref="N261:N280" si="175">M261*J261</f>
        <v>0</v>
      </c>
      <c r="O261" s="111">
        <f t="shared" ref="O261:O280" si="176">N261+I261</f>
        <v>0</v>
      </c>
      <c r="P261" s="125"/>
      <c r="Q261" s="49"/>
      <c r="R261" s="173"/>
      <c r="S261" s="228"/>
      <c r="T261" s="49"/>
      <c r="U261" s="138"/>
    </row>
    <row r="262" spans="1:21" ht="15.75" hidden="1" thickBot="1" x14ac:dyDescent="0.3">
      <c r="A262" s="31">
        <v>2</v>
      </c>
      <c r="B262" s="4" t="s">
        <v>883</v>
      </c>
      <c r="C262" s="5">
        <v>1</v>
      </c>
      <c r="D262" s="7">
        <v>0</v>
      </c>
      <c r="E262" s="3">
        <f t="shared" si="172"/>
        <v>1</v>
      </c>
      <c r="F262" s="3"/>
      <c r="G262" s="77"/>
      <c r="H262" s="5" t="s">
        <v>1</v>
      </c>
      <c r="I262" s="78">
        <f t="shared" si="173"/>
        <v>0</v>
      </c>
      <c r="J262" s="9"/>
      <c r="K262" s="4">
        <v>1.4</v>
      </c>
      <c r="L262" s="5" t="s">
        <v>1</v>
      </c>
      <c r="M262" s="80">
        <f t="shared" si="174"/>
        <v>1.4</v>
      </c>
      <c r="N262" s="78">
        <f t="shared" si="175"/>
        <v>0</v>
      </c>
      <c r="O262" s="111">
        <f t="shared" si="176"/>
        <v>0</v>
      </c>
      <c r="P262" s="125"/>
      <c r="Q262" s="49"/>
      <c r="R262" s="173"/>
      <c r="S262" s="228"/>
      <c r="T262" s="49"/>
      <c r="U262" s="138"/>
    </row>
    <row r="263" spans="1:21" ht="15.75" hidden="1" thickBot="1" x14ac:dyDescent="0.3">
      <c r="A263" s="31">
        <v>3</v>
      </c>
      <c r="B263" s="4" t="s">
        <v>884</v>
      </c>
      <c r="C263" s="5">
        <v>1</v>
      </c>
      <c r="D263" s="7">
        <v>0</v>
      </c>
      <c r="E263" s="3">
        <f t="shared" si="172"/>
        <v>1</v>
      </c>
      <c r="F263" s="3"/>
      <c r="G263" s="77"/>
      <c r="H263" s="5" t="s">
        <v>1</v>
      </c>
      <c r="I263" s="78">
        <f t="shared" si="173"/>
        <v>0</v>
      </c>
      <c r="J263" s="9"/>
      <c r="K263" s="4">
        <v>1.4</v>
      </c>
      <c r="L263" s="5" t="s">
        <v>1</v>
      </c>
      <c r="M263" s="80">
        <f t="shared" si="174"/>
        <v>1.4</v>
      </c>
      <c r="N263" s="78">
        <f t="shared" si="175"/>
        <v>0</v>
      </c>
      <c r="O263" s="111">
        <f t="shared" si="176"/>
        <v>0</v>
      </c>
      <c r="P263" s="125"/>
      <c r="Q263" s="49"/>
      <c r="R263" s="173"/>
      <c r="S263" s="228"/>
      <c r="T263" s="49"/>
      <c r="U263" s="138"/>
    </row>
    <row r="264" spans="1:21" ht="15.75" hidden="1" thickBot="1" x14ac:dyDescent="0.3">
      <c r="A264" s="31">
        <v>4</v>
      </c>
      <c r="B264" s="4" t="s">
        <v>885</v>
      </c>
      <c r="C264" s="5">
        <v>1</v>
      </c>
      <c r="D264" s="7">
        <v>0</v>
      </c>
      <c r="E264" s="3">
        <f t="shared" si="172"/>
        <v>1</v>
      </c>
      <c r="F264" s="3"/>
      <c r="G264" s="77"/>
      <c r="H264" s="5" t="s">
        <v>1</v>
      </c>
      <c r="I264" s="78">
        <f t="shared" si="173"/>
        <v>0</v>
      </c>
      <c r="J264" s="9"/>
      <c r="K264" s="4">
        <v>1.4</v>
      </c>
      <c r="L264" s="5" t="s">
        <v>1</v>
      </c>
      <c r="M264" s="80">
        <f t="shared" si="174"/>
        <v>1.4</v>
      </c>
      <c r="N264" s="78">
        <f t="shared" si="175"/>
        <v>0</v>
      </c>
      <c r="O264" s="111">
        <f t="shared" si="176"/>
        <v>0</v>
      </c>
      <c r="P264" s="125"/>
      <c r="Q264" s="49"/>
      <c r="R264" s="173"/>
      <c r="S264" s="228"/>
      <c r="T264" s="49"/>
      <c r="U264" s="138"/>
    </row>
    <row r="265" spans="1:21" ht="15.75" hidden="1" thickBot="1" x14ac:dyDescent="0.3">
      <c r="A265" s="31">
        <v>5</v>
      </c>
      <c r="B265" s="4" t="s">
        <v>886</v>
      </c>
      <c r="C265" s="5">
        <v>1</v>
      </c>
      <c r="D265" s="7">
        <v>0</v>
      </c>
      <c r="E265" s="3">
        <f t="shared" si="172"/>
        <v>1</v>
      </c>
      <c r="F265" s="3"/>
      <c r="G265" s="77"/>
      <c r="H265" s="5" t="s">
        <v>1</v>
      </c>
      <c r="I265" s="78">
        <f t="shared" si="173"/>
        <v>0</v>
      </c>
      <c r="J265" s="9"/>
      <c r="K265" s="4">
        <v>1.4</v>
      </c>
      <c r="L265" s="5" t="s">
        <v>1</v>
      </c>
      <c r="M265" s="80">
        <f t="shared" si="174"/>
        <v>1.4</v>
      </c>
      <c r="N265" s="78">
        <f t="shared" si="175"/>
        <v>0</v>
      </c>
      <c r="O265" s="111">
        <f t="shared" si="176"/>
        <v>0</v>
      </c>
      <c r="P265" s="125"/>
      <c r="Q265" s="49"/>
      <c r="R265" s="173"/>
      <c r="S265" s="228"/>
      <c r="T265" s="49"/>
      <c r="U265" s="138"/>
    </row>
    <row r="266" spans="1:21" ht="15.75" hidden="1" thickBot="1" x14ac:dyDescent="0.3">
      <c r="A266" s="31">
        <v>6</v>
      </c>
      <c r="B266" s="4" t="s">
        <v>887</v>
      </c>
      <c r="C266" s="5">
        <v>1</v>
      </c>
      <c r="D266" s="7">
        <v>0</v>
      </c>
      <c r="E266" s="3">
        <f t="shared" si="172"/>
        <v>1</v>
      </c>
      <c r="F266" s="3"/>
      <c r="G266" s="77"/>
      <c r="H266" s="5" t="s">
        <v>1</v>
      </c>
      <c r="I266" s="78">
        <f t="shared" si="173"/>
        <v>0</v>
      </c>
      <c r="J266" s="9"/>
      <c r="K266" s="4">
        <v>1.4</v>
      </c>
      <c r="L266" s="5" t="s">
        <v>1</v>
      </c>
      <c r="M266" s="80">
        <f t="shared" si="174"/>
        <v>1.4</v>
      </c>
      <c r="N266" s="78">
        <f t="shared" si="175"/>
        <v>0</v>
      </c>
      <c r="O266" s="111">
        <f t="shared" si="176"/>
        <v>0</v>
      </c>
      <c r="P266" s="125"/>
      <c r="Q266" s="49"/>
      <c r="R266" s="173"/>
      <c r="S266" s="228"/>
      <c r="T266" s="49"/>
      <c r="U266" s="138"/>
    </row>
    <row r="267" spans="1:21" ht="15.75" hidden="1" thickBot="1" x14ac:dyDescent="0.3">
      <c r="A267" s="31">
        <v>7</v>
      </c>
      <c r="B267" s="4" t="s">
        <v>888</v>
      </c>
      <c r="C267" s="5">
        <v>1</v>
      </c>
      <c r="D267" s="7">
        <v>0</v>
      </c>
      <c r="E267" s="3">
        <f t="shared" si="172"/>
        <v>1</v>
      </c>
      <c r="F267" s="3"/>
      <c r="G267" s="77"/>
      <c r="H267" s="5" t="s">
        <v>1</v>
      </c>
      <c r="I267" s="78">
        <f t="shared" si="173"/>
        <v>0</v>
      </c>
      <c r="J267" s="9"/>
      <c r="K267" s="4">
        <v>1.4</v>
      </c>
      <c r="L267" s="5" t="s">
        <v>1</v>
      </c>
      <c r="M267" s="80">
        <f t="shared" si="174"/>
        <v>1.4</v>
      </c>
      <c r="N267" s="78">
        <f t="shared" si="175"/>
        <v>0</v>
      </c>
      <c r="O267" s="111">
        <f t="shared" si="176"/>
        <v>0</v>
      </c>
      <c r="P267" s="125"/>
      <c r="Q267" s="49"/>
      <c r="R267" s="173"/>
      <c r="S267" s="228"/>
      <c r="T267" s="49"/>
      <c r="U267" s="138"/>
    </row>
    <row r="268" spans="1:21" ht="15.75" hidden="1" thickBot="1" x14ac:dyDescent="0.3">
      <c r="A268" s="31">
        <v>8</v>
      </c>
      <c r="B268" s="4" t="s">
        <v>889</v>
      </c>
      <c r="C268" s="5">
        <v>1</v>
      </c>
      <c r="D268" s="7">
        <v>0</v>
      </c>
      <c r="E268" s="3">
        <f t="shared" si="172"/>
        <v>1</v>
      </c>
      <c r="F268" s="3"/>
      <c r="G268" s="77"/>
      <c r="H268" s="5" t="s">
        <v>1</v>
      </c>
      <c r="I268" s="78">
        <f t="shared" si="173"/>
        <v>0</v>
      </c>
      <c r="J268" s="9"/>
      <c r="K268" s="4">
        <v>1.4</v>
      </c>
      <c r="L268" s="5" t="s">
        <v>1</v>
      </c>
      <c r="M268" s="80">
        <f t="shared" si="174"/>
        <v>1.4</v>
      </c>
      <c r="N268" s="78">
        <f t="shared" si="175"/>
        <v>0</v>
      </c>
      <c r="O268" s="111">
        <f t="shared" si="176"/>
        <v>0</v>
      </c>
      <c r="P268" s="125"/>
      <c r="Q268" s="49"/>
      <c r="R268" s="173"/>
      <c r="S268" s="228"/>
      <c r="T268" s="49"/>
      <c r="U268" s="138"/>
    </row>
    <row r="269" spans="1:21" ht="15.75" hidden="1" thickBot="1" x14ac:dyDescent="0.3">
      <c r="A269" s="31">
        <v>9</v>
      </c>
      <c r="B269" s="4" t="s">
        <v>890</v>
      </c>
      <c r="C269" s="5">
        <v>1</v>
      </c>
      <c r="D269" s="7">
        <v>0</v>
      </c>
      <c r="E269" s="3">
        <f t="shared" si="172"/>
        <v>1</v>
      </c>
      <c r="F269" s="3"/>
      <c r="G269" s="77"/>
      <c r="H269" s="5" t="s">
        <v>1</v>
      </c>
      <c r="I269" s="78">
        <f t="shared" si="173"/>
        <v>0</v>
      </c>
      <c r="J269" s="9"/>
      <c r="K269" s="4">
        <v>1.4</v>
      </c>
      <c r="L269" s="5" t="s">
        <v>1</v>
      </c>
      <c r="M269" s="80">
        <f t="shared" si="174"/>
        <v>1.4</v>
      </c>
      <c r="N269" s="78">
        <f t="shared" si="175"/>
        <v>0</v>
      </c>
      <c r="O269" s="111">
        <f t="shared" si="176"/>
        <v>0</v>
      </c>
      <c r="P269" s="125"/>
      <c r="Q269" s="49"/>
      <c r="R269" s="173"/>
      <c r="S269" s="228"/>
      <c r="T269" s="49"/>
      <c r="U269" s="138"/>
    </row>
    <row r="270" spans="1:21" ht="15.75" hidden="1" thickBot="1" x14ac:dyDescent="0.3">
      <c r="A270" s="31">
        <v>10</v>
      </c>
      <c r="B270" s="4" t="s">
        <v>891</v>
      </c>
      <c r="C270" s="5">
        <v>1</v>
      </c>
      <c r="D270" s="7">
        <v>0</v>
      </c>
      <c r="E270" s="3">
        <f t="shared" si="172"/>
        <v>1</v>
      </c>
      <c r="F270" s="3"/>
      <c r="G270" s="77"/>
      <c r="H270" s="5" t="s">
        <v>1</v>
      </c>
      <c r="I270" s="78">
        <f t="shared" si="173"/>
        <v>0</v>
      </c>
      <c r="J270" s="9"/>
      <c r="K270" s="4">
        <v>1.8</v>
      </c>
      <c r="L270" s="5" t="s">
        <v>1</v>
      </c>
      <c r="M270" s="80">
        <f t="shared" si="174"/>
        <v>1.8</v>
      </c>
      <c r="N270" s="78">
        <f t="shared" si="175"/>
        <v>0</v>
      </c>
      <c r="O270" s="111">
        <f t="shared" si="176"/>
        <v>0</v>
      </c>
      <c r="P270" s="125"/>
      <c r="Q270" s="49"/>
      <c r="R270" s="173"/>
      <c r="S270" s="228"/>
      <c r="T270" s="49"/>
      <c r="U270" s="138"/>
    </row>
    <row r="271" spans="1:21" ht="15.75" hidden="1" thickBot="1" x14ac:dyDescent="0.3">
      <c r="A271" s="31">
        <v>11</v>
      </c>
      <c r="B271" s="4" t="s">
        <v>892</v>
      </c>
      <c r="C271" s="5">
        <v>1</v>
      </c>
      <c r="D271" s="7">
        <v>0</v>
      </c>
      <c r="E271" s="3">
        <f t="shared" si="172"/>
        <v>1</v>
      </c>
      <c r="F271" s="3"/>
      <c r="G271" s="77"/>
      <c r="H271" s="5" t="s">
        <v>1</v>
      </c>
      <c r="I271" s="78">
        <f t="shared" si="173"/>
        <v>0</v>
      </c>
      <c r="J271" s="9"/>
      <c r="K271" s="4">
        <v>1.8</v>
      </c>
      <c r="L271" s="5" t="s">
        <v>1</v>
      </c>
      <c r="M271" s="80">
        <f t="shared" si="174"/>
        <v>1.8</v>
      </c>
      <c r="N271" s="78">
        <f t="shared" si="175"/>
        <v>0</v>
      </c>
      <c r="O271" s="111">
        <f t="shared" si="176"/>
        <v>0</v>
      </c>
      <c r="P271" s="125"/>
      <c r="Q271" s="49"/>
      <c r="R271" s="173"/>
      <c r="S271" s="228"/>
      <c r="T271" s="49"/>
      <c r="U271" s="138"/>
    </row>
    <row r="272" spans="1:21" ht="15.75" hidden="1" thickBot="1" x14ac:dyDescent="0.3">
      <c r="A272" s="31">
        <v>12</v>
      </c>
      <c r="B272" s="4" t="s">
        <v>893</v>
      </c>
      <c r="C272" s="5">
        <v>1</v>
      </c>
      <c r="D272" s="7">
        <v>0</v>
      </c>
      <c r="E272" s="3">
        <f t="shared" si="172"/>
        <v>1</v>
      </c>
      <c r="F272" s="3"/>
      <c r="G272" s="77"/>
      <c r="H272" s="5" t="s">
        <v>1</v>
      </c>
      <c r="I272" s="78">
        <f t="shared" si="173"/>
        <v>0</v>
      </c>
      <c r="J272" s="9"/>
      <c r="K272" s="4">
        <v>1.8</v>
      </c>
      <c r="L272" s="5" t="s">
        <v>1</v>
      </c>
      <c r="M272" s="80">
        <f t="shared" si="174"/>
        <v>1.8</v>
      </c>
      <c r="N272" s="78">
        <f t="shared" si="175"/>
        <v>0</v>
      </c>
      <c r="O272" s="111">
        <f t="shared" si="176"/>
        <v>0</v>
      </c>
      <c r="P272" s="125"/>
      <c r="Q272" s="49"/>
      <c r="R272" s="173"/>
      <c r="S272" s="228"/>
      <c r="T272" s="49"/>
      <c r="U272" s="138"/>
    </row>
    <row r="273" spans="1:21" ht="15.75" hidden="1" thickBot="1" x14ac:dyDescent="0.3">
      <c r="A273" s="31">
        <v>13</v>
      </c>
      <c r="B273" s="4" t="s">
        <v>894</v>
      </c>
      <c r="C273" s="5">
        <v>1</v>
      </c>
      <c r="D273" s="7">
        <v>0</v>
      </c>
      <c r="E273" s="3">
        <f t="shared" si="172"/>
        <v>1</v>
      </c>
      <c r="F273" s="3"/>
      <c r="G273" s="77"/>
      <c r="H273" s="5" t="s">
        <v>1</v>
      </c>
      <c r="I273" s="78">
        <f t="shared" si="173"/>
        <v>0</v>
      </c>
      <c r="J273" s="9"/>
      <c r="K273" s="4">
        <v>1.8</v>
      </c>
      <c r="L273" s="5" t="s">
        <v>1</v>
      </c>
      <c r="M273" s="80">
        <f t="shared" si="174"/>
        <v>1.8</v>
      </c>
      <c r="N273" s="78">
        <f t="shared" si="175"/>
        <v>0</v>
      </c>
      <c r="O273" s="111">
        <f t="shared" si="176"/>
        <v>0</v>
      </c>
      <c r="P273" s="125"/>
      <c r="Q273" s="49"/>
      <c r="R273" s="173"/>
      <c r="S273" s="228"/>
      <c r="T273" s="49"/>
      <c r="U273" s="138"/>
    </row>
    <row r="274" spans="1:21" ht="15.75" hidden="1" thickBot="1" x14ac:dyDescent="0.3">
      <c r="A274" s="31">
        <v>14</v>
      </c>
      <c r="B274" s="4" t="s">
        <v>895</v>
      </c>
      <c r="C274" s="5">
        <v>1</v>
      </c>
      <c r="D274" s="7">
        <v>0</v>
      </c>
      <c r="E274" s="3">
        <f t="shared" si="172"/>
        <v>1</v>
      </c>
      <c r="F274" s="3"/>
      <c r="G274" s="77"/>
      <c r="H274" s="5" t="s">
        <v>1</v>
      </c>
      <c r="I274" s="78">
        <f t="shared" si="173"/>
        <v>0</v>
      </c>
      <c r="J274" s="9"/>
      <c r="K274" s="4">
        <v>2.4</v>
      </c>
      <c r="L274" s="5" t="s">
        <v>1</v>
      </c>
      <c r="M274" s="80">
        <f t="shared" si="174"/>
        <v>2.4</v>
      </c>
      <c r="N274" s="78">
        <f t="shared" si="175"/>
        <v>0</v>
      </c>
      <c r="O274" s="111">
        <f t="shared" si="176"/>
        <v>0</v>
      </c>
      <c r="P274" s="125"/>
      <c r="Q274" s="49"/>
      <c r="R274" s="173"/>
      <c r="S274" s="228"/>
      <c r="T274" s="49"/>
      <c r="U274" s="138"/>
    </row>
    <row r="275" spans="1:21" ht="15.75" hidden="1" thickBot="1" x14ac:dyDescent="0.3">
      <c r="A275" s="31">
        <v>15</v>
      </c>
      <c r="B275" s="4" t="s">
        <v>896</v>
      </c>
      <c r="C275" s="5">
        <v>1</v>
      </c>
      <c r="D275" s="7">
        <v>0</v>
      </c>
      <c r="E275" s="3">
        <f t="shared" si="172"/>
        <v>1</v>
      </c>
      <c r="F275" s="3"/>
      <c r="G275" s="77"/>
      <c r="H275" s="5" t="s">
        <v>1</v>
      </c>
      <c r="I275" s="78">
        <f t="shared" si="173"/>
        <v>0</v>
      </c>
      <c r="J275" s="9"/>
      <c r="K275" s="4">
        <v>2.4</v>
      </c>
      <c r="L275" s="5" t="s">
        <v>1</v>
      </c>
      <c r="M275" s="80">
        <f t="shared" si="174"/>
        <v>2.4</v>
      </c>
      <c r="N275" s="78">
        <f t="shared" si="175"/>
        <v>0</v>
      </c>
      <c r="O275" s="111">
        <f t="shared" si="176"/>
        <v>0</v>
      </c>
      <c r="P275" s="125"/>
      <c r="Q275" s="49"/>
      <c r="R275" s="173"/>
      <c r="S275" s="228"/>
      <c r="T275" s="49"/>
      <c r="U275" s="138"/>
    </row>
    <row r="276" spans="1:21" ht="15.75" hidden="1" thickBot="1" x14ac:dyDescent="0.3">
      <c r="A276" s="31">
        <v>16</v>
      </c>
      <c r="B276" s="4" t="s">
        <v>897</v>
      </c>
      <c r="C276" s="5">
        <v>1</v>
      </c>
      <c r="D276" s="7">
        <v>0</v>
      </c>
      <c r="E276" s="3">
        <f t="shared" si="172"/>
        <v>1</v>
      </c>
      <c r="F276" s="3"/>
      <c r="G276" s="77"/>
      <c r="H276" s="5" t="s">
        <v>1</v>
      </c>
      <c r="I276" s="78">
        <f t="shared" si="173"/>
        <v>0</v>
      </c>
      <c r="J276" s="9"/>
      <c r="K276" s="4">
        <v>2.4</v>
      </c>
      <c r="L276" s="5" t="s">
        <v>1</v>
      </c>
      <c r="M276" s="80">
        <f t="shared" si="174"/>
        <v>2.4</v>
      </c>
      <c r="N276" s="78">
        <f t="shared" si="175"/>
        <v>0</v>
      </c>
      <c r="O276" s="111">
        <f t="shared" si="176"/>
        <v>0</v>
      </c>
      <c r="P276" s="125"/>
      <c r="Q276" s="49"/>
      <c r="R276" s="173"/>
      <c r="S276" s="228"/>
      <c r="T276" s="49"/>
      <c r="U276" s="138"/>
    </row>
    <row r="277" spans="1:21" ht="15.75" hidden="1" thickBot="1" x14ac:dyDescent="0.3">
      <c r="A277" s="31">
        <v>17</v>
      </c>
      <c r="B277" s="4" t="s">
        <v>898</v>
      </c>
      <c r="C277" s="5">
        <v>1</v>
      </c>
      <c r="D277" s="7">
        <v>0</v>
      </c>
      <c r="E277" s="3">
        <f t="shared" si="172"/>
        <v>1</v>
      </c>
      <c r="F277" s="3"/>
      <c r="G277" s="77"/>
      <c r="H277" s="5" t="s">
        <v>1</v>
      </c>
      <c r="I277" s="78">
        <f t="shared" si="173"/>
        <v>0</v>
      </c>
      <c r="J277" s="9"/>
      <c r="K277" s="4">
        <v>2.4</v>
      </c>
      <c r="L277" s="5" t="s">
        <v>1</v>
      </c>
      <c r="M277" s="80">
        <f t="shared" si="174"/>
        <v>2.4</v>
      </c>
      <c r="N277" s="78">
        <f t="shared" si="175"/>
        <v>0</v>
      </c>
      <c r="O277" s="111">
        <f t="shared" si="176"/>
        <v>0</v>
      </c>
      <c r="P277" s="125"/>
      <c r="Q277" s="49"/>
      <c r="R277" s="173"/>
      <c r="S277" s="228"/>
      <c r="T277" s="49"/>
      <c r="U277" s="138"/>
    </row>
    <row r="278" spans="1:21" ht="15.75" hidden="1" thickBot="1" x14ac:dyDescent="0.3">
      <c r="A278" s="31">
        <v>18</v>
      </c>
      <c r="B278" s="4" t="s">
        <v>899</v>
      </c>
      <c r="C278" s="5">
        <v>1</v>
      </c>
      <c r="D278" s="7">
        <v>0</v>
      </c>
      <c r="E278" s="3">
        <f t="shared" si="172"/>
        <v>1</v>
      </c>
      <c r="F278" s="3"/>
      <c r="G278" s="77"/>
      <c r="H278" s="5" t="s">
        <v>1</v>
      </c>
      <c r="I278" s="78">
        <f t="shared" si="173"/>
        <v>0</v>
      </c>
      <c r="J278" s="9"/>
      <c r="K278" s="4">
        <v>2.4</v>
      </c>
      <c r="L278" s="5" t="s">
        <v>1</v>
      </c>
      <c r="M278" s="80">
        <f t="shared" si="174"/>
        <v>2.4</v>
      </c>
      <c r="N278" s="78">
        <f t="shared" si="175"/>
        <v>0</v>
      </c>
      <c r="O278" s="111">
        <f t="shared" si="176"/>
        <v>0</v>
      </c>
      <c r="P278" s="125"/>
      <c r="Q278" s="49"/>
      <c r="R278" s="173"/>
      <c r="S278" s="228"/>
      <c r="T278" s="49"/>
      <c r="U278" s="138"/>
    </row>
    <row r="279" spans="1:21" ht="15.75" hidden="1" thickBot="1" x14ac:dyDescent="0.3">
      <c r="A279" s="31">
        <v>19</v>
      </c>
      <c r="B279" s="4" t="s">
        <v>900</v>
      </c>
      <c r="C279" s="5">
        <v>1</v>
      </c>
      <c r="D279" s="7">
        <v>0</v>
      </c>
      <c r="E279" s="3">
        <f t="shared" si="172"/>
        <v>1</v>
      </c>
      <c r="F279" s="3"/>
      <c r="G279" s="77"/>
      <c r="H279" s="5" t="s">
        <v>1</v>
      </c>
      <c r="I279" s="78">
        <f t="shared" si="173"/>
        <v>0</v>
      </c>
      <c r="J279" s="9"/>
      <c r="K279" s="4">
        <v>3.1</v>
      </c>
      <c r="L279" s="5" t="s">
        <v>1</v>
      </c>
      <c r="M279" s="80">
        <f t="shared" si="174"/>
        <v>3.1</v>
      </c>
      <c r="N279" s="78">
        <f t="shared" si="175"/>
        <v>0</v>
      </c>
      <c r="O279" s="111">
        <f t="shared" si="176"/>
        <v>0</v>
      </c>
      <c r="P279" s="125"/>
      <c r="Q279" s="49"/>
      <c r="R279" s="173"/>
      <c r="S279" s="228"/>
      <c r="T279" s="49"/>
      <c r="U279" s="138"/>
    </row>
    <row r="280" spans="1:21" ht="15.75" hidden="1" thickBot="1" x14ac:dyDescent="0.3">
      <c r="A280" s="31">
        <v>20</v>
      </c>
      <c r="B280" s="4" t="s">
        <v>901</v>
      </c>
      <c r="C280" s="5">
        <v>1</v>
      </c>
      <c r="D280" s="7">
        <v>0</v>
      </c>
      <c r="E280" s="3">
        <f t="shared" si="172"/>
        <v>1</v>
      </c>
      <c r="F280" s="3"/>
      <c r="G280" s="77"/>
      <c r="H280" s="5" t="s">
        <v>1</v>
      </c>
      <c r="I280" s="78">
        <f t="shared" si="173"/>
        <v>0</v>
      </c>
      <c r="J280" s="9"/>
      <c r="K280" s="4">
        <v>3.1</v>
      </c>
      <c r="L280" s="5" t="s">
        <v>1</v>
      </c>
      <c r="M280" s="80">
        <f t="shared" si="174"/>
        <v>3.1</v>
      </c>
      <c r="N280" s="78">
        <f t="shared" si="175"/>
        <v>0</v>
      </c>
      <c r="O280" s="111">
        <f t="shared" si="176"/>
        <v>0</v>
      </c>
      <c r="P280" s="125"/>
      <c r="Q280" s="49"/>
      <c r="R280" s="173"/>
      <c r="S280" s="228"/>
      <c r="T280" s="49"/>
      <c r="U280" s="138"/>
    </row>
    <row r="281" spans="1:21" ht="15.75" hidden="1" thickBot="1" x14ac:dyDescent="0.3">
      <c r="A281" s="31"/>
      <c r="B281" s="4"/>
      <c r="C281" s="5"/>
      <c r="D281" s="7"/>
      <c r="E281" s="3"/>
      <c r="F281" s="3"/>
      <c r="G281" s="77"/>
      <c r="H281" s="5"/>
      <c r="I281" s="78"/>
      <c r="J281" s="9"/>
      <c r="K281" s="4"/>
      <c r="L281" s="5"/>
      <c r="M281" s="80"/>
      <c r="N281" s="78"/>
      <c r="O281" s="111"/>
      <c r="P281" s="125"/>
      <c r="Q281" s="49"/>
      <c r="R281" s="173"/>
      <c r="S281" s="228"/>
      <c r="T281" s="49"/>
      <c r="U281" s="138"/>
    </row>
    <row r="282" spans="1:21" ht="15.75" hidden="1" thickBot="1" x14ac:dyDescent="0.3">
      <c r="A282" s="31"/>
      <c r="B282" s="26" t="s">
        <v>959</v>
      </c>
      <c r="C282" s="5"/>
      <c r="D282" s="7"/>
      <c r="E282" s="3"/>
      <c r="F282" s="3"/>
      <c r="G282" s="77"/>
      <c r="H282" s="5"/>
      <c r="I282" s="78"/>
      <c r="J282" s="9"/>
      <c r="K282" s="4"/>
      <c r="L282" s="5"/>
      <c r="M282" s="80"/>
      <c r="N282" s="78"/>
      <c r="O282" s="111"/>
      <c r="P282" s="125"/>
      <c r="Q282" s="49"/>
      <c r="R282" s="173"/>
      <c r="S282" s="228"/>
      <c r="T282" s="49"/>
      <c r="U282" s="138"/>
    </row>
    <row r="283" spans="1:21" ht="15.75" hidden="1" thickBot="1" x14ac:dyDescent="0.3">
      <c r="A283" s="31">
        <v>1</v>
      </c>
      <c r="B283" s="4" t="s">
        <v>902</v>
      </c>
      <c r="C283" s="5">
        <v>1</v>
      </c>
      <c r="D283" s="7">
        <v>0</v>
      </c>
      <c r="E283" s="3">
        <f t="shared" ref="E283:E309" si="177">C283+(C283*D283)</f>
        <v>1</v>
      </c>
      <c r="F283" s="3"/>
      <c r="G283" s="77"/>
      <c r="H283" s="5" t="s">
        <v>1</v>
      </c>
      <c r="I283" s="78">
        <f t="shared" ref="I283:I309" si="178">G283*E283</f>
        <v>0</v>
      </c>
      <c r="J283" s="9"/>
      <c r="K283" s="4">
        <v>1.6</v>
      </c>
      <c r="L283" s="5" t="s">
        <v>1</v>
      </c>
      <c r="M283" s="80">
        <f t="shared" ref="M283:M309" si="179">K283*E283</f>
        <v>1.6</v>
      </c>
      <c r="N283" s="78">
        <f t="shared" ref="N283:N309" si="180">M283*J283</f>
        <v>0</v>
      </c>
      <c r="O283" s="111">
        <f t="shared" ref="O283:O309" si="181">N283+I283</f>
        <v>0</v>
      </c>
      <c r="P283" s="125"/>
      <c r="Q283" s="49"/>
      <c r="R283" s="173"/>
      <c r="S283" s="228"/>
      <c r="T283" s="49"/>
      <c r="U283" s="138"/>
    </row>
    <row r="284" spans="1:21" ht="15.75" hidden="1" thickBot="1" x14ac:dyDescent="0.3">
      <c r="A284" s="31">
        <v>2</v>
      </c>
      <c r="B284" s="4" t="s">
        <v>903</v>
      </c>
      <c r="C284" s="5">
        <v>1</v>
      </c>
      <c r="D284" s="7">
        <v>0</v>
      </c>
      <c r="E284" s="3">
        <f t="shared" si="177"/>
        <v>1</v>
      </c>
      <c r="F284" s="3"/>
      <c r="G284" s="77"/>
      <c r="H284" s="5" t="s">
        <v>1</v>
      </c>
      <c r="I284" s="78">
        <f t="shared" si="178"/>
        <v>0</v>
      </c>
      <c r="J284" s="9"/>
      <c r="K284" s="4">
        <v>1.6</v>
      </c>
      <c r="L284" s="5" t="s">
        <v>1</v>
      </c>
      <c r="M284" s="80">
        <f t="shared" si="179"/>
        <v>1.6</v>
      </c>
      <c r="N284" s="78">
        <f t="shared" si="180"/>
        <v>0</v>
      </c>
      <c r="O284" s="111">
        <f t="shared" si="181"/>
        <v>0</v>
      </c>
      <c r="P284" s="125"/>
      <c r="Q284" s="49"/>
      <c r="R284" s="173"/>
      <c r="S284" s="228"/>
      <c r="T284" s="49"/>
      <c r="U284" s="138"/>
    </row>
    <row r="285" spans="1:21" ht="15.75" hidden="1" thickBot="1" x14ac:dyDescent="0.3">
      <c r="A285" s="31">
        <v>3</v>
      </c>
      <c r="B285" s="4" t="s">
        <v>904</v>
      </c>
      <c r="C285" s="5">
        <v>1</v>
      </c>
      <c r="D285" s="7">
        <v>0</v>
      </c>
      <c r="E285" s="3">
        <f t="shared" si="177"/>
        <v>1</v>
      </c>
      <c r="F285" s="3"/>
      <c r="G285" s="77"/>
      <c r="H285" s="5" t="s">
        <v>1</v>
      </c>
      <c r="I285" s="78">
        <f t="shared" si="178"/>
        <v>0</v>
      </c>
      <c r="J285" s="9"/>
      <c r="K285" s="4">
        <v>1.6</v>
      </c>
      <c r="L285" s="5" t="s">
        <v>1</v>
      </c>
      <c r="M285" s="80">
        <f t="shared" si="179"/>
        <v>1.6</v>
      </c>
      <c r="N285" s="78">
        <f t="shared" si="180"/>
        <v>0</v>
      </c>
      <c r="O285" s="111">
        <f t="shared" si="181"/>
        <v>0</v>
      </c>
      <c r="P285" s="125"/>
      <c r="Q285" s="49"/>
      <c r="R285" s="173"/>
      <c r="S285" s="228"/>
      <c r="T285" s="49"/>
      <c r="U285" s="138"/>
    </row>
    <row r="286" spans="1:21" ht="15.75" hidden="1" thickBot="1" x14ac:dyDescent="0.3">
      <c r="A286" s="31">
        <v>4</v>
      </c>
      <c r="B286" s="4" t="s">
        <v>905</v>
      </c>
      <c r="C286" s="5">
        <v>1</v>
      </c>
      <c r="D286" s="7">
        <v>0</v>
      </c>
      <c r="E286" s="3">
        <f t="shared" si="177"/>
        <v>1</v>
      </c>
      <c r="F286" s="3"/>
      <c r="G286" s="77"/>
      <c r="H286" s="5" t="s">
        <v>1</v>
      </c>
      <c r="I286" s="78">
        <f t="shared" si="178"/>
        <v>0</v>
      </c>
      <c r="J286" s="9"/>
      <c r="K286" s="4">
        <v>1.6</v>
      </c>
      <c r="L286" s="5" t="s">
        <v>1</v>
      </c>
      <c r="M286" s="80">
        <f t="shared" si="179"/>
        <v>1.6</v>
      </c>
      <c r="N286" s="78">
        <f t="shared" si="180"/>
        <v>0</v>
      </c>
      <c r="O286" s="111">
        <f t="shared" si="181"/>
        <v>0</v>
      </c>
      <c r="P286" s="125"/>
      <c r="Q286" s="49"/>
      <c r="R286" s="173"/>
      <c r="S286" s="228"/>
      <c r="T286" s="49"/>
      <c r="U286" s="138"/>
    </row>
    <row r="287" spans="1:21" ht="15.75" hidden="1" thickBot="1" x14ac:dyDescent="0.3">
      <c r="A287" s="31">
        <v>5</v>
      </c>
      <c r="B287" s="4" t="s">
        <v>906</v>
      </c>
      <c r="C287" s="5">
        <v>1</v>
      </c>
      <c r="D287" s="7">
        <v>0</v>
      </c>
      <c r="E287" s="3">
        <f t="shared" si="177"/>
        <v>1</v>
      </c>
      <c r="F287" s="3"/>
      <c r="G287" s="77"/>
      <c r="H287" s="5" t="s">
        <v>1</v>
      </c>
      <c r="I287" s="78">
        <f t="shared" si="178"/>
        <v>0</v>
      </c>
      <c r="J287" s="9"/>
      <c r="K287" s="4">
        <v>1.6</v>
      </c>
      <c r="L287" s="5" t="s">
        <v>1</v>
      </c>
      <c r="M287" s="80">
        <f t="shared" si="179"/>
        <v>1.6</v>
      </c>
      <c r="N287" s="78">
        <f t="shared" si="180"/>
        <v>0</v>
      </c>
      <c r="O287" s="111">
        <f t="shared" si="181"/>
        <v>0</v>
      </c>
      <c r="P287" s="125"/>
      <c r="Q287" s="49"/>
      <c r="R287" s="173"/>
      <c r="S287" s="228"/>
      <c r="T287" s="49"/>
      <c r="U287" s="138"/>
    </row>
    <row r="288" spans="1:21" ht="15.75" hidden="1" thickBot="1" x14ac:dyDescent="0.3">
      <c r="A288" s="31">
        <v>6</v>
      </c>
      <c r="B288" s="4" t="s">
        <v>907</v>
      </c>
      <c r="C288" s="5">
        <v>1</v>
      </c>
      <c r="D288" s="7">
        <v>0</v>
      </c>
      <c r="E288" s="3">
        <f t="shared" si="177"/>
        <v>1</v>
      </c>
      <c r="F288" s="3"/>
      <c r="G288" s="77"/>
      <c r="H288" s="5" t="s">
        <v>1</v>
      </c>
      <c r="I288" s="78">
        <f t="shared" si="178"/>
        <v>0</v>
      </c>
      <c r="J288" s="9"/>
      <c r="K288" s="4">
        <v>1.6</v>
      </c>
      <c r="L288" s="5" t="s">
        <v>1</v>
      </c>
      <c r="M288" s="80">
        <f t="shared" si="179"/>
        <v>1.6</v>
      </c>
      <c r="N288" s="78">
        <f t="shared" si="180"/>
        <v>0</v>
      </c>
      <c r="O288" s="111">
        <f t="shared" si="181"/>
        <v>0</v>
      </c>
      <c r="P288" s="125"/>
      <c r="Q288" s="49"/>
      <c r="R288" s="173"/>
      <c r="S288" s="228"/>
      <c r="T288" s="49"/>
      <c r="U288" s="138"/>
    </row>
    <row r="289" spans="1:21" ht="15.75" hidden="1" thickBot="1" x14ac:dyDescent="0.3">
      <c r="A289" s="31">
        <v>7</v>
      </c>
      <c r="B289" s="4" t="s">
        <v>908</v>
      </c>
      <c r="C289" s="5">
        <v>1</v>
      </c>
      <c r="D289" s="7">
        <v>0</v>
      </c>
      <c r="E289" s="3">
        <f t="shared" si="177"/>
        <v>1</v>
      </c>
      <c r="F289" s="3"/>
      <c r="G289" s="77"/>
      <c r="H289" s="5" t="s">
        <v>1</v>
      </c>
      <c r="I289" s="78">
        <f t="shared" si="178"/>
        <v>0</v>
      </c>
      <c r="J289" s="9"/>
      <c r="K289" s="4">
        <v>1.6</v>
      </c>
      <c r="L289" s="5" t="s">
        <v>1</v>
      </c>
      <c r="M289" s="80">
        <f t="shared" si="179"/>
        <v>1.6</v>
      </c>
      <c r="N289" s="78">
        <f t="shared" si="180"/>
        <v>0</v>
      </c>
      <c r="O289" s="111">
        <f t="shared" si="181"/>
        <v>0</v>
      </c>
      <c r="P289" s="125"/>
      <c r="Q289" s="49"/>
      <c r="R289" s="173"/>
      <c r="S289" s="228"/>
      <c r="T289" s="49"/>
      <c r="U289" s="138"/>
    </row>
    <row r="290" spans="1:21" ht="15.75" hidden="1" thickBot="1" x14ac:dyDescent="0.3">
      <c r="A290" s="31">
        <v>8</v>
      </c>
      <c r="B290" s="4" t="s">
        <v>909</v>
      </c>
      <c r="C290" s="5">
        <v>1</v>
      </c>
      <c r="D290" s="7">
        <v>0</v>
      </c>
      <c r="E290" s="3">
        <f t="shared" si="177"/>
        <v>1</v>
      </c>
      <c r="F290" s="3"/>
      <c r="G290" s="77"/>
      <c r="H290" s="5" t="s">
        <v>1</v>
      </c>
      <c r="I290" s="78">
        <f t="shared" si="178"/>
        <v>0</v>
      </c>
      <c r="J290" s="9"/>
      <c r="K290" s="4">
        <v>1.6</v>
      </c>
      <c r="L290" s="5" t="s">
        <v>1</v>
      </c>
      <c r="M290" s="80">
        <f t="shared" si="179"/>
        <v>1.6</v>
      </c>
      <c r="N290" s="78">
        <f t="shared" si="180"/>
        <v>0</v>
      </c>
      <c r="O290" s="111">
        <f t="shared" si="181"/>
        <v>0</v>
      </c>
      <c r="P290" s="125"/>
      <c r="Q290" s="49"/>
      <c r="R290" s="173"/>
      <c r="S290" s="228"/>
      <c r="T290" s="49"/>
      <c r="U290" s="138"/>
    </row>
    <row r="291" spans="1:21" ht="15.75" hidden="1" thickBot="1" x14ac:dyDescent="0.3">
      <c r="A291" s="31">
        <v>9</v>
      </c>
      <c r="B291" s="4" t="s">
        <v>910</v>
      </c>
      <c r="C291" s="5">
        <v>1</v>
      </c>
      <c r="D291" s="7">
        <v>0</v>
      </c>
      <c r="E291" s="3">
        <f t="shared" si="177"/>
        <v>1</v>
      </c>
      <c r="F291" s="3"/>
      <c r="G291" s="77"/>
      <c r="H291" s="5" t="s">
        <v>1</v>
      </c>
      <c r="I291" s="78">
        <f t="shared" si="178"/>
        <v>0</v>
      </c>
      <c r="J291" s="9"/>
      <c r="K291" s="4">
        <v>1.6</v>
      </c>
      <c r="L291" s="5" t="s">
        <v>1</v>
      </c>
      <c r="M291" s="80">
        <f t="shared" si="179"/>
        <v>1.6</v>
      </c>
      <c r="N291" s="78">
        <f t="shared" si="180"/>
        <v>0</v>
      </c>
      <c r="O291" s="111">
        <f t="shared" si="181"/>
        <v>0</v>
      </c>
      <c r="P291" s="125"/>
      <c r="Q291" s="49"/>
      <c r="R291" s="173"/>
      <c r="S291" s="228"/>
      <c r="T291" s="49"/>
      <c r="U291" s="138"/>
    </row>
    <row r="292" spans="1:21" ht="15.75" hidden="1" thickBot="1" x14ac:dyDescent="0.3">
      <c r="A292" s="31">
        <v>10</v>
      </c>
      <c r="B292" s="4" t="s">
        <v>911</v>
      </c>
      <c r="C292" s="5">
        <v>1</v>
      </c>
      <c r="D292" s="7">
        <v>0</v>
      </c>
      <c r="E292" s="3">
        <f t="shared" si="177"/>
        <v>1</v>
      </c>
      <c r="F292" s="3"/>
      <c r="G292" s="77"/>
      <c r="H292" s="5" t="s">
        <v>1</v>
      </c>
      <c r="I292" s="78">
        <f t="shared" si="178"/>
        <v>0</v>
      </c>
      <c r="J292" s="9"/>
      <c r="K292" s="4">
        <v>2.1</v>
      </c>
      <c r="L292" s="5" t="s">
        <v>1</v>
      </c>
      <c r="M292" s="80">
        <f t="shared" si="179"/>
        <v>2.1</v>
      </c>
      <c r="N292" s="78">
        <f t="shared" si="180"/>
        <v>0</v>
      </c>
      <c r="O292" s="111">
        <f t="shared" si="181"/>
        <v>0</v>
      </c>
      <c r="P292" s="125"/>
      <c r="Q292" s="49"/>
      <c r="R292" s="173"/>
      <c r="S292" s="228"/>
      <c r="T292" s="49"/>
      <c r="U292" s="138"/>
    </row>
    <row r="293" spans="1:21" ht="15.75" hidden="1" thickBot="1" x14ac:dyDescent="0.3">
      <c r="A293" s="31">
        <v>11</v>
      </c>
      <c r="B293" s="4" t="s">
        <v>912</v>
      </c>
      <c r="C293" s="5">
        <v>1</v>
      </c>
      <c r="D293" s="7">
        <v>0</v>
      </c>
      <c r="E293" s="3">
        <f t="shared" si="177"/>
        <v>1</v>
      </c>
      <c r="F293" s="3"/>
      <c r="G293" s="77"/>
      <c r="H293" s="5" t="s">
        <v>1</v>
      </c>
      <c r="I293" s="78">
        <f t="shared" si="178"/>
        <v>0</v>
      </c>
      <c r="J293" s="9"/>
      <c r="K293" s="4">
        <v>2.1</v>
      </c>
      <c r="L293" s="5" t="s">
        <v>1</v>
      </c>
      <c r="M293" s="80">
        <f t="shared" si="179"/>
        <v>2.1</v>
      </c>
      <c r="N293" s="78">
        <f t="shared" si="180"/>
        <v>0</v>
      </c>
      <c r="O293" s="111">
        <f t="shared" si="181"/>
        <v>0</v>
      </c>
      <c r="P293" s="125"/>
      <c r="Q293" s="49"/>
      <c r="R293" s="173"/>
      <c r="S293" s="228"/>
      <c r="T293" s="49"/>
      <c r="U293" s="138"/>
    </row>
    <row r="294" spans="1:21" ht="15.75" hidden="1" thickBot="1" x14ac:dyDescent="0.3">
      <c r="A294" s="31">
        <v>12</v>
      </c>
      <c r="B294" s="4" t="s">
        <v>913</v>
      </c>
      <c r="C294" s="5">
        <v>1</v>
      </c>
      <c r="D294" s="7">
        <v>0</v>
      </c>
      <c r="E294" s="3">
        <f t="shared" si="177"/>
        <v>1</v>
      </c>
      <c r="F294" s="3"/>
      <c r="G294" s="77"/>
      <c r="H294" s="5" t="s">
        <v>1</v>
      </c>
      <c r="I294" s="78">
        <f t="shared" si="178"/>
        <v>0</v>
      </c>
      <c r="J294" s="9"/>
      <c r="K294" s="4">
        <v>2.1</v>
      </c>
      <c r="L294" s="5" t="s">
        <v>1</v>
      </c>
      <c r="M294" s="80">
        <f t="shared" si="179"/>
        <v>2.1</v>
      </c>
      <c r="N294" s="78">
        <f t="shared" si="180"/>
        <v>0</v>
      </c>
      <c r="O294" s="111">
        <f t="shared" si="181"/>
        <v>0</v>
      </c>
      <c r="P294" s="125"/>
      <c r="Q294" s="49"/>
      <c r="R294" s="173"/>
      <c r="S294" s="228"/>
      <c r="T294" s="49"/>
      <c r="U294" s="138"/>
    </row>
    <row r="295" spans="1:21" ht="15.75" hidden="1" thickBot="1" x14ac:dyDescent="0.3">
      <c r="A295" s="31">
        <v>13</v>
      </c>
      <c r="B295" s="4" t="s">
        <v>914</v>
      </c>
      <c r="C295" s="5">
        <v>1</v>
      </c>
      <c r="D295" s="7">
        <v>0</v>
      </c>
      <c r="E295" s="3">
        <f t="shared" si="177"/>
        <v>1</v>
      </c>
      <c r="F295" s="3"/>
      <c r="G295" s="77"/>
      <c r="H295" s="5" t="s">
        <v>1</v>
      </c>
      <c r="I295" s="78">
        <f t="shared" si="178"/>
        <v>0</v>
      </c>
      <c r="J295" s="9"/>
      <c r="K295" s="4">
        <v>2.1</v>
      </c>
      <c r="L295" s="5" t="s">
        <v>1</v>
      </c>
      <c r="M295" s="80">
        <f t="shared" si="179"/>
        <v>2.1</v>
      </c>
      <c r="N295" s="78">
        <f t="shared" si="180"/>
        <v>0</v>
      </c>
      <c r="O295" s="111">
        <f t="shared" si="181"/>
        <v>0</v>
      </c>
      <c r="P295" s="125"/>
      <c r="Q295" s="49"/>
      <c r="R295" s="173"/>
      <c r="S295" s="228"/>
      <c r="T295" s="49"/>
      <c r="U295" s="138"/>
    </row>
    <row r="296" spans="1:21" ht="15.75" hidden="1" thickBot="1" x14ac:dyDescent="0.3">
      <c r="A296" s="31">
        <v>14</v>
      </c>
      <c r="B296" s="4" t="s">
        <v>915</v>
      </c>
      <c r="C296" s="5">
        <v>1</v>
      </c>
      <c r="D296" s="7">
        <v>0</v>
      </c>
      <c r="E296" s="3">
        <f t="shared" si="177"/>
        <v>1</v>
      </c>
      <c r="F296" s="3"/>
      <c r="G296" s="77"/>
      <c r="H296" s="5" t="s">
        <v>1</v>
      </c>
      <c r="I296" s="78">
        <f t="shared" si="178"/>
        <v>0</v>
      </c>
      <c r="J296" s="9"/>
      <c r="K296" s="4">
        <v>3.5</v>
      </c>
      <c r="L296" s="5" t="s">
        <v>1</v>
      </c>
      <c r="M296" s="80">
        <f t="shared" si="179"/>
        <v>3.5</v>
      </c>
      <c r="N296" s="78">
        <f t="shared" si="180"/>
        <v>0</v>
      </c>
      <c r="O296" s="111">
        <f t="shared" si="181"/>
        <v>0</v>
      </c>
      <c r="P296" s="125"/>
      <c r="Q296" s="49"/>
      <c r="R296" s="173"/>
      <c r="S296" s="228"/>
      <c r="T296" s="49"/>
      <c r="U296" s="138"/>
    </row>
    <row r="297" spans="1:21" ht="15.75" hidden="1" thickBot="1" x14ac:dyDescent="0.3">
      <c r="A297" s="31">
        <v>15</v>
      </c>
      <c r="B297" s="4" t="s">
        <v>916</v>
      </c>
      <c r="C297" s="5">
        <v>1</v>
      </c>
      <c r="D297" s="7">
        <v>0</v>
      </c>
      <c r="E297" s="3">
        <f t="shared" si="177"/>
        <v>1</v>
      </c>
      <c r="F297" s="3"/>
      <c r="G297" s="77"/>
      <c r="H297" s="5" t="s">
        <v>1</v>
      </c>
      <c r="I297" s="78">
        <f t="shared" si="178"/>
        <v>0</v>
      </c>
      <c r="J297" s="9"/>
      <c r="K297" s="4">
        <v>3.5</v>
      </c>
      <c r="L297" s="5" t="s">
        <v>1</v>
      </c>
      <c r="M297" s="80">
        <f t="shared" si="179"/>
        <v>3.5</v>
      </c>
      <c r="N297" s="78">
        <f t="shared" si="180"/>
        <v>0</v>
      </c>
      <c r="O297" s="111">
        <f t="shared" si="181"/>
        <v>0</v>
      </c>
      <c r="P297" s="125"/>
      <c r="Q297" s="49"/>
      <c r="R297" s="173"/>
      <c r="S297" s="228"/>
      <c r="T297" s="49"/>
      <c r="U297" s="138"/>
    </row>
    <row r="298" spans="1:21" ht="15.75" hidden="1" thickBot="1" x14ac:dyDescent="0.3">
      <c r="A298" s="31">
        <v>16</v>
      </c>
      <c r="B298" s="4" t="s">
        <v>917</v>
      </c>
      <c r="C298" s="5">
        <v>1</v>
      </c>
      <c r="D298" s="7">
        <v>0</v>
      </c>
      <c r="E298" s="3">
        <f t="shared" si="177"/>
        <v>1</v>
      </c>
      <c r="F298" s="3"/>
      <c r="G298" s="77"/>
      <c r="H298" s="5" t="s">
        <v>1</v>
      </c>
      <c r="I298" s="78">
        <f t="shared" si="178"/>
        <v>0</v>
      </c>
      <c r="J298" s="9"/>
      <c r="K298" s="4">
        <v>3.5</v>
      </c>
      <c r="L298" s="5" t="s">
        <v>1</v>
      </c>
      <c r="M298" s="80">
        <f t="shared" si="179"/>
        <v>3.5</v>
      </c>
      <c r="N298" s="78">
        <f t="shared" si="180"/>
        <v>0</v>
      </c>
      <c r="O298" s="111">
        <f t="shared" si="181"/>
        <v>0</v>
      </c>
      <c r="P298" s="125"/>
      <c r="Q298" s="49"/>
      <c r="R298" s="173"/>
      <c r="S298" s="228"/>
      <c r="T298" s="49"/>
      <c r="U298" s="138"/>
    </row>
    <row r="299" spans="1:21" ht="15.75" hidden="1" thickBot="1" x14ac:dyDescent="0.3">
      <c r="A299" s="31">
        <v>17</v>
      </c>
      <c r="B299" s="4" t="s">
        <v>918</v>
      </c>
      <c r="C299" s="5">
        <v>1</v>
      </c>
      <c r="D299" s="7">
        <v>0</v>
      </c>
      <c r="E299" s="3">
        <f t="shared" si="177"/>
        <v>1</v>
      </c>
      <c r="F299" s="3"/>
      <c r="G299" s="77"/>
      <c r="H299" s="5" t="s">
        <v>1</v>
      </c>
      <c r="I299" s="78">
        <f t="shared" si="178"/>
        <v>0</v>
      </c>
      <c r="J299" s="9"/>
      <c r="K299" s="4">
        <v>3.5</v>
      </c>
      <c r="L299" s="5" t="s">
        <v>1</v>
      </c>
      <c r="M299" s="80">
        <f t="shared" si="179"/>
        <v>3.5</v>
      </c>
      <c r="N299" s="78">
        <f t="shared" si="180"/>
        <v>0</v>
      </c>
      <c r="O299" s="111">
        <f t="shared" si="181"/>
        <v>0</v>
      </c>
      <c r="P299" s="125"/>
      <c r="Q299" s="49"/>
      <c r="R299" s="173"/>
      <c r="S299" s="228"/>
      <c r="T299" s="49"/>
      <c r="U299" s="138"/>
    </row>
    <row r="300" spans="1:21" ht="15.75" hidden="1" thickBot="1" x14ac:dyDescent="0.3">
      <c r="A300" s="31">
        <v>18</v>
      </c>
      <c r="B300" s="4" t="s">
        <v>919</v>
      </c>
      <c r="C300" s="5">
        <v>1</v>
      </c>
      <c r="D300" s="7">
        <v>0</v>
      </c>
      <c r="E300" s="3">
        <f t="shared" si="177"/>
        <v>1</v>
      </c>
      <c r="F300" s="3"/>
      <c r="G300" s="77"/>
      <c r="H300" s="5" t="s">
        <v>1</v>
      </c>
      <c r="I300" s="78">
        <f t="shared" si="178"/>
        <v>0</v>
      </c>
      <c r="J300" s="9"/>
      <c r="K300" s="4">
        <v>3.5</v>
      </c>
      <c r="L300" s="5" t="s">
        <v>1</v>
      </c>
      <c r="M300" s="80">
        <f t="shared" si="179"/>
        <v>3.5</v>
      </c>
      <c r="N300" s="78">
        <f t="shared" si="180"/>
        <v>0</v>
      </c>
      <c r="O300" s="111">
        <f t="shared" si="181"/>
        <v>0</v>
      </c>
      <c r="P300" s="125"/>
      <c r="Q300" s="49"/>
      <c r="R300" s="173"/>
      <c r="S300" s="228"/>
      <c r="T300" s="49"/>
      <c r="U300" s="138"/>
    </row>
    <row r="301" spans="1:21" ht="15.75" hidden="1" thickBot="1" x14ac:dyDescent="0.3">
      <c r="A301" s="31">
        <v>19</v>
      </c>
      <c r="B301" s="4" t="s">
        <v>920</v>
      </c>
      <c r="C301" s="5">
        <v>1</v>
      </c>
      <c r="D301" s="7">
        <v>0</v>
      </c>
      <c r="E301" s="3">
        <f t="shared" si="177"/>
        <v>1</v>
      </c>
      <c r="F301" s="3"/>
      <c r="G301" s="77"/>
      <c r="H301" s="5" t="s">
        <v>1</v>
      </c>
      <c r="I301" s="78">
        <f t="shared" si="178"/>
        <v>0</v>
      </c>
      <c r="J301" s="9"/>
      <c r="K301" s="4">
        <v>5</v>
      </c>
      <c r="L301" s="5" t="s">
        <v>1</v>
      </c>
      <c r="M301" s="80">
        <f t="shared" si="179"/>
        <v>5</v>
      </c>
      <c r="N301" s="78">
        <f t="shared" si="180"/>
        <v>0</v>
      </c>
      <c r="O301" s="111">
        <f t="shared" si="181"/>
        <v>0</v>
      </c>
      <c r="P301" s="125"/>
      <c r="Q301" s="49"/>
      <c r="R301" s="173"/>
      <c r="S301" s="228"/>
      <c r="T301" s="49"/>
      <c r="U301" s="138"/>
    </row>
    <row r="302" spans="1:21" ht="15.75" hidden="1" thickBot="1" x14ac:dyDescent="0.3">
      <c r="A302" s="31">
        <v>20</v>
      </c>
      <c r="B302" s="4" t="s">
        <v>921</v>
      </c>
      <c r="C302" s="5">
        <v>1</v>
      </c>
      <c r="D302" s="7">
        <v>0</v>
      </c>
      <c r="E302" s="3">
        <f t="shared" si="177"/>
        <v>1</v>
      </c>
      <c r="F302" s="3"/>
      <c r="G302" s="77"/>
      <c r="H302" s="5" t="s">
        <v>1</v>
      </c>
      <c r="I302" s="78">
        <f t="shared" si="178"/>
        <v>0</v>
      </c>
      <c r="J302" s="9"/>
      <c r="K302" s="4">
        <v>5</v>
      </c>
      <c r="L302" s="5" t="s">
        <v>1</v>
      </c>
      <c r="M302" s="80">
        <f t="shared" si="179"/>
        <v>5</v>
      </c>
      <c r="N302" s="78">
        <f t="shared" si="180"/>
        <v>0</v>
      </c>
      <c r="O302" s="111">
        <f t="shared" si="181"/>
        <v>0</v>
      </c>
      <c r="P302" s="125"/>
      <c r="Q302" s="49"/>
      <c r="R302" s="173"/>
      <c r="S302" s="228"/>
      <c r="T302" s="49"/>
      <c r="U302" s="138"/>
    </row>
    <row r="303" spans="1:21" ht="15.75" hidden="1" thickBot="1" x14ac:dyDescent="0.3">
      <c r="A303" s="31">
        <v>21</v>
      </c>
      <c r="B303" s="4" t="s">
        <v>922</v>
      </c>
      <c r="C303" s="5">
        <v>1</v>
      </c>
      <c r="D303" s="7">
        <v>0</v>
      </c>
      <c r="E303" s="3">
        <f t="shared" si="177"/>
        <v>1</v>
      </c>
      <c r="F303" s="3"/>
      <c r="G303" s="77"/>
      <c r="H303" s="5" t="s">
        <v>1</v>
      </c>
      <c r="I303" s="78">
        <f t="shared" si="178"/>
        <v>0</v>
      </c>
      <c r="J303" s="9"/>
      <c r="K303" s="4">
        <v>6.5</v>
      </c>
      <c r="L303" s="5" t="s">
        <v>1</v>
      </c>
      <c r="M303" s="80">
        <f t="shared" si="179"/>
        <v>6.5</v>
      </c>
      <c r="N303" s="78">
        <f t="shared" si="180"/>
        <v>0</v>
      </c>
      <c r="O303" s="111">
        <f t="shared" si="181"/>
        <v>0</v>
      </c>
      <c r="P303" s="125"/>
      <c r="Q303" s="49"/>
      <c r="R303" s="173"/>
      <c r="S303" s="228"/>
      <c r="T303" s="49"/>
      <c r="U303" s="138"/>
    </row>
    <row r="304" spans="1:21" ht="15.75" hidden="1" thickBot="1" x14ac:dyDescent="0.3">
      <c r="A304" s="31">
        <v>22</v>
      </c>
      <c r="B304" s="4" t="s">
        <v>923</v>
      </c>
      <c r="C304" s="5">
        <v>1</v>
      </c>
      <c r="D304" s="7">
        <v>0</v>
      </c>
      <c r="E304" s="3">
        <f t="shared" si="177"/>
        <v>1</v>
      </c>
      <c r="F304" s="3"/>
      <c r="G304" s="77"/>
      <c r="H304" s="5" t="s">
        <v>1</v>
      </c>
      <c r="I304" s="78">
        <f t="shared" si="178"/>
        <v>0</v>
      </c>
      <c r="J304" s="9"/>
      <c r="K304" s="4">
        <v>6.5</v>
      </c>
      <c r="L304" s="5" t="s">
        <v>1</v>
      </c>
      <c r="M304" s="80">
        <f t="shared" si="179"/>
        <v>6.5</v>
      </c>
      <c r="N304" s="78">
        <f t="shared" si="180"/>
        <v>0</v>
      </c>
      <c r="O304" s="111">
        <f t="shared" si="181"/>
        <v>0</v>
      </c>
      <c r="P304" s="125"/>
      <c r="Q304" s="49"/>
      <c r="R304" s="173"/>
      <c r="S304" s="228"/>
      <c r="T304" s="49"/>
      <c r="U304" s="138"/>
    </row>
    <row r="305" spans="1:21" ht="15.75" hidden="1" thickBot="1" x14ac:dyDescent="0.3">
      <c r="A305" s="31">
        <v>23</v>
      </c>
      <c r="B305" s="4" t="s">
        <v>924</v>
      </c>
      <c r="C305" s="5">
        <v>1</v>
      </c>
      <c r="D305" s="7">
        <v>0</v>
      </c>
      <c r="E305" s="3">
        <f t="shared" si="177"/>
        <v>1</v>
      </c>
      <c r="F305" s="3"/>
      <c r="G305" s="77"/>
      <c r="H305" s="5" t="s">
        <v>1</v>
      </c>
      <c r="I305" s="78">
        <f t="shared" si="178"/>
        <v>0</v>
      </c>
      <c r="J305" s="9"/>
      <c r="K305" s="4">
        <v>8</v>
      </c>
      <c r="L305" s="5" t="s">
        <v>1</v>
      </c>
      <c r="M305" s="80">
        <f t="shared" si="179"/>
        <v>8</v>
      </c>
      <c r="N305" s="78">
        <f t="shared" si="180"/>
        <v>0</v>
      </c>
      <c r="O305" s="111">
        <f t="shared" si="181"/>
        <v>0</v>
      </c>
      <c r="P305" s="125"/>
      <c r="Q305" s="49"/>
      <c r="R305" s="173"/>
      <c r="S305" s="228"/>
      <c r="T305" s="49"/>
      <c r="U305" s="138"/>
    </row>
    <row r="306" spans="1:21" ht="15.75" hidden="1" thickBot="1" x14ac:dyDescent="0.3">
      <c r="A306" s="31">
        <v>24</v>
      </c>
      <c r="B306" s="4" t="s">
        <v>925</v>
      </c>
      <c r="C306" s="5">
        <v>1</v>
      </c>
      <c r="D306" s="7">
        <v>0</v>
      </c>
      <c r="E306" s="3">
        <f t="shared" si="177"/>
        <v>1</v>
      </c>
      <c r="F306" s="3"/>
      <c r="G306" s="77"/>
      <c r="H306" s="5" t="s">
        <v>1</v>
      </c>
      <c r="I306" s="78">
        <f t="shared" si="178"/>
        <v>0</v>
      </c>
      <c r="J306" s="9"/>
      <c r="K306" s="4">
        <v>8</v>
      </c>
      <c r="L306" s="5" t="s">
        <v>1</v>
      </c>
      <c r="M306" s="80">
        <f t="shared" si="179"/>
        <v>8</v>
      </c>
      <c r="N306" s="78">
        <f t="shared" si="180"/>
        <v>0</v>
      </c>
      <c r="O306" s="111">
        <f t="shared" si="181"/>
        <v>0</v>
      </c>
      <c r="P306" s="125"/>
      <c r="Q306" s="49"/>
      <c r="R306" s="173"/>
      <c r="S306" s="228"/>
      <c r="T306" s="49"/>
      <c r="U306" s="138"/>
    </row>
    <row r="307" spans="1:21" ht="15.75" hidden="1" thickBot="1" x14ac:dyDescent="0.3">
      <c r="A307" s="31">
        <v>25</v>
      </c>
      <c r="B307" s="4" t="s">
        <v>926</v>
      </c>
      <c r="C307" s="5">
        <v>1</v>
      </c>
      <c r="D307" s="7">
        <v>0</v>
      </c>
      <c r="E307" s="3">
        <f t="shared" si="177"/>
        <v>1</v>
      </c>
      <c r="F307" s="3"/>
      <c r="G307" s="77"/>
      <c r="H307" s="5" t="s">
        <v>1</v>
      </c>
      <c r="I307" s="78">
        <f t="shared" si="178"/>
        <v>0</v>
      </c>
      <c r="J307" s="9"/>
      <c r="K307" s="4">
        <v>10</v>
      </c>
      <c r="L307" s="5" t="s">
        <v>1</v>
      </c>
      <c r="M307" s="80">
        <f t="shared" si="179"/>
        <v>10</v>
      </c>
      <c r="N307" s="78">
        <f t="shared" si="180"/>
        <v>0</v>
      </c>
      <c r="O307" s="111">
        <f t="shared" si="181"/>
        <v>0</v>
      </c>
      <c r="P307" s="125"/>
      <c r="Q307" s="49"/>
      <c r="R307" s="173"/>
      <c r="S307" s="228"/>
      <c r="T307" s="49"/>
      <c r="U307" s="138"/>
    </row>
    <row r="308" spans="1:21" ht="15.75" hidden="1" thickBot="1" x14ac:dyDescent="0.3">
      <c r="A308" s="31">
        <v>26</v>
      </c>
      <c r="B308" s="4" t="s">
        <v>927</v>
      </c>
      <c r="C308" s="5">
        <v>1</v>
      </c>
      <c r="D308" s="7">
        <v>0</v>
      </c>
      <c r="E308" s="3">
        <f t="shared" si="177"/>
        <v>1</v>
      </c>
      <c r="F308" s="3"/>
      <c r="G308" s="77"/>
      <c r="H308" s="5" t="s">
        <v>1</v>
      </c>
      <c r="I308" s="78">
        <f t="shared" si="178"/>
        <v>0</v>
      </c>
      <c r="J308" s="9"/>
      <c r="K308" s="4">
        <v>10</v>
      </c>
      <c r="L308" s="5" t="s">
        <v>1</v>
      </c>
      <c r="M308" s="80">
        <f t="shared" si="179"/>
        <v>10</v>
      </c>
      <c r="N308" s="78">
        <f t="shared" si="180"/>
        <v>0</v>
      </c>
      <c r="O308" s="111">
        <f t="shared" si="181"/>
        <v>0</v>
      </c>
      <c r="P308" s="125"/>
      <c r="Q308" s="49"/>
      <c r="R308" s="173"/>
      <c r="S308" s="228"/>
      <c r="T308" s="49"/>
      <c r="U308" s="138"/>
    </row>
    <row r="309" spans="1:21" ht="15.75" hidden="1" thickBot="1" x14ac:dyDescent="0.3">
      <c r="A309" s="31">
        <v>27</v>
      </c>
      <c r="B309" s="4" t="s">
        <v>928</v>
      </c>
      <c r="C309" s="5">
        <v>1</v>
      </c>
      <c r="D309" s="7">
        <v>0</v>
      </c>
      <c r="E309" s="3">
        <f t="shared" si="177"/>
        <v>1</v>
      </c>
      <c r="F309" s="3"/>
      <c r="G309" s="77"/>
      <c r="H309" s="5" t="s">
        <v>1</v>
      </c>
      <c r="I309" s="78">
        <f t="shared" si="178"/>
        <v>0</v>
      </c>
      <c r="J309" s="9"/>
      <c r="K309" s="4">
        <v>12.5</v>
      </c>
      <c r="L309" s="5" t="s">
        <v>1</v>
      </c>
      <c r="M309" s="80">
        <f t="shared" si="179"/>
        <v>12.5</v>
      </c>
      <c r="N309" s="78">
        <f t="shared" si="180"/>
        <v>0</v>
      </c>
      <c r="O309" s="111">
        <f t="shared" si="181"/>
        <v>0</v>
      </c>
      <c r="P309" s="125"/>
      <c r="Q309" s="49"/>
      <c r="R309" s="173"/>
      <c r="S309" s="228"/>
      <c r="T309" s="49"/>
      <c r="U309" s="138"/>
    </row>
    <row r="310" spans="1:21" ht="15.75" hidden="1" thickBot="1" x14ac:dyDescent="0.3">
      <c r="A310" s="31"/>
      <c r="B310" s="4"/>
      <c r="C310" s="5"/>
      <c r="D310" s="5"/>
      <c r="E310" s="5"/>
      <c r="F310" s="5"/>
      <c r="G310" s="9"/>
      <c r="H310" s="5"/>
      <c r="I310" s="9"/>
      <c r="J310" s="4"/>
      <c r="K310" s="15"/>
      <c r="L310" s="5"/>
      <c r="M310" s="15"/>
      <c r="N310" s="4"/>
      <c r="O310" s="42"/>
      <c r="P310" s="125"/>
      <c r="Q310" s="49"/>
      <c r="R310" s="173"/>
      <c r="S310" s="228"/>
      <c r="T310" s="49"/>
      <c r="U310" s="138"/>
    </row>
    <row r="311" spans="1:21" ht="15.75" hidden="1" thickBot="1" x14ac:dyDescent="0.3">
      <c r="A311" s="31"/>
      <c r="B311" s="26" t="s">
        <v>961</v>
      </c>
      <c r="C311" s="5"/>
      <c r="D311" s="5"/>
      <c r="E311" s="5"/>
      <c r="F311" s="5"/>
      <c r="G311" s="9"/>
      <c r="H311" s="5"/>
      <c r="I311" s="78"/>
      <c r="J311" s="4"/>
      <c r="K311" s="4"/>
      <c r="L311" s="5"/>
      <c r="M311" s="80"/>
      <c r="N311" s="78"/>
      <c r="O311" s="111"/>
      <c r="P311" s="125"/>
      <c r="Q311" s="49"/>
      <c r="R311" s="173"/>
      <c r="S311" s="228"/>
      <c r="T311" s="49"/>
      <c r="U311" s="138"/>
    </row>
    <row r="312" spans="1:21" ht="15.75" hidden="1" thickBot="1" x14ac:dyDescent="0.3">
      <c r="A312" s="31"/>
      <c r="B312" s="4"/>
      <c r="C312" s="5"/>
      <c r="D312" s="7"/>
      <c r="E312" s="3"/>
      <c r="F312" s="3"/>
      <c r="G312" s="77"/>
      <c r="H312" s="5"/>
      <c r="I312" s="78"/>
      <c r="J312" s="9"/>
      <c r="K312" s="4"/>
      <c r="L312" s="5"/>
      <c r="M312" s="80"/>
      <c r="N312" s="78"/>
      <c r="O312" s="111"/>
      <c r="P312" s="125"/>
      <c r="Q312" s="49"/>
      <c r="R312" s="173"/>
      <c r="S312" s="228"/>
      <c r="T312" s="49"/>
      <c r="U312" s="138"/>
    </row>
    <row r="313" spans="1:21" ht="15.75" hidden="1" thickBot="1" x14ac:dyDescent="0.3">
      <c r="A313" s="31"/>
      <c r="B313" s="26" t="s">
        <v>960</v>
      </c>
      <c r="C313" s="5"/>
      <c r="D313" s="7"/>
      <c r="E313" s="3"/>
      <c r="F313" s="3"/>
      <c r="G313" s="77"/>
      <c r="H313" s="5"/>
      <c r="I313" s="78"/>
      <c r="J313" s="9"/>
      <c r="K313" s="4"/>
      <c r="L313" s="5"/>
      <c r="M313" s="80"/>
      <c r="N313" s="78"/>
      <c r="O313" s="111"/>
      <c r="P313" s="125"/>
      <c r="Q313" s="49"/>
      <c r="R313" s="173"/>
      <c r="S313" s="228"/>
      <c r="T313" s="49"/>
      <c r="U313" s="138"/>
    </row>
    <row r="314" spans="1:21" ht="15.75" hidden="1" thickBot="1" x14ac:dyDescent="0.3">
      <c r="A314" s="31">
        <v>1</v>
      </c>
      <c r="B314" s="4" t="s">
        <v>929</v>
      </c>
      <c r="C314" s="5">
        <v>1</v>
      </c>
      <c r="D314" s="7">
        <v>0</v>
      </c>
      <c r="E314" s="3">
        <f t="shared" ref="E314:E340" si="182">C314+(C314*D314)</f>
        <v>1</v>
      </c>
      <c r="F314" s="3"/>
      <c r="G314" s="77"/>
      <c r="H314" s="5" t="s">
        <v>1</v>
      </c>
      <c r="I314" s="78">
        <f t="shared" ref="I314:I340" si="183">G314*E314</f>
        <v>0</v>
      </c>
      <c r="J314" s="9"/>
      <c r="K314" s="4">
        <v>0.95</v>
      </c>
      <c r="L314" s="5" t="s">
        <v>1</v>
      </c>
      <c r="M314" s="80">
        <f t="shared" ref="M314:M340" si="184">K314*E314</f>
        <v>0.95</v>
      </c>
      <c r="N314" s="78">
        <f t="shared" ref="N314:N340" si="185">M314*J314</f>
        <v>0</v>
      </c>
      <c r="O314" s="111">
        <f t="shared" ref="O314:O340" si="186">N314+I314</f>
        <v>0</v>
      </c>
      <c r="P314" s="125"/>
      <c r="Q314" s="49"/>
      <c r="R314" s="173"/>
      <c r="S314" s="228"/>
      <c r="T314" s="49"/>
      <c r="U314" s="138"/>
    </row>
    <row r="315" spans="1:21" ht="15.75" hidden="1" thickBot="1" x14ac:dyDescent="0.3">
      <c r="A315" s="31">
        <v>2</v>
      </c>
      <c r="B315" s="4" t="s">
        <v>930</v>
      </c>
      <c r="C315" s="5">
        <v>1</v>
      </c>
      <c r="D315" s="7">
        <v>0</v>
      </c>
      <c r="E315" s="3">
        <f t="shared" si="182"/>
        <v>1</v>
      </c>
      <c r="F315" s="3"/>
      <c r="G315" s="77"/>
      <c r="H315" s="5" t="s">
        <v>1</v>
      </c>
      <c r="I315" s="78">
        <f t="shared" si="183"/>
        <v>0</v>
      </c>
      <c r="J315" s="9"/>
      <c r="K315" s="4">
        <v>0.95</v>
      </c>
      <c r="L315" s="5" t="s">
        <v>1</v>
      </c>
      <c r="M315" s="80">
        <f t="shared" si="184"/>
        <v>0.95</v>
      </c>
      <c r="N315" s="78">
        <f t="shared" si="185"/>
        <v>0</v>
      </c>
      <c r="O315" s="111">
        <f t="shared" si="186"/>
        <v>0</v>
      </c>
      <c r="P315" s="125"/>
      <c r="Q315" s="49"/>
      <c r="R315" s="173"/>
      <c r="S315" s="228"/>
      <c r="T315" s="49"/>
      <c r="U315" s="138"/>
    </row>
    <row r="316" spans="1:21" ht="15.75" hidden="1" thickBot="1" x14ac:dyDescent="0.3">
      <c r="A316" s="31">
        <v>3</v>
      </c>
      <c r="B316" s="4" t="s">
        <v>931</v>
      </c>
      <c r="C316" s="5">
        <v>1</v>
      </c>
      <c r="D316" s="7">
        <v>0</v>
      </c>
      <c r="E316" s="3">
        <f t="shared" si="182"/>
        <v>1</v>
      </c>
      <c r="F316" s="3"/>
      <c r="G316" s="77"/>
      <c r="H316" s="5" t="s">
        <v>1</v>
      </c>
      <c r="I316" s="78">
        <f t="shared" si="183"/>
        <v>0</v>
      </c>
      <c r="J316" s="9"/>
      <c r="K316" s="4">
        <v>0.95</v>
      </c>
      <c r="L316" s="5" t="s">
        <v>1</v>
      </c>
      <c r="M316" s="80">
        <f t="shared" si="184"/>
        <v>0.95</v>
      </c>
      <c r="N316" s="78">
        <f t="shared" si="185"/>
        <v>0</v>
      </c>
      <c r="O316" s="111">
        <f t="shared" si="186"/>
        <v>0</v>
      </c>
      <c r="P316" s="125"/>
      <c r="Q316" s="49"/>
      <c r="R316" s="173"/>
      <c r="S316" s="228"/>
      <c r="T316" s="49"/>
      <c r="U316" s="138"/>
    </row>
    <row r="317" spans="1:21" ht="15.75" hidden="1" thickBot="1" x14ac:dyDescent="0.3">
      <c r="A317" s="31">
        <v>4</v>
      </c>
      <c r="B317" s="4" t="s">
        <v>932</v>
      </c>
      <c r="C317" s="5">
        <v>1</v>
      </c>
      <c r="D317" s="7">
        <v>0</v>
      </c>
      <c r="E317" s="3">
        <f t="shared" si="182"/>
        <v>1</v>
      </c>
      <c r="F317" s="3"/>
      <c r="G317" s="77"/>
      <c r="H317" s="5" t="s">
        <v>1</v>
      </c>
      <c r="I317" s="78">
        <f t="shared" si="183"/>
        <v>0</v>
      </c>
      <c r="J317" s="9"/>
      <c r="K317" s="4">
        <v>0.95</v>
      </c>
      <c r="L317" s="5" t="s">
        <v>1</v>
      </c>
      <c r="M317" s="80">
        <f t="shared" si="184"/>
        <v>0.95</v>
      </c>
      <c r="N317" s="78">
        <f t="shared" si="185"/>
        <v>0</v>
      </c>
      <c r="O317" s="111">
        <f t="shared" si="186"/>
        <v>0</v>
      </c>
      <c r="P317" s="125"/>
      <c r="Q317" s="49"/>
      <c r="R317" s="173"/>
      <c r="S317" s="228"/>
      <c r="T317" s="49"/>
      <c r="U317" s="138"/>
    </row>
    <row r="318" spans="1:21" ht="15.75" hidden="1" thickBot="1" x14ac:dyDescent="0.3">
      <c r="A318" s="31">
        <v>5</v>
      </c>
      <c r="B318" s="4" t="s">
        <v>933</v>
      </c>
      <c r="C318" s="5">
        <v>1</v>
      </c>
      <c r="D318" s="7">
        <v>0</v>
      </c>
      <c r="E318" s="3">
        <f t="shared" si="182"/>
        <v>1</v>
      </c>
      <c r="F318" s="3"/>
      <c r="G318" s="77"/>
      <c r="H318" s="5" t="s">
        <v>1</v>
      </c>
      <c r="I318" s="78">
        <f t="shared" si="183"/>
        <v>0</v>
      </c>
      <c r="J318" s="9"/>
      <c r="K318" s="4">
        <v>0.95</v>
      </c>
      <c r="L318" s="5" t="s">
        <v>1</v>
      </c>
      <c r="M318" s="80">
        <f t="shared" si="184"/>
        <v>0.95</v>
      </c>
      <c r="N318" s="78">
        <f t="shared" si="185"/>
        <v>0</v>
      </c>
      <c r="O318" s="111">
        <f t="shared" si="186"/>
        <v>0</v>
      </c>
      <c r="P318" s="125"/>
      <c r="Q318" s="49"/>
      <c r="R318" s="173"/>
      <c r="S318" s="228"/>
      <c r="T318" s="49"/>
      <c r="U318" s="138"/>
    </row>
    <row r="319" spans="1:21" ht="15.75" hidden="1" thickBot="1" x14ac:dyDescent="0.3">
      <c r="A319" s="31">
        <v>6</v>
      </c>
      <c r="B319" s="4" t="s">
        <v>934</v>
      </c>
      <c r="C319" s="5">
        <v>1</v>
      </c>
      <c r="D319" s="7">
        <v>0</v>
      </c>
      <c r="E319" s="3">
        <f t="shared" si="182"/>
        <v>1</v>
      </c>
      <c r="F319" s="3"/>
      <c r="G319" s="77"/>
      <c r="H319" s="5" t="s">
        <v>1</v>
      </c>
      <c r="I319" s="78">
        <f t="shared" si="183"/>
        <v>0</v>
      </c>
      <c r="J319" s="9"/>
      <c r="K319" s="4">
        <v>0.95</v>
      </c>
      <c r="L319" s="5" t="s">
        <v>1</v>
      </c>
      <c r="M319" s="80">
        <f t="shared" si="184"/>
        <v>0.95</v>
      </c>
      <c r="N319" s="78">
        <f t="shared" si="185"/>
        <v>0</v>
      </c>
      <c r="O319" s="111">
        <f t="shared" si="186"/>
        <v>0</v>
      </c>
      <c r="P319" s="125"/>
      <c r="Q319" s="49"/>
      <c r="R319" s="173"/>
      <c r="S319" s="228"/>
      <c r="T319" s="49"/>
      <c r="U319" s="138"/>
    </row>
    <row r="320" spans="1:21" ht="15.75" hidden="1" thickBot="1" x14ac:dyDescent="0.3">
      <c r="A320" s="31">
        <v>7</v>
      </c>
      <c r="B320" s="4" t="s">
        <v>935</v>
      </c>
      <c r="C320" s="5">
        <v>1</v>
      </c>
      <c r="D320" s="7">
        <v>0</v>
      </c>
      <c r="E320" s="3">
        <f t="shared" si="182"/>
        <v>1</v>
      </c>
      <c r="F320" s="3"/>
      <c r="G320" s="77"/>
      <c r="H320" s="5" t="s">
        <v>1</v>
      </c>
      <c r="I320" s="78">
        <f t="shared" si="183"/>
        <v>0</v>
      </c>
      <c r="J320" s="9"/>
      <c r="K320" s="4">
        <v>0.95</v>
      </c>
      <c r="L320" s="5" t="s">
        <v>1</v>
      </c>
      <c r="M320" s="80">
        <f t="shared" si="184"/>
        <v>0.95</v>
      </c>
      <c r="N320" s="78">
        <f t="shared" si="185"/>
        <v>0</v>
      </c>
      <c r="O320" s="111">
        <f t="shared" si="186"/>
        <v>0</v>
      </c>
      <c r="P320" s="125"/>
      <c r="Q320" s="49"/>
      <c r="R320" s="173"/>
      <c r="S320" s="228"/>
      <c r="T320" s="49"/>
      <c r="U320" s="138"/>
    </row>
    <row r="321" spans="1:21" ht="15.75" hidden="1" thickBot="1" x14ac:dyDescent="0.3">
      <c r="A321" s="31">
        <v>8</v>
      </c>
      <c r="B321" s="4" t="s">
        <v>936</v>
      </c>
      <c r="C321" s="5">
        <v>1</v>
      </c>
      <c r="D321" s="7">
        <v>0</v>
      </c>
      <c r="E321" s="3">
        <f t="shared" si="182"/>
        <v>1</v>
      </c>
      <c r="F321" s="3"/>
      <c r="G321" s="77"/>
      <c r="H321" s="5" t="s">
        <v>1</v>
      </c>
      <c r="I321" s="78">
        <f t="shared" si="183"/>
        <v>0</v>
      </c>
      <c r="J321" s="9"/>
      <c r="K321" s="4">
        <v>1.25</v>
      </c>
      <c r="L321" s="5" t="s">
        <v>1</v>
      </c>
      <c r="M321" s="80">
        <f t="shared" si="184"/>
        <v>1.25</v>
      </c>
      <c r="N321" s="78">
        <f t="shared" si="185"/>
        <v>0</v>
      </c>
      <c r="O321" s="111">
        <f t="shared" si="186"/>
        <v>0</v>
      </c>
      <c r="P321" s="125"/>
      <c r="Q321" s="49"/>
      <c r="R321" s="173"/>
      <c r="S321" s="228"/>
      <c r="T321" s="49"/>
      <c r="U321" s="138"/>
    </row>
    <row r="322" spans="1:21" ht="15.75" hidden="1" thickBot="1" x14ac:dyDescent="0.3">
      <c r="A322" s="31">
        <v>9</v>
      </c>
      <c r="B322" s="4" t="s">
        <v>937</v>
      </c>
      <c r="C322" s="5">
        <v>1</v>
      </c>
      <c r="D322" s="7">
        <v>0</v>
      </c>
      <c r="E322" s="3">
        <f t="shared" si="182"/>
        <v>1</v>
      </c>
      <c r="F322" s="3"/>
      <c r="G322" s="77"/>
      <c r="H322" s="5" t="s">
        <v>1</v>
      </c>
      <c r="I322" s="78">
        <f t="shared" si="183"/>
        <v>0</v>
      </c>
      <c r="J322" s="9"/>
      <c r="K322" s="4">
        <v>1.4</v>
      </c>
      <c r="L322" s="5" t="s">
        <v>1</v>
      </c>
      <c r="M322" s="80">
        <f t="shared" si="184"/>
        <v>1.4</v>
      </c>
      <c r="N322" s="78">
        <f t="shared" si="185"/>
        <v>0</v>
      </c>
      <c r="O322" s="111">
        <f t="shared" si="186"/>
        <v>0</v>
      </c>
      <c r="P322" s="125"/>
      <c r="Q322" s="49"/>
      <c r="R322" s="173"/>
      <c r="S322" s="228"/>
      <c r="T322" s="49"/>
      <c r="U322" s="138"/>
    </row>
    <row r="323" spans="1:21" ht="15.75" hidden="1" thickBot="1" x14ac:dyDescent="0.3">
      <c r="A323" s="31">
        <v>10</v>
      </c>
      <c r="B323" s="4" t="s">
        <v>938</v>
      </c>
      <c r="C323" s="5">
        <v>1</v>
      </c>
      <c r="D323" s="7">
        <v>0</v>
      </c>
      <c r="E323" s="3">
        <f t="shared" si="182"/>
        <v>1</v>
      </c>
      <c r="F323" s="3"/>
      <c r="G323" s="77"/>
      <c r="H323" s="5" t="s">
        <v>1</v>
      </c>
      <c r="I323" s="78">
        <f t="shared" si="183"/>
        <v>0</v>
      </c>
      <c r="J323" s="9"/>
      <c r="K323" s="4">
        <v>1.4</v>
      </c>
      <c r="L323" s="5" t="s">
        <v>1</v>
      </c>
      <c r="M323" s="80">
        <f t="shared" si="184"/>
        <v>1.4</v>
      </c>
      <c r="N323" s="78">
        <f t="shared" si="185"/>
        <v>0</v>
      </c>
      <c r="O323" s="111">
        <f t="shared" si="186"/>
        <v>0</v>
      </c>
      <c r="P323" s="125"/>
      <c r="Q323" s="49"/>
      <c r="R323" s="173"/>
      <c r="S323" s="228"/>
      <c r="T323" s="49"/>
      <c r="U323" s="138"/>
    </row>
    <row r="324" spans="1:21" ht="15.75" hidden="1" thickBot="1" x14ac:dyDescent="0.3">
      <c r="A324" s="31">
        <v>11</v>
      </c>
      <c r="B324" s="4" t="s">
        <v>939</v>
      </c>
      <c r="C324" s="5">
        <v>1</v>
      </c>
      <c r="D324" s="7">
        <v>0</v>
      </c>
      <c r="E324" s="3">
        <f t="shared" si="182"/>
        <v>1</v>
      </c>
      <c r="F324" s="3"/>
      <c r="G324" s="77"/>
      <c r="H324" s="5" t="s">
        <v>1</v>
      </c>
      <c r="I324" s="78">
        <f t="shared" si="183"/>
        <v>0</v>
      </c>
      <c r="J324" s="9"/>
      <c r="K324" s="4">
        <v>1.5</v>
      </c>
      <c r="L324" s="5" t="s">
        <v>1</v>
      </c>
      <c r="M324" s="80">
        <f t="shared" si="184"/>
        <v>1.5</v>
      </c>
      <c r="N324" s="78">
        <f t="shared" si="185"/>
        <v>0</v>
      </c>
      <c r="O324" s="111">
        <f t="shared" si="186"/>
        <v>0</v>
      </c>
      <c r="P324" s="125"/>
      <c r="Q324" s="49"/>
      <c r="R324" s="173"/>
      <c r="S324" s="228"/>
      <c r="T324" s="49"/>
      <c r="U324" s="138"/>
    </row>
    <row r="325" spans="1:21" ht="15.75" hidden="1" thickBot="1" x14ac:dyDescent="0.3">
      <c r="A325" s="31">
        <v>12</v>
      </c>
      <c r="B325" s="4" t="s">
        <v>940</v>
      </c>
      <c r="C325" s="5">
        <v>1</v>
      </c>
      <c r="D325" s="7">
        <v>0</v>
      </c>
      <c r="E325" s="3">
        <f t="shared" si="182"/>
        <v>1</v>
      </c>
      <c r="F325" s="3"/>
      <c r="G325" s="77"/>
      <c r="H325" s="5" t="s">
        <v>1</v>
      </c>
      <c r="I325" s="78">
        <f t="shared" si="183"/>
        <v>0</v>
      </c>
      <c r="J325" s="9"/>
      <c r="K325" s="4">
        <v>1.5</v>
      </c>
      <c r="L325" s="5" t="s">
        <v>1</v>
      </c>
      <c r="M325" s="80">
        <f t="shared" si="184"/>
        <v>1.5</v>
      </c>
      <c r="N325" s="78">
        <f t="shared" si="185"/>
        <v>0</v>
      </c>
      <c r="O325" s="111">
        <f t="shared" si="186"/>
        <v>0</v>
      </c>
      <c r="P325" s="125"/>
      <c r="Q325" s="49"/>
      <c r="R325" s="173"/>
      <c r="S325" s="228"/>
      <c r="T325" s="49"/>
      <c r="U325" s="138"/>
    </row>
    <row r="326" spans="1:21" ht="15.75" hidden="1" thickBot="1" x14ac:dyDescent="0.3">
      <c r="A326" s="31">
        <v>13</v>
      </c>
      <c r="B326" s="4" t="s">
        <v>941</v>
      </c>
      <c r="C326" s="5">
        <v>1</v>
      </c>
      <c r="D326" s="7">
        <v>0</v>
      </c>
      <c r="E326" s="3">
        <f t="shared" si="182"/>
        <v>1</v>
      </c>
      <c r="F326" s="3"/>
      <c r="G326" s="77"/>
      <c r="H326" s="5" t="s">
        <v>1</v>
      </c>
      <c r="I326" s="78">
        <f t="shared" si="183"/>
        <v>0</v>
      </c>
      <c r="J326" s="9"/>
      <c r="K326" s="4">
        <v>1.6</v>
      </c>
      <c r="L326" s="5" t="s">
        <v>1</v>
      </c>
      <c r="M326" s="80">
        <f t="shared" si="184"/>
        <v>1.6</v>
      </c>
      <c r="N326" s="78">
        <f t="shared" si="185"/>
        <v>0</v>
      </c>
      <c r="O326" s="111">
        <f t="shared" si="186"/>
        <v>0</v>
      </c>
      <c r="P326" s="125"/>
      <c r="Q326" s="49"/>
      <c r="R326" s="173"/>
      <c r="S326" s="228"/>
      <c r="T326" s="49"/>
      <c r="U326" s="138"/>
    </row>
    <row r="327" spans="1:21" ht="15.75" hidden="1" thickBot="1" x14ac:dyDescent="0.3">
      <c r="A327" s="31">
        <v>14</v>
      </c>
      <c r="B327" s="4" t="s">
        <v>942</v>
      </c>
      <c r="C327" s="5">
        <v>1</v>
      </c>
      <c r="D327" s="7">
        <v>0</v>
      </c>
      <c r="E327" s="3">
        <f t="shared" si="182"/>
        <v>1</v>
      </c>
      <c r="F327" s="3"/>
      <c r="G327" s="77"/>
      <c r="H327" s="5" t="s">
        <v>1</v>
      </c>
      <c r="I327" s="78">
        <f t="shared" si="183"/>
        <v>0</v>
      </c>
      <c r="J327" s="9"/>
      <c r="K327" s="4">
        <v>1.75</v>
      </c>
      <c r="L327" s="5" t="s">
        <v>1</v>
      </c>
      <c r="M327" s="80">
        <f t="shared" si="184"/>
        <v>1.75</v>
      </c>
      <c r="N327" s="78">
        <f t="shared" si="185"/>
        <v>0</v>
      </c>
      <c r="O327" s="111">
        <f t="shared" si="186"/>
        <v>0</v>
      </c>
      <c r="P327" s="125"/>
      <c r="Q327" s="49"/>
      <c r="R327" s="173"/>
      <c r="S327" s="228"/>
      <c r="T327" s="49"/>
      <c r="U327" s="138"/>
    </row>
    <row r="328" spans="1:21" ht="15.75" hidden="1" thickBot="1" x14ac:dyDescent="0.3">
      <c r="A328" s="31">
        <v>15</v>
      </c>
      <c r="B328" s="4" t="s">
        <v>943</v>
      </c>
      <c r="C328" s="5">
        <v>1</v>
      </c>
      <c r="D328" s="7">
        <v>0</v>
      </c>
      <c r="E328" s="3">
        <f t="shared" si="182"/>
        <v>1</v>
      </c>
      <c r="F328" s="3"/>
      <c r="G328" s="77"/>
      <c r="H328" s="5" t="s">
        <v>1</v>
      </c>
      <c r="I328" s="78">
        <f t="shared" si="183"/>
        <v>0</v>
      </c>
      <c r="J328" s="9"/>
      <c r="K328" s="4">
        <v>1.75</v>
      </c>
      <c r="L328" s="5" t="s">
        <v>1</v>
      </c>
      <c r="M328" s="80">
        <f t="shared" si="184"/>
        <v>1.75</v>
      </c>
      <c r="N328" s="78">
        <f t="shared" si="185"/>
        <v>0</v>
      </c>
      <c r="O328" s="111">
        <f t="shared" si="186"/>
        <v>0</v>
      </c>
      <c r="P328" s="125"/>
      <c r="Q328" s="49"/>
      <c r="R328" s="173"/>
      <c r="S328" s="228"/>
      <c r="T328" s="49"/>
      <c r="U328" s="138"/>
    </row>
    <row r="329" spans="1:21" ht="15.75" hidden="1" thickBot="1" x14ac:dyDescent="0.3">
      <c r="A329" s="31">
        <v>16</v>
      </c>
      <c r="B329" s="4" t="s">
        <v>944</v>
      </c>
      <c r="C329" s="5">
        <v>1</v>
      </c>
      <c r="D329" s="7">
        <v>0</v>
      </c>
      <c r="E329" s="3">
        <f t="shared" si="182"/>
        <v>1</v>
      </c>
      <c r="F329" s="3"/>
      <c r="G329" s="77"/>
      <c r="H329" s="5" t="s">
        <v>1</v>
      </c>
      <c r="I329" s="78">
        <f t="shared" si="183"/>
        <v>0</v>
      </c>
      <c r="J329" s="9"/>
      <c r="K329" s="4">
        <v>2.5</v>
      </c>
      <c r="L329" s="5" t="s">
        <v>1</v>
      </c>
      <c r="M329" s="80">
        <f t="shared" si="184"/>
        <v>2.5</v>
      </c>
      <c r="N329" s="78">
        <f t="shared" si="185"/>
        <v>0</v>
      </c>
      <c r="O329" s="111">
        <f t="shared" si="186"/>
        <v>0</v>
      </c>
      <c r="P329" s="125"/>
      <c r="Q329" s="49"/>
      <c r="R329" s="173"/>
      <c r="S329" s="228"/>
      <c r="T329" s="49"/>
      <c r="U329" s="138"/>
    </row>
    <row r="330" spans="1:21" ht="15.75" hidden="1" thickBot="1" x14ac:dyDescent="0.3">
      <c r="A330" s="31">
        <v>17</v>
      </c>
      <c r="B330" s="4" t="s">
        <v>945</v>
      </c>
      <c r="C330" s="5">
        <v>1</v>
      </c>
      <c r="D330" s="7">
        <v>0</v>
      </c>
      <c r="E330" s="3">
        <f t="shared" si="182"/>
        <v>1</v>
      </c>
      <c r="F330" s="3"/>
      <c r="G330" s="77"/>
      <c r="H330" s="5" t="s">
        <v>1</v>
      </c>
      <c r="I330" s="78">
        <f t="shared" si="183"/>
        <v>0</v>
      </c>
      <c r="J330" s="9"/>
      <c r="K330" s="4">
        <v>3.5</v>
      </c>
      <c r="L330" s="5" t="s">
        <v>1</v>
      </c>
      <c r="M330" s="80">
        <f t="shared" si="184"/>
        <v>3.5</v>
      </c>
      <c r="N330" s="78">
        <f t="shared" si="185"/>
        <v>0</v>
      </c>
      <c r="O330" s="111">
        <f t="shared" si="186"/>
        <v>0</v>
      </c>
      <c r="P330" s="125"/>
      <c r="Q330" s="49"/>
      <c r="R330" s="173"/>
      <c r="S330" s="228"/>
      <c r="T330" s="49"/>
      <c r="U330" s="138"/>
    </row>
    <row r="331" spans="1:21" ht="15.75" hidden="1" thickBot="1" x14ac:dyDescent="0.3">
      <c r="A331" s="31">
        <v>18</v>
      </c>
      <c r="B331" s="4" t="s">
        <v>946</v>
      </c>
      <c r="C331" s="5">
        <v>1</v>
      </c>
      <c r="D331" s="7">
        <v>0</v>
      </c>
      <c r="E331" s="3">
        <f t="shared" si="182"/>
        <v>1</v>
      </c>
      <c r="F331" s="3"/>
      <c r="G331" s="77"/>
      <c r="H331" s="5" t="s">
        <v>1</v>
      </c>
      <c r="I331" s="78">
        <f t="shared" si="183"/>
        <v>0</v>
      </c>
      <c r="J331" s="9"/>
      <c r="K331" s="4">
        <v>5</v>
      </c>
      <c r="L331" s="5" t="s">
        <v>1</v>
      </c>
      <c r="M331" s="80">
        <f t="shared" si="184"/>
        <v>5</v>
      </c>
      <c r="N331" s="78">
        <f t="shared" si="185"/>
        <v>0</v>
      </c>
      <c r="O331" s="111">
        <f t="shared" si="186"/>
        <v>0</v>
      </c>
      <c r="P331" s="125"/>
      <c r="Q331" s="49"/>
      <c r="R331" s="173"/>
      <c r="S331" s="228"/>
      <c r="T331" s="49"/>
      <c r="U331" s="138"/>
    </row>
    <row r="332" spans="1:21" ht="15.75" hidden="1" thickBot="1" x14ac:dyDescent="0.3">
      <c r="A332" s="31">
        <v>19</v>
      </c>
      <c r="B332" s="4" t="s">
        <v>947</v>
      </c>
      <c r="C332" s="5">
        <v>1</v>
      </c>
      <c r="D332" s="7">
        <v>0</v>
      </c>
      <c r="E332" s="3">
        <f t="shared" si="182"/>
        <v>1</v>
      </c>
      <c r="F332" s="3"/>
      <c r="G332" s="77"/>
      <c r="H332" s="5" t="s">
        <v>1</v>
      </c>
      <c r="I332" s="78">
        <f t="shared" si="183"/>
        <v>0</v>
      </c>
      <c r="J332" s="9"/>
      <c r="K332" s="4">
        <v>9</v>
      </c>
      <c r="L332" s="5" t="s">
        <v>1</v>
      </c>
      <c r="M332" s="80">
        <f t="shared" si="184"/>
        <v>9</v>
      </c>
      <c r="N332" s="78">
        <f t="shared" si="185"/>
        <v>0</v>
      </c>
      <c r="O332" s="111">
        <f t="shared" si="186"/>
        <v>0</v>
      </c>
      <c r="P332" s="125"/>
      <c r="Q332" s="49"/>
      <c r="R332" s="173"/>
      <c r="S332" s="228"/>
      <c r="T332" s="49"/>
      <c r="U332" s="138"/>
    </row>
    <row r="333" spans="1:21" ht="15.75" hidden="1" thickBot="1" x14ac:dyDescent="0.3">
      <c r="A333" s="31">
        <v>20</v>
      </c>
      <c r="B333" s="4" t="s">
        <v>948</v>
      </c>
      <c r="C333" s="5">
        <v>1</v>
      </c>
      <c r="D333" s="7">
        <v>0</v>
      </c>
      <c r="E333" s="3">
        <f t="shared" si="182"/>
        <v>1</v>
      </c>
      <c r="F333" s="3"/>
      <c r="G333" s="77"/>
      <c r="H333" s="5" t="s">
        <v>1</v>
      </c>
      <c r="I333" s="78">
        <f t="shared" si="183"/>
        <v>0</v>
      </c>
      <c r="J333" s="9"/>
      <c r="K333" s="4">
        <v>9</v>
      </c>
      <c r="L333" s="5" t="s">
        <v>1</v>
      </c>
      <c r="M333" s="80">
        <f t="shared" si="184"/>
        <v>9</v>
      </c>
      <c r="N333" s="78">
        <f t="shared" si="185"/>
        <v>0</v>
      </c>
      <c r="O333" s="111">
        <f t="shared" si="186"/>
        <v>0</v>
      </c>
      <c r="P333" s="125"/>
      <c r="Q333" s="49"/>
      <c r="R333" s="173"/>
      <c r="S333" s="228"/>
      <c r="T333" s="49"/>
      <c r="U333" s="138"/>
    </row>
    <row r="334" spans="1:21" ht="15.75" hidden="1" thickBot="1" x14ac:dyDescent="0.3">
      <c r="A334" s="31">
        <v>21</v>
      </c>
      <c r="B334" s="4" t="s">
        <v>949</v>
      </c>
      <c r="C334" s="5">
        <v>1</v>
      </c>
      <c r="D334" s="7">
        <v>0</v>
      </c>
      <c r="E334" s="3">
        <f t="shared" si="182"/>
        <v>1</v>
      </c>
      <c r="F334" s="3"/>
      <c r="G334" s="77"/>
      <c r="H334" s="5" t="s">
        <v>1</v>
      </c>
      <c r="I334" s="78">
        <f t="shared" si="183"/>
        <v>0</v>
      </c>
      <c r="J334" s="9"/>
      <c r="K334" s="4">
        <v>10</v>
      </c>
      <c r="L334" s="5" t="s">
        <v>1</v>
      </c>
      <c r="M334" s="80">
        <f t="shared" si="184"/>
        <v>10</v>
      </c>
      <c r="N334" s="78">
        <f t="shared" si="185"/>
        <v>0</v>
      </c>
      <c r="O334" s="111">
        <f t="shared" si="186"/>
        <v>0</v>
      </c>
      <c r="P334" s="125"/>
      <c r="Q334" s="49"/>
      <c r="R334" s="173"/>
      <c r="S334" s="228"/>
      <c r="T334" s="49"/>
      <c r="U334" s="138"/>
    </row>
    <row r="335" spans="1:21" ht="15.75" hidden="1" thickBot="1" x14ac:dyDescent="0.3">
      <c r="A335" s="31">
        <v>22</v>
      </c>
      <c r="B335" s="4" t="s">
        <v>950</v>
      </c>
      <c r="C335" s="5">
        <v>1</v>
      </c>
      <c r="D335" s="7">
        <v>0</v>
      </c>
      <c r="E335" s="3">
        <f t="shared" si="182"/>
        <v>1</v>
      </c>
      <c r="F335" s="3"/>
      <c r="G335" s="77"/>
      <c r="H335" s="5" t="s">
        <v>1</v>
      </c>
      <c r="I335" s="78">
        <f t="shared" si="183"/>
        <v>0</v>
      </c>
      <c r="J335" s="9"/>
      <c r="K335" s="4">
        <v>10</v>
      </c>
      <c r="L335" s="5" t="s">
        <v>1</v>
      </c>
      <c r="M335" s="80">
        <f t="shared" si="184"/>
        <v>10</v>
      </c>
      <c r="N335" s="78">
        <f t="shared" si="185"/>
        <v>0</v>
      </c>
      <c r="O335" s="111">
        <f t="shared" si="186"/>
        <v>0</v>
      </c>
      <c r="P335" s="125"/>
      <c r="Q335" s="49"/>
      <c r="R335" s="173"/>
      <c r="S335" s="228"/>
      <c r="T335" s="49"/>
      <c r="U335" s="138"/>
    </row>
    <row r="336" spans="1:21" ht="15.75" hidden="1" thickBot="1" x14ac:dyDescent="0.3">
      <c r="A336" s="31">
        <v>23</v>
      </c>
      <c r="B336" s="4" t="s">
        <v>951</v>
      </c>
      <c r="C336" s="5">
        <v>1</v>
      </c>
      <c r="D336" s="7">
        <v>0</v>
      </c>
      <c r="E336" s="3">
        <f t="shared" si="182"/>
        <v>1</v>
      </c>
      <c r="F336" s="3"/>
      <c r="G336" s="77"/>
      <c r="H336" s="5" t="s">
        <v>1</v>
      </c>
      <c r="I336" s="78">
        <f t="shared" si="183"/>
        <v>0</v>
      </c>
      <c r="J336" s="9"/>
      <c r="K336" s="4">
        <v>13.5</v>
      </c>
      <c r="L336" s="5" t="s">
        <v>1</v>
      </c>
      <c r="M336" s="80">
        <f t="shared" si="184"/>
        <v>13.5</v>
      </c>
      <c r="N336" s="78">
        <f t="shared" si="185"/>
        <v>0</v>
      </c>
      <c r="O336" s="111">
        <f t="shared" si="186"/>
        <v>0</v>
      </c>
      <c r="P336" s="125"/>
      <c r="Q336" s="49"/>
      <c r="R336" s="173"/>
      <c r="S336" s="228"/>
      <c r="T336" s="49"/>
      <c r="U336" s="138"/>
    </row>
    <row r="337" spans="1:21" ht="15.75" hidden="1" thickBot="1" x14ac:dyDescent="0.3">
      <c r="A337" s="31">
        <v>24</v>
      </c>
      <c r="B337" s="4" t="s">
        <v>952</v>
      </c>
      <c r="C337" s="5">
        <v>1</v>
      </c>
      <c r="D337" s="7">
        <v>0</v>
      </c>
      <c r="E337" s="3">
        <f t="shared" si="182"/>
        <v>1</v>
      </c>
      <c r="F337" s="3"/>
      <c r="G337" s="77"/>
      <c r="H337" s="5" t="s">
        <v>1</v>
      </c>
      <c r="I337" s="78">
        <f t="shared" si="183"/>
        <v>0</v>
      </c>
      <c r="J337" s="9"/>
      <c r="K337" s="4">
        <v>14.5</v>
      </c>
      <c r="L337" s="5" t="s">
        <v>1</v>
      </c>
      <c r="M337" s="80">
        <f t="shared" si="184"/>
        <v>14.5</v>
      </c>
      <c r="N337" s="78">
        <f t="shared" si="185"/>
        <v>0</v>
      </c>
      <c r="O337" s="111">
        <f t="shared" si="186"/>
        <v>0</v>
      </c>
      <c r="P337" s="125"/>
      <c r="Q337" s="49"/>
      <c r="R337" s="173"/>
      <c r="S337" s="228"/>
      <c r="T337" s="49"/>
      <c r="U337" s="138"/>
    </row>
    <row r="338" spans="1:21" ht="15.75" hidden="1" thickBot="1" x14ac:dyDescent="0.3">
      <c r="A338" s="31">
        <v>25</v>
      </c>
      <c r="B338" s="4" t="s">
        <v>953</v>
      </c>
      <c r="C338" s="5">
        <v>1</v>
      </c>
      <c r="D338" s="7">
        <v>0</v>
      </c>
      <c r="E338" s="3">
        <f t="shared" si="182"/>
        <v>1</v>
      </c>
      <c r="F338" s="3"/>
      <c r="G338" s="77"/>
      <c r="H338" s="5" t="s">
        <v>1</v>
      </c>
      <c r="I338" s="78">
        <f t="shared" si="183"/>
        <v>0</v>
      </c>
      <c r="J338" s="9"/>
      <c r="K338" s="4">
        <v>19.2</v>
      </c>
      <c r="L338" s="5" t="s">
        <v>1</v>
      </c>
      <c r="M338" s="80">
        <f t="shared" si="184"/>
        <v>19.2</v>
      </c>
      <c r="N338" s="78">
        <f t="shared" si="185"/>
        <v>0</v>
      </c>
      <c r="O338" s="111">
        <f t="shared" si="186"/>
        <v>0</v>
      </c>
      <c r="P338" s="125"/>
      <c r="Q338" s="49"/>
      <c r="R338" s="173"/>
      <c r="S338" s="228"/>
      <c r="T338" s="49"/>
      <c r="U338" s="138"/>
    </row>
    <row r="339" spans="1:21" ht="15.75" hidden="1" thickBot="1" x14ac:dyDescent="0.3">
      <c r="A339" s="31">
        <v>26</v>
      </c>
      <c r="B339" s="4" t="s">
        <v>954</v>
      </c>
      <c r="C339" s="5">
        <v>1</v>
      </c>
      <c r="D339" s="7">
        <v>0</v>
      </c>
      <c r="E339" s="3">
        <f t="shared" si="182"/>
        <v>1</v>
      </c>
      <c r="F339" s="3"/>
      <c r="G339" s="77"/>
      <c r="H339" s="5" t="s">
        <v>1</v>
      </c>
      <c r="I339" s="78">
        <f t="shared" si="183"/>
        <v>0</v>
      </c>
      <c r="J339" s="9"/>
      <c r="K339" s="4">
        <v>19.2</v>
      </c>
      <c r="L339" s="5" t="s">
        <v>1</v>
      </c>
      <c r="M339" s="80">
        <f t="shared" si="184"/>
        <v>19.2</v>
      </c>
      <c r="N339" s="78">
        <f t="shared" si="185"/>
        <v>0</v>
      </c>
      <c r="O339" s="111">
        <f t="shared" si="186"/>
        <v>0</v>
      </c>
      <c r="P339" s="125"/>
      <c r="Q339" s="49"/>
      <c r="R339" s="173"/>
      <c r="S339" s="228"/>
      <c r="T339" s="49"/>
      <c r="U339" s="138"/>
    </row>
    <row r="340" spans="1:21" ht="15.75" hidden="1" thickBot="1" x14ac:dyDescent="0.3">
      <c r="A340" s="31">
        <v>27</v>
      </c>
      <c r="B340" s="4" t="s">
        <v>955</v>
      </c>
      <c r="C340" s="5">
        <v>1</v>
      </c>
      <c r="D340" s="7">
        <v>0</v>
      </c>
      <c r="E340" s="3">
        <f t="shared" si="182"/>
        <v>1</v>
      </c>
      <c r="F340" s="3"/>
      <c r="G340" s="77"/>
      <c r="H340" s="5" t="s">
        <v>1</v>
      </c>
      <c r="I340" s="78">
        <f t="shared" si="183"/>
        <v>0</v>
      </c>
      <c r="J340" s="9"/>
      <c r="K340" s="4">
        <v>28</v>
      </c>
      <c r="L340" s="5" t="s">
        <v>1</v>
      </c>
      <c r="M340" s="80">
        <f t="shared" si="184"/>
        <v>28</v>
      </c>
      <c r="N340" s="78">
        <f t="shared" si="185"/>
        <v>0</v>
      </c>
      <c r="O340" s="111">
        <f t="shared" si="186"/>
        <v>0</v>
      </c>
      <c r="P340" s="125"/>
      <c r="Q340" s="49"/>
      <c r="R340" s="173"/>
      <c r="S340" s="228"/>
      <c r="T340" s="49"/>
      <c r="U340" s="138"/>
    </row>
    <row r="341" spans="1:21" ht="15.75" thickBot="1" x14ac:dyDescent="0.3">
      <c r="A341" s="32"/>
      <c r="B341" s="118" t="s">
        <v>1047</v>
      </c>
      <c r="C341" s="5"/>
      <c r="D341" s="5"/>
      <c r="E341" s="5"/>
      <c r="F341" s="5"/>
      <c r="G341" s="9"/>
      <c r="H341" s="5"/>
      <c r="I341" s="78"/>
      <c r="J341" s="4"/>
      <c r="K341" s="4"/>
      <c r="L341" s="5"/>
      <c r="M341" s="80"/>
      <c r="N341" s="78"/>
      <c r="O341" s="111"/>
      <c r="P341" s="125"/>
      <c r="Q341" s="49"/>
      <c r="R341" s="173"/>
      <c r="S341" s="228"/>
      <c r="T341" s="49"/>
      <c r="U341" s="138"/>
    </row>
    <row r="342" spans="1:21" ht="15.75" thickBot="1" x14ac:dyDescent="0.3">
      <c r="A342" s="32"/>
      <c r="B342" s="26"/>
      <c r="C342" s="5"/>
      <c r="D342" s="5"/>
      <c r="E342" s="5"/>
      <c r="F342" s="5"/>
      <c r="G342" s="9"/>
      <c r="H342" s="5"/>
      <c r="I342" s="78"/>
      <c r="J342" s="4"/>
      <c r="K342" s="4"/>
      <c r="L342" s="5"/>
      <c r="M342" s="80"/>
      <c r="N342" s="78"/>
      <c r="O342" s="111"/>
      <c r="P342" s="125"/>
      <c r="Q342" s="49"/>
      <c r="R342" s="173"/>
      <c r="S342" s="228"/>
      <c r="T342" s="49"/>
      <c r="U342" s="138"/>
    </row>
    <row r="343" spans="1:21" ht="15.75" thickBot="1" x14ac:dyDescent="0.3">
      <c r="A343" s="31"/>
      <c r="B343" s="118" t="s">
        <v>1048</v>
      </c>
      <c r="C343" s="5"/>
      <c r="D343" s="7"/>
      <c r="E343" s="3"/>
      <c r="F343" s="3"/>
      <c r="G343" s="77"/>
      <c r="H343" s="5"/>
      <c r="I343" s="78"/>
      <c r="J343" s="9"/>
      <c r="K343" s="4"/>
      <c r="L343" s="5"/>
      <c r="M343" s="80"/>
      <c r="N343" s="78"/>
      <c r="O343" s="111"/>
      <c r="P343" s="125"/>
      <c r="Q343" s="49"/>
      <c r="R343" s="173"/>
      <c r="S343" s="228"/>
      <c r="T343" s="49"/>
      <c r="U343" s="138"/>
    </row>
    <row r="344" spans="1:21" x14ac:dyDescent="0.25">
      <c r="A344" s="32"/>
      <c r="B344" s="26"/>
      <c r="C344" s="5"/>
      <c r="D344" s="5"/>
      <c r="E344" s="5"/>
      <c r="F344" s="5"/>
      <c r="G344" s="9"/>
      <c r="H344" s="5"/>
      <c r="I344" s="78"/>
      <c r="J344" s="4"/>
      <c r="K344" s="4"/>
      <c r="L344" s="5"/>
      <c r="M344" s="80"/>
      <c r="N344" s="78"/>
      <c r="O344" s="111"/>
      <c r="P344" s="125"/>
      <c r="Q344" s="49"/>
      <c r="R344" s="173"/>
      <c r="S344" s="228"/>
      <c r="T344" s="49"/>
      <c r="U344" s="138"/>
    </row>
    <row r="345" spans="1:21" x14ac:dyDescent="0.25">
      <c r="A345" s="31">
        <v>1</v>
      </c>
      <c r="B345" s="4" t="s">
        <v>1049</v>
      </c>
      <c r="C345" s="5">
        <v>1</v>
      </c>
      <c r="D345" s="7">
        <v>0</v>
      </c>
      <c r="E345" s="3">
        <f t="shared" ref="E345:E371" si="187">C345+(C345*D345)</f>
        <v>1</v>
      </c>
      <c r="F345" s="3" t="s">
        <v>867</v>
      </c>
      <c r="G345" s="77">
        <v>700</v>
      </c>
      <c r="H345" s="5" t="s">
        <v>1</v>
      </c>
      <c r="I345" s="78">
        <f t="shared" ref="I345:I371" si="188">G345*E345</f>
        <v>700</v>
      </c>
      <c r="J345" s="110">
        <f t="shared" ref="J345:J371" si="189">$O$4</f>
        <v>75</v>
      </c>
      <c r="K345" s="4">
        <v>0.75</v>
      </c>
      <c r="L345" s="5" t="s">
        <v>1</v>
      </c>
      <c r="M345" s="80">
        <f t="shared" ref="M345:M371" si="190">K345*E345</f>
        <v>0.75</v>
      </c>
      <c r="N345" s="78">
        <f t="shared" ref="N345:N371" si="191">M345*J345</f>
        <v>56.25</v>
      </c>
      <c r="O345" s="111">
        <f t="shared" ref="O345:O371" si="192">N345+I345</f>
        <v>756.25</v>
      </c>
      <c r="P345" s="125">
        <v>0.94</v>
      </c>
      <c r="Q345" s="49">
        <v>1.1299999999999999</v>
      </c>
      <c r="R345" s="173">
        <v>0.66</v>
      </c>
      <c r="S345" s="228">
        <v>0.83</v>
      </c>
      <c r="T345" s="49">
        <v>0.99</v>
      </c>
      <c r="U345" s="138"/>
    </row>
    <row r="346" spans="1:21" x14ac:dyDescent="0.25">
      <c r="A346" s="31">
        <v>2</v>
      </c>
      <c r="B346" s="4" t="s">
        <v>1050</v>
      </c>
      <c r="C346" s="5">
        <v>1</v>
      </c>
      <c r="D346" s="7">
        <v>0</v>
      </c>
      <c r="E346" s="3">
        <f t="shared" si="187"/>
        <v>1</v>
      </c>
      <c r="F346" s="3" t="s">
        <v>867</v>
      </c>
      <c r="G346" s="77">
        <v>700</v>
      </c>
      <c r="H346" s="5" t="s">
        <v>1</v>
      </c>
      <c r="I346" s="78">
        <f t="shared" si="188"/>
        <v>700</v>
      </c>
      <c r="J346" s="110">
        <f t="shared" si="189"/>
        <v>75</v>
      </c>
      <c r="K346" s="4">
        <v>0.75</v>
      </c>
      <c r="L346" s="5" t="s">
        <v>1</v>
      </c>
      <c r="M346" s="80">
        <f t="shared" si="190"/>
        <v>0.75</v>
      </c>
      <c r="N346" s="78">
        <f t="shared" si="191"/>
        <v>56.25</v>
      </c>
      <c r="O346" s="111">
        <f t="shared" si="192"/>
        <v>756.25</v>
      </c>
      <c r="P346" s="125">
        <v>0.94</v>
      </c>
      <c r="Q346" s="49">
        <v>1.1299999999999999</v>
      </c>
      <c r="R346" s="173">
        <v>0.71</v>
      </c>
      <c r="S346" s="228">
        <v>0.89</v>
      </c>
      <c r="T346" s="49">
        <v>1.07</v>
      </c>
      <c r="U346" s="138"/>
    </row>
    <row r="347" spans="1:21" x14ac:dyDescent="0.25">
      <c r="A347" s="31">
        <v>3</v>
      </c>
      <c r="B347" s="4" t="s">
        <v>1051</v>
      </c>
      <c r="C347" s="5">
        <v>1</v>
      </c>
      <c r="D347" s="7">
        <v>0</v>
      </c>
      <c r="E347" s="3">
        <f t="shared" si="187"/>
        <v>1</v>
      </c>
      <c r="F347" s="3" t="s">
        <v>867</v>
      </c>
      <c r="G347" s="77">
        <v>750</v>
      </c>
      <c r="H347" s="5" t="s">
        <v>1</v>
      </c>
      <c r="I347" s="78">
        <f t="shared" si="188"/>
        <v>750</v>
      </c>
      <c r="J347" s="110">
        <f t="shared" si="189"/>
        <v>75</v>
      </c>
      <c r="K347" s="4">
        <v>0.75</v>
      </c>
      <c r="L347" s="5" t="s">
        <v>1</v>
      </c>
      <c r="M347" s="80">
        <f t="shared" si="190"/>
        <v>0.75</v>
      </c>
      <c r="N347" s="78">
        <f t="shared" si="191"/>
        <v>56.25</v>
      </c>
      <c r="O347" s="111">
        <f t="shared" si="192"/>
        <v>806.25</v>
      </c>
      <c r="P347" s="125">
        <v>0.94</v>
      </c>
      <c r="Q347" s="49">
        <v>1.1299999999999999</v>
      </c>
      <c r="R347" s="173">
        <v>0.78</v>
      </c>
      <c r="S347" s="228">
        <v>0.98</v>
      </c>
      <c r="T347" s="49">
        <v>1.17</v>
      </c>
      <c r="U347" s="138"/>
    </row>
    <row r="348" spans="1:21" x14ac:dyDescent="0.25">
      <c r="A348" s="31">
        <v>4</v>
      </c>
      <c r="B348" s="4" t="s">
        <v>1052</v>
      </c>
      <c r="C348" s="5">
        <v>1</v>
      </c>
      <c r="D348" s="7">
        <v>0</v>
      </c>
      <c r="E348" s="3">
        <f t="shared" si="187"/>
        <v>1</v>
      </c>
      <c r="F348" s="3" t="s">
        <v>867</v>
      </c>
      <c r="G348" s="77">
        <v>880</v>
      </c>
      <c r="H348" s="5" t="s">
        <v>1</v>
      </c>
      <c r="I348" s="78">
        <f t="shared" si="188"/>
        <v>880</v>
      </c>
      <c r="J348" s="110">
        <f t="shared" si="189"/>
        <v>75</v>
      </c>
      <c r="K348" s="4">
        <v>0.75</v>
      </c>
      <c r="L348" s="5" t="s">
        <v>1</v>
      </c>
      <c r="M348" s="80">
        <f t="shared" si="190"/>
        <v>0.75</v>
      </c>
      <c r="N348" s="78">
        <f t="shared" si="191"/>
        <v>56.25</v>
      </c>
      <c r="O348" s="111">
        <f t="shared" si="192"/>
        <v>936.25</v>
      </c>
      <c r="P348" s="125">
        <v>0.94</v>
      </c>
      <c r="Q348" s="49">
        <v>1.1299999999999999</v>
      </c>
      <c r="R348" s="173">
        <v>0.82</v>
      </c>
      <c r="S348" s="228">
        <v>1</v>
      </c>
      <c r="T348" s="49">
        <v>1.22</v>
      </c>
      <c r="U348" s="138"/>
    </row>
    <row r="349" spans="1:21" x14ac:dyDescent="0.25">
      <c r="A349" s="31">
        <v>5</v>
      </c>
      <c r="B349" s="4" t="s">
        <v>1053</v>
      </c>
      <c r="C349" s="5">
        <v>1</v>
      </c>
      <c r="D349" s="7">
        <v>0</v>
      </c>
      <c r="E349" s="3">
        <f t="shared" si="187"/>
        <v>1</v>
      </c>
      <c r="F349" s="3" t="s">
        <v>867</v>
      </c>
      <c r="G349" s="77">
        <v>880</v>
      </c>
      <c r="H349" s="5" t="s">
        <v>1</v>
      </c>
      <c r="I349" s="78">
        <f t="shared" si="188"/>
        <v>880</v>
      </c>
      <c r="J349" s="110">
        <f t="shared" si="189"/>
        <v>75</v>
      </c>
      <c r="K349" s="4">
        <v>0.75</v>
      </c>
      <c r="L349" s="5" t="s">
        <v>1</v>
      </c>
      <c r="M349" s="80">
        <f t="shared" si="190"/>
        <v>0.75</v>
      </c>
      <c r="N349" s="78">
        <f t="shared" si="191"/>
        <v>56.25</v>
      </c>
      <c r="O349" s="111">
        <f t="shared" si="192"/>
        <v>936.25</v>
      </c>
      <c r="P349" s="125">
        <v>0.94</v>
      </c>
      <c r="Q349" s="49">
        <v>1.1299999999999999</v>
      </c>
      <c r="R349" s="173">
        <v>0.85</v>
      </c>
      <c r="S349" s="228">
        <v>1.06</v>
      </c>
      <c r="T349" s="49">
        <v>1.28</v>
      </c>
      <c r="U349" s="138"/>
    </row>
    <row r="350" spans="1:21" x14ac:dyDescent="0.25">
      <c r="A350" s="31">
        <v>6</v>
      </c>
      <c r="B350" s="4" t="s">
        <v>1054</v>
      </c>
      <c r="C350" s="5">
        <v>1</v>
      </c>
      <c r="D350" s="7">
        <v>0</v>
      </c>
      <c r="E350" s="3">
        <f t="shared" si="187"/>
        <v>1</v>
      </c>
      <c r="F350" s="3" t="s">
        <v>867</v>
      </c>
      <c r="G350" s="77">
        <v>886</v>
      </c>
      <c r="H350" s="5" t="s">
        <v>1</v>
      </c>
      <c r="I350" s="78">
        <f t="shared" si="188"/>
        <v>886</v>
      </c>
      <c r="J350" s="110">
        <f t="shared" si="189"/>
        <v>75</v>
      </c>
      <c r="K350" s="4">
        <v>0.75</v>
      </c>
      <c r="L350" s="5" t="s">
        <v>1</v>
      </c>
      <c r="M350" s="80">
        <f t="shared" si="190"/>
        <v>0.75</v>
      </c>
      <c r="N350" s="78">
        <f t="shared" si="191"/>
        <v>56.25</v>
      </c>
      <c r="O350" s="111">
        <f t="shared" si="192"/>
        <v>942.25</v>
      </c>
      <c r="P350" s="125">
        <v>0.94</v>
      </c>
      <c r="Q350" s="49">
        <v>1.1299999999999999</v>
      </c>
      <c r="R350" s="173">
        <v>0.92</v>
      </c>
      <c r="S350" s="228">
        <v>1.1499999999999999</v>
      </c>
      <c r="T350" s="49">
        <v>1.38</v>
      </c>
      <c r="U350" s="138"/>
    </row>
    <row r="351" spans="1:21" x14ac:dyDescent="0.25">
      <c r="A351" s="31">
        <v>7</v>
      </c>
      <c r="B351" s="4" t="s">
        <v>1055</v>
      </c>
      <c r="C351" s="5">
        <v>1</v>
      </c>
      <c r="D351" s="7">
        <v>0</v>
      </c>
      <c r="E351" s="3">
        <f t="shared" si="187"/>
        <v>1</v>
      </c>
      <c r="F351" s="3" t="s">
        <v>867</v>
      </c>
      <c r="G351" s="77">
        <v>886</v>
      </c>
      <c r="H351" s="5" t="s">
        <v>1</v>
      </c>
      <c r="I351" s="78">
        <f t="shared" si="188"/>
        <v>886</v>
      </c>
      <c r="J351" s="110">
        <f t="shared" si="189"/>
        <v>75</v>
      </c>
      <c r="K351" s="4">
        <v>0.75</v>
      </c>
      <c r="L351" s="5" t="s">
        <v>1</v>
      </c>
      <c r="M351" s="80">
        <f t="shared" si="190"/>
        <v>0.75</v>
      </c>
      <c r="N351" s="78">
        <f t="shared" si="191"/>
        <v>56.25</v>
      </c>
      <c r="O351" s="111">
        <f t="shared" si="192"/>
        <v>942.25</v>
      </c>
      <c r="P351" s="125">
        <v>0.94</v>
      </c>
      <c r="Q351" s="49">
        <v>1.1299999999999999</v>
      </c>
      <c r="R351" s="173">
        <v>1.05</v>
      </c>
      <c r="S351" s="228">
        <v>1.31</v>
      </c>
      <c r="T351" s="49">
        <v>1.58</v>
      </c>
      <c r="U351" s="138"/>
    </row>
    <row r="352" spans="1:21" x14ac:dyDescent="0.25">
      <c r="A352" s="31">
        <v>8</v>
      </c>
      <c r="B352" s="4" t="s">
        <v>1056</v>
      </c>
      <c r="C352" s="5">
        <v>1</v>
      </c>
      <c r="D352" s="7">
        <v>0</v>
      </c>
      <c r="E352" s="3">
        <f t="shared" si="187"/>
        <v>1</v>
      </c>
      <c r="F352" s="3" t="s">
        <v>867</v>
      </c>
      <c r="G352" s="77">
        <v>915</v>
      </c>
      <c r="H352" s="5" t="s">
        <v>1</v>
      </c>
      <c r="I352" s="78">
        <f t="shared" si="188"/>
        <v>915</v>
      </c>
      <c r="J352" s="110">
        <f t="shared" si="189"/>
        <v>75</v>
      </c>
      <c r="K352" s="4">
        <v>0.75</v>
      </c>
      <c r="L352" s="5" t="s">
        <v>1</v>
      </c>
      <c r="M352" s="80">
        <f t="shared" si="190"/>
        <v>0.75</v>
      </c>
      <c r="N352" s="78">
        <f t="shared" si="191"/>
        <v>56.25</v>
      </c>
      <c r="O352" s="111">
        <f t="shared" si="192"/>
        <v>971.25</v>
      </c>
      <c r="P352" s="125">
        <v>0.94</v>
      </c>
      <c r="Q352" s="49">
        <v>1.1299999999999999</v>
      </c>
      <c r="R352" s="173">
        <v>1.18</v>
      </c>
      <c r="S352" s="228">
        <v>1.48</v>
      </c>
      <c r="T352" s="49">
        <v>1.77</v>
      </c>
      <c r="U352" s="138"/>
    </row>
    <row r="353" spans="1:21" x14ac:dyDescent="0.25">
      <c r="A353" s="31">
        <v>9</v>
      </c>
      <c r="B353" s="4" t="s">
        <v>1057</v>
      </c>
      <c r="C353" s="5">
        <v>1</v>
      </c>
      <c r="D353" s="7">
        <v>0</v>
      </c>
      <c r="E353" s="3">
        <f t="shared" si="187"/>
        <v>1</v>
      </c>
      <c r="F353" s="3" t="s">
        <v>867</v>
      </c>
      <c r="G353" s="77">
        <v>1035</v>
      </c>
      <c r="H353" s="5" t="s">
        <v>1</v>
      </c>
      <c r="I353" s="78">
        <f t="shared" si="188"/>
        <v>1035</v>
      </c>
      <c r="J353" s="110">
        <f t="shared" si="189"/>
        <v>75</v>
      </c>
      <c r="K353" s="4">
        <v>0.75</v>
      </c>
      <c r="L353" s="5" t="s">
        <v>1</v>
      </c>
      <c r="M353" s="80">
        <f t="shared" si="190"/>
        <v>0.75</v>
      </c>
      <c r="N353" s="78">
        <f t="shared" si="191"/>
        <v>56.25</v>
      </c>
      <c r="O353" s="111">
        <f t="shared" si="192"/>
        <v>1091.25</v>
      </c>
      <c r="P353" s="125">
        <v>0.94</v>
      </c>
      <c r="Q353" s="49">
        <v>1.1299999999999999</v>
      </c>
      <c r="R353" s="173">
        <v>1.28</v>
      </c>
      <c r="S353" s="228">
        <v>1.6</v>
      </c>
      <c r="T353" s="49">
        <v>1.92</v>
      </c>
      <c r="U353" s="138"/>
    </row>
    <row r="354" spans="1:21" x14ac:dyDescent="0.25">
      <c r="A354" s="31">
        <v>10</v>
      </c>
      <c r="B354" s="4" t="s">
        <v>1058</v>
      </c>
      <c r="C354" s="5">
        <v>1</v>
      </c>
      <c r="D354" s="7">
        <v>0</v>
      </c>
      <c r="E354" s="3">
        <f t="shared" si="187"/>
        <v>1</v>
      </c>
      <c r="F354" s="3" t="s">
        <v>867</v>
      </c>
      <c r="G354" s="77">
        <v>1070</v>
      </c>
      <c r="H354" s="5" t="s">
        <v>1</v>
      </c>
      <c r="I354" s="78">
        <f t="shared" si="188"/>
        <v>1070</v>
      </c>
      <c r="J354" s="110">
        <f t="shared" si="189"/>
        <v>75</v>
      </c>
      <c r="K354" s="4">
        <v>1.2</v>
      </c>
      <c r="L354" s="5" t="s">
        <v>1</v>
      </c>
      <c r="M354" s="80">
        <f t="shared" si="190"/>
        <v>1.2</v>
      </c>
      <c r="N354" s="78">
        <f t="shared" si="191"/>
        <v>90</v>
      </c>
      <c r="O354" s="111">
        <f t="shared" si="192"/>
        <v>1160</v>
      </c>
      <c r="P354" s="125">
        <v>1.5</v>
      </c>
      <c r="Q354" s="49">
        <v>1.8</v>
      </c>
      <c r="R354" s="173">
        <v>1.43</v>
      </c>
      <c r="S354" s="228">
        <v>1.79</v>
      </c>
      <c r="T354" s="49">
        <v>2.15</v>
      </c>
      <c r="U354" s="138"/>
    </row>
    <row r="355" spans="1:21" x14ac:dyDescent="0.25">
      <c r="A355" s="31">
        <v>11</v>
      </c>
      <c r="B355" s="4" t="s">
        <v>1059</v>
      </c>
      <c r="C355" s="5">
        <v>1</v>
      </c>
      <c r="D355" s="7">
        <v>0</v>
      </c>
      <c r="E355" s="3">
        <f t="shared" si="187"/>
        <v>1</v>
      </c>
      <c r="F355" s="3" t="s">
        <v>867</v>
      </c>
      <c r="G355" s="77">
        <v>1200</v>
      </c>
      <c r="H355" s="5" t="s">
        <v>1</v>
      </c>
      <c r="I355" s="78">
        <f t="shared" si="188"/>
        <v>1200</v>
      </c>
      <c r="J355" s="110">
        <f t="shared" si="189"/>
        <v>75</v>
      </c>
      <c r="K355" s="4">
        <v>1.2</v>
      </c>
      <c r="L355" s="5" t="s">
        <v>1</v>
      </c>
      <c r="M355" s="80">
        <f t="shared" si="190"/>
        <v>1.2</v>
      </c>
      <c r="N355" s="78">
        <f t="shared" si="191"/>
        <v>90</v>
      </c>
      <c r="O355" s="111">
        <f t="shared" si="192"/>
        <v>1290</v>
      </c>
      <c r="P355" s="125">
        <v>1.5</v>
      </c>
      <c r="Q355" s="49">
        <v>1.8</v>
      </c>
      <c r="R355" s="173">
        <v>1.6</v>
      </c>
      <c r="S355" s="228">
        <v>2</v>
      </c>
      <c r="T355" s="49">
        <v>2.4</v>
      </c>
      <c r="U355" s="138"/>
    </row>
    <row r="356" spans="1:21" x14ac:dyDescent="0.25">
      <c r="A356" s="31">
        <v>12</v>
      </c>
      <c r="B356" s="4" t="s">
        <v>1060</v>
      </c>
      <c r="C356" s="5">
        <v>1</v>
      </c>
      <c r="D356" s="7">
        <v>0</v>
      </c>
      <c r="E356" s="3">
        <f t="shared" si="187"/>
        <v>1</v>
      </c>
      <c r="F356" s="3" t="s">
        <v>867</v>
      </c>
      <c r="G356" s="77">
        <v>1510</v>
      </c>
      <c r="H356" s="5" t="s">
        <v>1</v>
      </c>
      <c r="I356" s="78">
        <f t="shared" si="188"/>
        <v>1510</v>
      </c>
      <c r="J356" s="110">
        <f t="shared" si="189"/>
        <v>75</v>
      </c>
      <c r="K356" s="4">
        <v>1.2</v>
      </c>
      <c r="L356" s="5" t="s">
        <v>1</v>
      </c>
      <c r="M356" s="80">
        <f t="shared" si="190"/>
        <v>1.2</v>
      </c>
      <c r="N356" s="78">
        <f t="shared" si="191"/>
        <v>90</v>
      </c>
      <c r="O356" s="111">
        <f t="shared" si="192"/>
        <v>1600</v>
      </c>
      <c r="P356" s="125">
        <v>1.5</v>
      </c>
      <c r="Q356" s="49">
        <v>1.8</v>
      </c>
      <c r="R356" s="173">
        <v>1.8</v>
      </c>
      <c r="S356" s="228">
        <v>2.25</v>
      </c>
      <c r="T356" s="49">
        <v>2.7</v>
      </c>
      <c r="U356" s="138"/>
    </row>
    <row r="357" spans="1:21" x14ac:dyDescent="0.25">
      <c r="A357" s="31">
        <v>13</v>
      </c>
      <c r="B357" s="4" t="s">
        <v>1061</v>
      </c>
      <c r="C357" s="5">
        <v>1</v>
      </c>
      <c r="D357" s="7">
        <v>0</v>
      </c>
      <c r="E357" s="3">
        <f t="shared" si="187"/>
        <v>1</v>
      </c>
      <c r="F357" s="3" t="s">
        <v>867</v>
      </c>
      <c r="G357" s="77">
        <v>1690</v>
      </c>
      <c r="H357" s="5" t="s">
        <v>1</v>
      </c>
      <c r="I357" s="78">
        <f t="shared" si="188"/>
        <v>1690</v>
      </c>
      <c r="J357" s="110">
        <f t="shared" si="189"/>
        <v>75</v>
      </c>
      <c r="K357" s="4">
        <v>1.2</v>
      </c>
      <c r="L357" s="5" t="s">
        <v>1</v>
      </c>
      <c r="M357" s="80">
        <f t="shared" si="190"/>
        <v>1.2</v>
      </c>
      <c r="N357" s="78">
        <f t="shared" si="191"/>
        <v>90</v>
      </c>
      <c r="O357" s="111">
        <f t="shared" si="192"/>
        <v>1780</v>
      </c>
      <c r="P357" s="125">
        <v>1.5</v>
      </c>
      <c r="Q357" s="49">
        <v>1.8</v>
      </c>
      <c r="R357" s="173">
        <v>2</v>
      </c>
      <c r="S357" s="228">
        <v>2.5</v>
      </c>
      <c r="T357" s="49">
        <v>3</v>
      </c>
      <c r="U357" s="138"/>
    </row>
    <row r="358" spans="1:21" x14ac:dyDescent="0.25">
      <c r="A358" s="31">
        <v>14</v>
      </c>
      <c r="B358" s="4" t="s">
        <v>1086</v>
      </c>
      <c r="C358" s="5">
        <v>1</v>
      </c>
      <c r="D358" s="7">
        <v>0</v>
      </c>
      <c r="E358" s="3">
        <f t="shared" si="187"/>
        <v>1</v>
      </c>
      <c r="F358" s="3" t="s">
        <v>867</v>
      </c>
      <c r="G358" s="77">
        <v>1780</v>
      </c>
      <c r="H358" s="5" t="s">
        <v>1</v>
      </c>
      <c r="I358" s="78">
        <f t="shared" si="188"/>
        <v>1780</v>
      </c>
      <c r="J358" s="110">
        <f t="shared" si="189"/>
        <v>75</v>
      </c>
      <c r="K358" s="4">
        <v>1.8</v>
      </c>
      <c r="L358" s="5" t="s">
        <v>1</v>
      </c>
      <c r="M358" s="80">
        <f t="shared" si="190"/>
        <v>1.8</v>
      </c>
      <c r="N358" s="78">
        <f t="shared" si="191"/>
        <v>135</v>
      </c>
      <c r="O358" s="111">
        <f t="shared" si="192"/>
        <v>1915</v>
      </c>
      <c r="P358" s="125">
        <v>2.25</v>
      </c>
      <c r="Q358" s="49">
        <v>2.7</v>
      </c>
      <c r="R358" s="173">
        <v>2.25</v>
      </c>
      <c r="S358" s="228">
        <v>2.81</v>
      </c>
      <c r="T358" s="49">
        <v>3.38</v>
      </c>
      <c r="U358" s="138"/>
    </row>
    <row r="359" spans="1:21" x14ac:dyDescent="0.25">
      <c r="A359" s="31">
        <v>15</v>
      </c>
      <c r="B359" s="4" t="s">
        <v>1087</v>
      </c>
      <c r="C359" s="5">
        <v>1</v>
      </c>
      <c r="D359" s="7">
        <v>0</v>
      </c>
      <c r="E359" s="3">
        <f t="shared" si="187"/>
        <v>1</v>
      </c>
      <c r="F359" s="3" t="s">
        <v>867</v>
      </c>
      <c r="G359" s="77">
        <v>2000</v>
      </c>
      <c r="H359" s="5" t="s">
        <v>1</v>
      </c>
      <c r="I359" s="78">
        <f t="shared" si="188"/>
        <v>2000</v>
      </c>
      <c r="J359" s="110">
        <f t="shared" si="189"/>
        <v>75</v>
      </c>
      <c r="K359" s="4">
        <v>1.8</v>
      </c>
      <c r="L359" s="5" t="s">
        <v>1</v>
      </c>
      <c r="M359" s="80">
        <f t="shared" si="190"/>
        <v>1.8</v>
      </c>
      <c r="N359" s="78">
        <f t="shared" si="191"/>
        <v>135</v>
      </c>
      <c r="O359" s="111">
        <f t="shared" si="192"/>
        <v>2135</v>
      </c>
      <c r="P359" s="125">
        <v>2.25</v>
      </c>
      <c r="Q359" s="49">
        <v>2.7</v>
      </c>
      <c r="R359" s="173">
        <v>2.5</v>
      </c>
      <c r="S359" s="228">
        <v>3.13</v>
      </c>
      <c r="T359" s="49">
        <v>3.75</v>
      </c>
      <c r="U359" s="138"/>
    </row>
    <row r="360" spans="1:21" x14ac:dyDescent="0.25">
      <c r="A360" s="31">
        <v>16</v>
      </c>
      <c r="B360" s="4" t="s">
        <v>1088</v>
      </c>
      <c r="C360" s="5">
        <v>1</v>
      </c>
      <c r="D360" s="7">
        <v>0</v>
      </c>
      <c r="E360" s="3">
        <f t="shared" si="187"/>
        <v>1</v>
      </c>
      <c r="F360" s="3" t="s">
        <v>867</v>
      </c>
      <c r="G360" s="77">
        <v>2176</v>
      </c>
      <c r="H360" s="5" t="s">
        <v>1</v>
      </c>
      <c r="I360" s="78">
        <f t="shared" si="188"/>
        <v>2176</v>
      </c>
      <c r="J360" s="110">
        <f t="shared" si="189"/>
        <v>75</v>
      </c>
      <c r="K360" s="4">
        <v>1.8</v>
      </c>
      <c r="L360" s="5" t="s">
        <v>1</v>
      </c>
      <c r="M360" s="80">
        <f t="shared" si="190"/>
        <v>1.8</v>
      </c>
      <c r="N360" s="78">
        <f t="shared" si="191"/>
        <v>135</v>
      </c>
      <c r="O360" s="111">
        <f t="shared" si="192"/>
        <v>2311</v>
      </c>
      <c r="P360" s="125">
        <v>2.25</v>
      </c>
      <c r="Q360" s="49">
        <v>2.7</v>
      </c>
      <c r="R360" s="173">
        <v>2.75</v>
      </c>
      <c r="S360" s="228">
        <v>3.44</v>
      </c>
      <c r="T360" s="49">
        <v>4.13</v>
      </c>
      <c r="U360" s="138"/>
    </row>
    <row r="361" spans="1:21" x14ac:dyDescent="0.25">
      <c r="A361" s="31">
        <v>17</v>
      </c>
      <c r="B361" s="4" t="s">
        <v>1089</v>
      </c>
      <c r="C361" s="5">
        <v>1</v>
      </c>
      <c r="D361" s="7">
        <v>0</v>
      </c>
      <c r="E361" s="3">
        <f t="shared" si="187"/>
        <v>1</v>
      </c>
      <c r="F361" s="3" t="s">
        <v>867</v>
      </c>
      <c r="G361" s="77">
        <v>2968</v>
      </c>
      <c r="H361" s="5" t="s">
        <v>1</v>
      </c>
      <c r="I361" s="78">
        <f t="shared" si="188"/>
        <v>2968</v>
      </c>
      <c r="J361" s="110">
        <f t="shared" si="189"/>
        <v>75</v>
      </c>
      <c r="K361" s="4">
        <v>1.8</v>
      </c>
      <c r="L361" s="5" t="s">
        <v>1</v>
      </c>
      <c r="M361" s="80">
        <f t="shared" si="190"/>
        <v>1.8</v>
      </c>
      <c r="N361" s="78">
        <f t="shared" si="191"/>
        <v>135</v>
      </c>
      <c r="O361" s="111">
        <f t="shared" si="192"/>
        <v>3103</v>
      </c>
      <c r="P361" s="125">
        <v>2.25</v>
      </c>
      <c r="Q361" s="49">
        <v>2.7</v>
      </c>
      <c r="R361" s="173">
        <v>3</v>
      </c>
      <c r="S361" s="228">
        <v>3.75</v>
      </c>
      <c r="T361" s="49">
        <v>4.5</v>
      </c>
      <c r="U361" s="138"/>
    </row>
    <row r="362" spans="1:21" x14ac:dyDescent="0.25">
      <c r="A362" s="31">
        <v>18</v>
      </c>
      <c r="B362" s="4" t="s">
        <v>1090</v>
      </c>
      <c r="C362" s="5">
        <v>1</v>
      </c>
      <c r="D362" s="7">
        <v>0</v>
      </c>
      <c r="E362" s="3">
        <f t="shared" si="187"/>
        <v>1</v>
      </c>
      <c r="F362" s="3" t="s">
        <v>867</v>
      </c>
      <c r="G362" s="77">
        <v>3140</v>
      </c>
      <c r="H362" s="5" t="s">
        <v>1</v>
      </c>
      <c r="I362" s="78">
        <f t="shared" si="188"/>
        <v>3140</v>
      </c>
      <c r="J362" s="110">
        <f t="shared" si="189"/>
        <v>75</v>
      </c>
      <c r="K362" s="4">
        <v>1.8</v>
      </c>
      <c r="L362" s="5" t="s">
        <v>1</v>
      </c>
      <c r="M362" s="80">
        <f t="shared" si="190"/>
        <v>1.8</v>
      </c>
      <c r="N362" s="78">
        <f t="shared" si="191"/>
        <v>135</v>
      </c>
      <c r="O362" s="111">
        <f t="shared" si="192"/>
        <v>3275</v>
      </c>
      <c r="P362" s="125">
        <v>2.25</v>
      </c>
      <c r="Q362" s="49">
        <v>2.7</v>
      </c>
      <c r="R362" s="173">
        <v>3</v>
      </c>
      <c r="S362" s="228">
        <v>3.75</v>
      </c>
      <c r="T362" s="49">
        <v>4.5</v>
      </c>
      <c r="U362" s="138"/>
    </row>
    <row r="363" spans="1:21" x14ac:dyDescent="0.25">
      <c r="A363" s="31">
        <v>19</v>
      </c>
      <c r="B363" s="4" t="s">
        <v>1091</v>
      </c>
      <c r="C363" s="5">
        <v>1</v>
      </c>
      <c r="D363" s="7">
        <v>0</v>
      </c>
      <c r="E363" s="3">
        <f t="shared" si="187"/>
        <v>1</v>
      </c>
      <c r="F363" s="3" t="s">
        <v>867</v>
      </c>
      <c r="G363" s="77">
        <v>6800</v>
      </c>
      <c r="H363" s="5" t="s">
        <v>1</v>
      </c>
      <c r="I363" s="78">
        <f t="shared" si="188"/>
        <v>6800</v>
      </c>
      <c r="J363" s="110">
        <f t="shared" si="189"/>
        <v>75</v>
      </c>
      <c r="K363" s="4">
        <v>2.5</v>
      </c>
      <c r="L363" s="5" t="s">
        <v>1</v>
      </c>
      <c r="M363" s="80">
        <f t="shared" si="190"/>
        <v>2.5</v>
      </c>
      <c r="N363" s="78">
        <f t="shared" si="191"/>
        <v>187.5</v>
      </c>
      <c r="O363" s="111">
        <f t="shared" si="192"/>
        <v>6987.5</v>
      </c>
      <c r="P363" s="125">
        <v>3.13</v>
      </c>
      <c r="Q363" s="49">
        <v>3.75</v>
      </c>
      <c r="R363" s="173">
        <v>3.25</v>
      </c>
      <c r="S363" s="228">
        <v>4.0599999999999996</v>
      </c>
      <c r="T363" s="49">
        <v>4.88</v>
      </c>
      <c r="U363" s="138"/>
    </row>
    <row r="364" spans="1:21" x14ac:dyDescent="0.25">
      <c r="A364" s="31">
        <v>20</v>
      </c>
      <c r="B364" s="4" t="s">
        <v>1092</v>
      </c>
      <c r="C364" s="5">
        <v>1</v>
      </c>
      <c r="D364" s="7">
        <v>0</v>
      </c>
      <c r="E364" s="3">
        <f t="shared" si="187"/>
        <v>1</v>
      </c>
      <c r="F364" s="3" t="s">
        <v>867</v>
      </c>
      <c r="G364" s="77">
        <v>6800</v>
      </c>
      <c r="H364" s="5" t="s">
        <v>1</v>
      </c>
      <c r="I364" s="78">
        <f t="shared" si="188"/>
        <v>6800</v>
      </c>
      <c r="J364" s="110">
        <f t="shared" si="189"/>
        <v>75</v>
      </c>
      <c r="K364" s="4">
        <v>2.5</v>
      </c>
      <c r="L364" s="5" t="s">
        <v>1</v>
      </c>
      <c r="M364" s="80">
        <f t="shared" si="190"/>
        <v>2.5</v>
      </c>
      <c r="N364" s="78">
        <f t="shared" si="191"/>
        <v>187.5</v>
      </c>
      <c r="O364" s="111">
        <f t="shared" si="192"/>
        <v>6987.5</v>
      </c>
      <c r="P364" s="125">
        <v>3.13</v>
      </c>
      <c r="Q364" s="49">
        <v>3.75</v>
      </c>
      <c r="R364" s="173">
        <v>3.25</v>
      </c>
      <c r="S364" s="228">
        <v>4.0599999999999996</v>
      </c>
      <c r="T364" s="49">
        <v>4.88</v>
      </c>
      <c r="U364" s="138"/>
    </row>
    <row r="365" spans="1:21" x14ac:dyDescent="0.25">
      <c r="A365" s="31">
        <v>21</v>
      </c>
      <c r="B365" s="4" t="s">
        <v>1093</v>
      </c>
      <c r="C365" s="5">
        <v>1</v>
      </c>
      <c r="D365" s="7">
        <v>0</v>
      </c>
      <c r="E365" s="3">
        <f t="shared" si="187"/>
        <v>1</v>
      </c>
      <c r="F365" s="3" t="s">
        <v>867</v>
      </c>
      <c r="G365" s="77">
        <v>7725</v>
      </c>
      <c r="H365" s="5" t="s">
        <v>1</v>
      </c>
      <c r="I365" s="78">
        <f t="shared" si="188"/>
        <v>7725</v>
      </c>
      <c r="J365" s="110">
        <f t="shared" si="189"/>
        <v>75</v>
      </c>
      <c r="K365" s="4">
        <v>3.5</v>
      </c>
      <c r="L365" s="5" t="s">
        <v>1</v>
      </c>
      <c r="M365" s="80">
        <f t="shared" si="190"/>
        <v>3.5</v>
      </c>
      <c r="N365" s="78">
        <f t="shared" si="191"/>
        <v>262.5</v>
      </c>
      <c r="O365" s="111">
        <f t="shared" si="192"/>
        <v>7987.5</v>
      </c>
      <c r="P365" s="125">
        <v>4.38</v>
      </c>
      <c r="Q365" s="49">
        <v>5.25</v>
      </c>
      <c r="R365" s="173">
        <v>3.5</v>
      </c>
      <c r="S365" s="228">
        <v>4.38</v>
      </c>
      <c r="T365" s="49">
        <v>5.25</v>
      </c>
      <c r="U365" s="138"/>
    </row>
    <row r="366" spans="1:21" x14ac:dyDescent="0.25">
      <c r="A366" s="31">
        <v>22</v>
      </c>
      <c r="B366" s="4" t="s">
        <v>1094</v>
      </c>
      <c r="C366" s="5">
        <v>1</v>
      </c>
      <c r="D366" s="7">
        <v>0</v>
      </c>
      <c r="E366" s="3">
        <f t="shared" si="187"/>
        <v>1</v>
      </c>
      <c r="F366" s="3" t="s">
        <v>867</v>
      </c>
      <c r="G366" s="77">
        <v>8200</v>
      </c>
      <c r="H366" s="5" t="s">
        <v>1</v>
      </c>
      <c r="I366" s="78">
        <f t="shared" si="188"/>
        <v>8200</v>
      </c>
      <c r="J366" s="110">
        <f t="shared" si="189"/>
        <v>75</v>
      </c>
      <c r="K366" s="4">
        <v>3.5</v>
      </c>
      <c r="L366" s="5" t="s">
        <v>1</v>
      </c>
      <c r="M366" s="80">
        <f t="shared" si="190"/>
        <v>3.5</v>
      </c>
      <c r="N366" s="78">
        <f t="shared" si="191"/>
        <v>262.5</v>
      </c>
      <c r="O366" s="111">
        <f t="shared" si="192"/>
        <v>8462.5</v>
      </c>
      <c r="P366" s="125">
        <v>4.38</v>
      </c>
      <c r="Q366" s="49">
        <v>5.25</v>
      </c>
      <c r="R366" s="173">
        <v>3.5</v>
      </c>
      <c r="S366" s="228">
        <v>4.38</v>
      </c>
      <c r="T366" s="49">
        <v>5.25</v>
      </c>
      <c r="U366" s="138"/>
    </row>
    <row r="367" spans="1:21" x14ac:dyDescent="0.25">
      <c r="A367" s="31">
        <v>23</v>
      </c>
      <c r="B367" s="4" t="s">
        <v>1095</v>
      </c>
      <c r="C367" s="5">
        <v>1</v>
      </c>
      <c r="D367" s="7">
        <v>0</v>
      </c>
      <c r="E367" s="3">
        <f t="shared" si="187"/>
        <v>1</v>
      </c>
      <c r="F367" s="3" t="s">
        <v>867</v>
      </c>
      <c r="G367" s="77">
        <v>11900</v>
      </c>
      <c r="H367" s="5" t="s">
        <v>1</v>
      </c>
      <c r="I367" s="78">
        <f t="shared" si="188"/>
        <v>11900</v>
      </c>
      <c r="J367" s="110">
        <f t="shared" si="189"/>
        <v>75</v>
      </c>
      <c r="K367" s="4">
        <v>4.5</v>
      </c>
      <c r="L367" s="5" t="s">
        <v>1</v>
      </c>
      <c r="M367" s="80">
        <f t="shared" si="190"/>
        <v>4.5</v>
      </c>
      <c r="N367" s="78">
        <f t="shared" si="191"/>
        <v>337.5</v>
      </c>
      <c r="O367" s="111">
        <f t="shared" si="192"/>
        <v>12237.5</v>
      </c>
      <c r="P367" s="125">
        <v>5.63</v>
      </c>
      <c r="Q367" s="49">
        <v>6.75</v>
      </c>
      <c r="R367" s="173"/>
      <c r="S367" s="228"/>
      <c r="T367" s="49"/>
      <c r="U367" s="138"/>
    </row>
    <row r="368" spans="1:21" x14ac:dyDescent="0.25">
      <c r="A368" s="31">
        <v>24</v>
      </c>
      <c r="B368" s="4" t="s">
        <v>1096</v>
      </c>
      <c r="C368" s="5">
        <v>1</v>
      </c>
      <c r="D368" s="7">
        <v>0</v>
      </c>
      <c r="E368" s="3">
        <f t="shared" si="187"/>
        <v>1</v>
      </c>
      <c r="F368" s="3" t="s">
        <v>867</v>
      </c>
      <c r="G368" s="77">
        <v>12485</v>
      </c>
      <c r="H368" s="5" t="s">
        <v>1</v>
      </c>
      <c r="I368" s="78">
        <f t="shared" si="188"/>
        <v>12485</v>
      </c>
      <c r="J368" s="110">
        <f t="shared" si="189"/>
        <v>75</v>
      </c>
      <c r="K368" s="4">
        <v>4.5</v>
      </c>
      <c r="L368" s="5" t="s">
        <v>1</v>
      </c>
      <c r="M368" s="80">
        <f t="shared" si="190"/>
        <v>4.5</v>
      </c>
      <c r="N368" s="78">
        <f t="shared" si="191"/>
        <v>337.5</v>
      </c>
      <c r="O368" s="111">
        <f t="shared" si="192"/>
        <v>12822.5</v>
      </c>
      <c r="P368" s="125">
        <v>5.63</v>
      </c>
      <c r="Q368" s="49">
        <v>6.75</v>
      </c>
      <c r="R368" s="173"/>
      <c r="S368" s="228"/>
      <c r="T368" s="49"/>
      <c r="U368" s="138"/>
    </row>
    <row r="369" spans="1:21" x14ac:dyDescent="0.25">
      <c r="A369" s="31">
        <v>25</v>
      </c>
      <c r="B369" s="4" t="s">
        <v>1097</v>
      </c>
      <c r="C369" s="5">
        <v>1</v>
      </c>
      <c r="D369" s="7">
        <v>0</v>
      </c>
      <c r="E369" s="3">
        <f t="shared" si="187"/>
        <v>1</v>
      </c>
      <c r="F369" s="3" t="s">
        <v>867</v>
      </c>
      <c r="G369" s="77">
        <v>13200</v>
      </c>
      <c r="H369" s="5" t="s">
        <v>1</v>
      </c>
      <c r="I369" s="78">
        <f t="shared" si="188"/>
        <v>13200</v>
      </c>
      <c r="J369" s="110">
        <f t="shared" si="189"/>
        <v>75</v>
      </c>
      <c r="K369" s="4">
        <v>5.5</v>
      </c>
      <c r="L369" s="5" t="s">
        <v>1</v>
      </c>
      <c r="M369" s="80">
        <f t="shared" si="190"/>
        <v>5.5</v>
      </c>
      <c r="N369" s="78">
        <f t="shared" si="191"/>
        <v>412.5</v>
      </c>
      <c r="O369" s="111">
        <f t="shared" si="192"/>
        <v>13612.5</v>
      </c>
      <c r="P369" s="125">
        <v>6.88</v>
      </c>
      <c r="Q369" s="49">
        <v>8.25</v>
      </c>
      <c r="R369" s="173"/>
      <c r="S369" s="228"/>
      <c r="T369" s="49"/>
      <c r="U369" s="138"/>
    </row>
    <row r="370" spans="1:21" x14ac:dyDescent="0.25">
      <c r="A370" s="31">
        <v>26</v>
      </c>
      <c r="B370" s="4" t="s">
        <v>1098</v>
      </c>
      <c r="C370" s="5">
        <v>1</v>
      </c>
      <c r="D370" s="7">
        <v>0</v>
      </c>
      <c r="E370" s="3">
        <f t="shared" si="187"/>
        <v>1</v>
      </c>
      <c r="F370" s="3" t="s">
        <v>867</v>
      </c>
      <c r="G370" s="77">
        <v>17500</v>
      </c>
      <c r="H370" s="5" t="s">
        <v>1</v>
      </c>
      <c r="I370" s="78">
        <f t="shared" si="188"/>
        <v>17500</v>
      </c>
      <c r="J370" s="110">
        <f t="shared" si="189"/>
        <v>75</v>
      </c>
      <c r="K370" s="4">
        <v>5.5</v>
      </c>
      <c r="L370" s="5" t="s">
        <v>1</v>
      </c>
      <c r="M370" s="80">
        <f t="shared" si="190"/>
        <v>5.5</v>
      </c>
      <c r="N370" s="78">
        <f t="shared" si="191"/>
        <v>412.5</v>
      </c>
      <c r="O370" s="111">
        <f t="shared" si="192"/>
        <v>17912.5</v>
      </c>
      <c r="P370" s="125">
        <v>6.88</v>
      </c>
      <c r="Q370" s="49">
        <v>8.25</v>
      </c>
      <c r="R370" s="173"/>
      <c r="S370" s="228"/>
      <c r="T370" s="49"/>
      <c r="U370" s="138"/>
    </row>
    <row r="371" spans="1:21" ht="15.75" thickBot="1" x14ac:dyDescent="0.3">
      <c r="A371" s="33">
        <v>27</v>
      </c>
      <c r="B371" s="28" t="s">
        <v>1099</v>
      </c>
      <c r="C371" s="29">
        <v>1</v>
      </c>
      <c r="D371" s="61">
        <v>0</v>
      </c>
      <c r="E371" s="62">
        <f t="shared" si="187"/>
        <v>1</v>
      </c>
      <c r="F371" s="62" t="s">
        <v>867</v>
      </c>
      <c r="G371" s="113">
        <v>39000</v>
      </c>
      <c r="H371" s="29" t="s">
        <v>1</v>
      </c>
      <c r="I371" s="114">
        <f t="shared" si="188"/>
        <v>39000</v>
      </c>
      <c r="J371" s="115">
        <f t="shared" si="189"/>
        <v>75</v>
      </c>
      <c r="K371" s="28">
        <v>7</v>
      </c>
      <c r="L371" s="29" t="s">
        <v>1</v>
      </c>
      <c r="M371" s="116">
        <f t="shared" si="190"/>
        <v>7</v>
      </c>
      <c r="N371" s="114">
        <f t="shared" si="191"/>
        <v>525</v>
      </c>
      <c r="O371" s="132">
        <f t="shared" si="192"/>
        <v>39525</v>
      </c>
      <c r="P371" s="94">
        <v>8.75</v>
      </c>
      <c r="Q371" s="52">
        <v>10.5</v>
      </c>
      <c r="R371" s="174"/>
      <c r="S371" s="229"/>
      <c r="T371" s="52"/>
      <c r="U371" s="138"/>
    </row>
  </sheetData>
  <mergeCells count="1">
    <mergeCell ref="M4:N4"/>
  </mergeCells>
  <pageMargins left="0.7" right="0.7" top="0.75" bottom="0.75" header="0.3" footer="0.3"/>
  <pageSetup paperSize="9" scale="41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29"/>
  <sheetViews>
    <sheetView view="pageBreakPreview" topLeftCell="A120" zoomScale="90" zoomScaleNormal="85" zoomScaleSheetLayoutView="90" workbookViewId="0">
      <selection activeCell="F228" sqref="F228:O228"/>
    </sheetView>
  </sheetViews>
  <sheetFormatPr defaultColWidth="9.140625" defaultRowHeight="15" x14ac:dyDescent="0.25"/>
  <cols>
    <col min="1" max="1" width="4.42578125" style="39" bestFit="1" customWidth="1"/>
    <col min="2" max="2" width="46.28515625" style="30" customWidth="1"/>
    <col min="3" max="3" width="10.7109375" style="2" bestFit="1" customWidth="1"/>
    <col min="4" max="5" width="9.85546875" style="1" bestFit="1" customWidth="1"/>
    <col min="6" max="6" width="5.85546875" style="1" bestFit="1" customWidth="1"/>
    <col min="7" max="7" width="10.7109375" style="36" customWidth="1"/>
    <col min="8" max="8" width="5.85546875" style="2" bestFit="1" customWidth="1"/>
    <col min="9" max="9" width="10.42578125" style="43" bestFit="1" customWidth="1"/>
    <col min="10" max="10" width="7.42578125" style="1" bestFit="1" customWidth="1"/>
    <col min="11" max="11" width="8.7109375" style="35" bestFit="1" customWidth="1"/>
    <col min="12" max="12" width="5.85546875" style="2" bestFit="1" customWidth="1"/>
    <col min="13" max="13" width="7.28515625" style="46" bestFit="1" customWidth="1"/>
    <col min="14" max="14" width="8.140625" style="1" bestFit="1" customWidth="1"/>
    <col min="15" max="15" width="8.140625" style="43" bestFit="1" customWidth="1"/>
    <col min="16" max="18" width="7.7109375" style="1" bestFit="1" customWidth="1"/>
    <col min="19" max="19" width="11.28515625" style="1" bestFit="1" customWidth="1"/>
    <col min="20" max="16384" width="9.140625" style="1"/>
  </cols>
  <sheetData>
    <row r="1" spans="1:19" x14ac:dyDescent="0.25">
      <c r="A1" s="2"/>
      <c r="B1" s="1"/>
      <c r="G1" s="10"/>
      <c r="K1" s="1"/>
      <c r="M1" s="1"/>
      <c r="N1" s="43"/>
    </row>
    <row r="2" spans="1:19" x14ac:dyDescent="0.25">
      <c r="A2" s="2"/>
      <c r="B2" s="1"/>
      <c r="G2" s="10"/>
      <c r="K2" s="1"/>
      <c r="M2" s="1"/>
      <c r="N2" s="43"/>
    </row>
    <row r="3" spans="1:19" ht="15.75" thickBot="1" x14ac:dyDescent="0.3">
      <c r="A3" s="2"/>
      <c r="B3" s="1"/>
      <c r="G3" s="10"/>
      <c r="K3" s="1"/>
      <c r="M3" s="1"/>
      <c r="N3" s="43"/>
    </row>
    <row r="4" spans="1:19" ht="16.5" thickBot="1" x14ac:dyDescent="0.3">
      <c r="A4" s="2"/>
      <c r="B4" s="1"/>
      <c r="G4" s="10"/>
      <c r="K4" s="1"/>
      <c r="M4" s="253" t="s">
        <v>1199</v>
      </c>
      <c r="N4" s="254"/>
      <c r="O4" s="108">
        <v>75</v>
      </c>
    </row>
    <row r="5" spans="1:19" ht="44.25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870</v>
      </c>
      <c r="L5" s="82" t="s">
        <v>284</v>
      </c>
      <c r="M5" s="81" t="s">
        <v>286</v>
      </c>
      <c r="N5" s="83" t="s">
        <v>871</v>
      </c>
      <c r="O5" s="84" t="s">
        <v>872</v>
      </c>
      <c r="P5" s="84" t="s">
        <v>1144</v>
      </c>
      <c r="Q5" s="84" t="s">
        <v>1145</v>
      </c>
      <c r="R5" s="84" t="s">
        <v>1146</v>
      </c>
      <c r="S5" s="109" t="s">
        <v>1200</v>
      </c>
    </row>
    <row r="6" spans="1:19" ht="15.75" thickBot="1" x14ac:dyDescent="0.3">
      <c r="A6" s="88"/>
      <c r="B6" s="54"/>
      <c r="C6" s="55"/>
      <c r="D6" s="55"/>
      <c r="E6" s="55"/>
      <c r="F6" s="55"/>
      <c r="G6" s="56"/>
      <c r="H6" s="55"/>
      <c r="I6" s="89"/>
      <c r="J6" s="56"/>
      <c r="K6" s="57"/>
      <c r="L6" s="55"/>
      <c r="M6" s="57"/>
      <c r="N6" s="56"/>
      <c r="O6" s="58"/>
      <c r="P6" s="57"/>
      <c r="Q6" s="57"/>
      <c r="R6" s="57"/>
      <c r="S6" s="100"/>
    </row>
    <row r="7" spans="1:19" ht="15.75" thickBot="1" x14ac:dyDescent="0.3">
      <c r="A7" s="41"/>
      <c r="B7" s="120" t="s">
        <v>157</v>
      </c>
      <c r="C7" s="13"/>
      <c r="D7" s="13"/>
      <c r="E7" s="13"/>
      <c r="F7" s="13"/>
      <c r="G7" s="14"/>
      <c r="H7" s="13"/>
      <c r="I7" s="79"/>
      <c r="J7" s="14"/>
      <c r="K7" s="40"/>
      <c r="L7" s="13"/>
      <c r="M7" s="40"/>
      <c r="N7" s="14"/>
      <c r="O7" s="117"/>
      <c r="P7" s="15"/>
      <c r="Q7" s="15"/>
      <c r="R7" s="15"/>
      <c r="S7" s="49"/>
    </row>
    <row r="8" spans="1:19" ht="15.75" thickBot="1" x14ac:dyDescent="0.3">
      <c r="A8" s="37"/>
      <c r="B8" s="209"/>
      <c r="C8" s="13"/>
      <c r="D8" s="13"/>
      <c r="E8" s="13"/>
      <c r="F8" s="13"/>
      <c r="G8" s="14"/>
      <c r="H8" s="13"/>
      <c r="I8" s="79"/>
      <c r="J8" s="14"/>
      <c r="K8" s="40"/>
      <c r="L8" s="13"/>
      <c r="M8" s="40"/>
      <c r="N8" s="14"/>
      <c r="O8" s="117"/>
      <c r="P8" s="15"/>
      <c r="Q8" s="15"/>
      <c r="R8" s="15"/>
      <c r="S8" s="49"/>
    </row>
    <row r="9" spans="1:19" ht="15.75" thickBot="1" x14ac:dyDescent="0.3">
      <c r="A9" s="203">
        <v>1</v>
      </c>
      <c r="B9" s="214" t="s">
        <v>153</v>
      </c>
      <c r="C9" s="207">
        <v>1</v>
      </c>
      <c r="D9" s="7">
        <v>0</v>
      </c>
      <c r="E9" s="3">
        <f t="shared" ref="E9:E77" si="0">C9+(C9*D9)</f>
        <v>1</v>
      </c>
      <c r="F9" s="85" t="s">
        <v>867</v>
      </c>
      <c r="G9" s="147">
        <v>815.78</v>
      </c>
      <c r="H9" s="22" t="s">
        <v>0</v>
      </c>
      <c r="I9" s="78">
        <f t="shared" ref="I9:I77" si="1">IF(H9="C",(G9/100)*E9,IF(H9="M",(G9/1000)*E9,G9*E9))</f>
        <v>8.1577999999999999</v>
      </c>
      <c r="J9" s="110">
        <f>$O$4</f>
        <v>75</v>
      </c>
      <c r="K9" s="4">
        <v>15</v>
      </c>
      <c r="L9" s="22" t="s">
        <v>0</v>
      </c>
      <c r="M9" s="80">
        <f>IF(L9="C",(K9/100)*E9,IF(L9="M",(K9/1000)*E9,K9*E9))</f>
        <v>0.15</v>
      </c>
      <c r="N9" s="78">
        <f>M9*J9</f>
        <v>11.25</v>
      </c>
      <c r="O9" s="111">
        <f>N9+I9</f>
        <v>19.407800000000002</v>
      </c>
      <c r="P9" s="4">
        <v>25</v>
      </c>
      <c r="Q9" s="4">
        <v>31.25</v>
      </c>
      <c r="R9" s="4">
        <v>37.5</v>
      </c>
      <c r="S9" s="49">
        <v>137487</v>
      </c>
    </row>
    <row r="10" spans="1:19" x14ac:dyDescent="0.25">
      <c r="A10" s="19"/>
      <c r="B10" s="216" t="s">
        <v>860</v>
      </c>
      <c r="C10" s="20">
        <f>C9</f>
        <v>1</v>
      </c>
      <c r="D10" s="7">
        <v>0</v>
      </c>
      <c r="E10" s="3">
        <f t="shared" si="0"/>
        <v>1</v>
      </c>
      <c r="F10" s="85" t="s">
        <v>867</v>
      </c>
      <c r="G10" s="77">
        <v>404.23</v>
      </c>
      <c r="H10" s="22" t="s">
        <v>0</v>
      </c>
      <c r="I10" s="78">
        <f t="shared" si="1"/>
        <v>4.0423</v>
      </c>
      <c r="J10" s="110">
        <f t="shared" ref="J10:J14" si="2">$O$4</f>
        <v>75</v>
      </c>
      <c r="K10" s="4">
        <v>23</v>
      </c>
      <c r="L10" s="22" t="s">
        <v>0</v>
      </c>
      <c r="M10" s="80">
        <f t="shared" ref="M10:M77" si="3">IF(L10="C",(K10/100)*E10,IF(L10="M",(K10/1000)*E10,K10*E10))</f>
        <v>0.23</v>
      </c>
      <c r="N10" s="78">
        <f t="shared" ref="N10:N77" si="4">M10*J10</f>
        <v>17.25</v>
      </c>
      <c r="O10" s="111">
        <f t="shared" ref="O10:O77" si="5">N10+I10</f>
        <v>21.292300000000001</v>
      </c>
      <c r="P10" s="4">
        <v>30</v>
      </c>
      <c r="Q10" s="4">
        <v>35</v>
      </c>
      <c r="R10" s="4">
        <v>40</v>
      </c>
      <c r="S10" s="49">
        <v>124314</v>
      </c>
    </row>
    <row r="11" spans="1:19" x14ac:dyDescent="0.25">
      <c r="A11" s="19"/>
      <c r="B11" s="17" t="s">
        <v>2</v>
      </c>
      <c r="C11" s="20">
        <f>C9</f>
        <v>1</v>
      </c>
      <c r="D11" s="7">
        <v>0</v>
      </c>
      <c r="E11" s="3">
        <f t="shared" si="0"/>
        <v>1</v>
      </c>
      <c r="F11" s="85" t="s">
        <v>867</v>
      </c>
      <c r="G11" s="77">
        <v>258.01</v>
      </c>
      <c r="H11" s="22" t="s">
        <v>0</v>
      </c>
      <c r="I11" s="78">
        <f t="shared" si="1"/>
        <v>2.5800999999999998</v>
      </c>
      <c r="J11" s="110">
        <f t="shared" si="2"/>
        <v>75</v>
      </c>
      <c r="K11" s="4">
        <v>2.5</v>
      </c>
      <c r="L11" s="22" t="s">
        <v>0</v>
      </c>
      <c r="M11" s="80">
        <f t="shared" si="3"/>
        <v>2.5000000000000001E-2</v>
      </c>
      <c r="N11" s="78">
        <f t="shared" si="4"/>
        <v>1.875</v>
      </c>
      <c r="O11" s="111">
        <f t="shared" si="5"/>
        <v>4.4550999999999998</v>
      </c>
      <c r="P11" s="4">
        <v>15</v>
      </c>
      <c r="Q11" s="4">
        <v>20</v>
      </c>
      <c r="R11" s="4">
        <v>25</v>
      </c>
      <c r="S11" s="49">
        <v>124389</v>
      </c>
    </row>
    <row r="12" spans="1:19" x14ac:dyDescent="0.25">
      <c r="A12" s="19"/>
      <c r="B12" s="17" t="s">
        <v>3</v>
      </c>
      <c r="C12" s="20">
        <f>C9</f>
        <v>1</v>
      </c>
      <c r="D12" s="7">
        <v>0</v>
      </c>
      <c r="E12" s="3">
        <f t="shared" si="0"/>
        <v>1</v>
      </c>
      <c r="F12" s="85" t="s">
        <v>867</v>
      </c>
      <c r="G12" s="77">
        <v>138.57</v>
      </c>
      <c r="H12" s="22" t="s">
        <v>0</v>
      </c>
      <c r="I12" s="78">
        <f t="shared" si="1"/>
        <v>1.3856999999999999</v>
      </c>
      <c r="J12" s="110">
        <f t="shared" si="2"/>
        <v>75</v>
      </c>
      <c r="K12" s="4">
        <v>3</v>
      </c>
      <c r="L12" s="22" t="s">
        <v>0</v>
      </c>
      <c r="M12" s="80">
        <f t="shared" si="3"/>
        <v>0.03</v>
      </c>
      <c r="N12" s="78">
        <f t="shared" si="4"/>
        <v>2.25</v>
      </c>
      <c r="O12" s="111">
        <f t="shared" si="5"/>
        <v>3.6356999999999999</v>
      </c>
      <c r="P12" s="4">
        <v>6</v>
      </c>
      <c r="Q12" s="4">
        <v>8</v>
      </c>
      <c r="R12" s="4">
        <v>10</v>
      </c>
      <c r="S12" s="49">
        <v>124746</v>
      </c>
    </row>
    <row r="13" spans="1:19" x14ac:dyDescent="0.25">
      <c r="A13" s="19"/>
      <c r="B13" s="17" t="s">
        <v>1160</v>
      </c>
      <c r="C13" s="20">
        <f>C9*2</f>
        <v>2</v>
      </c>
      <c r="D13" s="7">
        <v>0</v>
      </c>
      <c r="E13" s="3">
        <f t="shared" si="0"/>
        <v>2</v>
      </c>
      <c r="F13" s="85" t="s">
        <v>867</v>
      </c>
      <c r="G13" s="77">
        <v>10.75</v>
      </c>
      <c r="H13" s="22" t="s">
        <v>0</v>
      </c>
      <c r="I13" s="78">
        <f t="shared" si="1"/>
        <v>0.215</v>
      </c>
      <c r="J13" s="110">
        <f t="shared" si="2"/>
        <v>75</v>
      </c>
      <c r="K13" s="4">
        <v>2.8</v>
      </c>
      <c r="L13" s="22" t="s">
        <v>0</v>
      </c>
      <c r="M13" s="80">
        <f t="shared" si="3"/>
        <v>5.5999999999999994E-2</v>
      </c>
      <c r="N13" s="78">
        <f t="shared" si="4"/>
        <v>4.1999999999999993</v>
      </c>
      <c r="O13" s="111">
        <f t="shared" si="5"/>
        <v>4.4149999999999991</v>
      </c>
      <c r="P13" s="4">
        <v>3.1</v>
      </c>
      <c r="Q13" s="4">
        <v>3.88</v>
      </c>
      <c r="R13" s="4">
        <v>4.84</v>
      </c>
      <c r="S13" s="49">
        <v>140190</v>
      </c>
    </row>
    <row r="14" spans="1:19" x14ac:dyDescent="0.25">
      <c r="A14" s="19"/>
      <c r="B14" s="17" t="s">
        <v>4</v>
      </c>
      <c r="C14" s="20">
        <f>C9</f>
        <v>1</v>
      </c>
      <c r="D14" s="7">
        <v>0</v>
      </c>
      <c r="E14" s="3">
        <f t="shared" si="0"/>
        <v>1</v>
      </c>
      <c r="F14" s="85" t="s">
        <v>867</v>
      </c>
      <c r="G14" s="77">
        <v>49.82</v>
      </c>
      <c r="H14" s="22" t="s">
        <v>0</v>
      </c>
      <c r="I14" s="78">
        <f t="shared" si="1"/>
        <v>0.49819999999999998</v>
      </c>
      <c r="J14" s="110">
        <f t="shared" si="2"/>
        <v>75</v>
      </c>
      <c r="K14" s="4">
        <v>2.7</v>
      </c>
      <c r="L14" s="22" t="s">
        <v>0</v>
      </c>
      <c r="M14" s="80">
        <f t="shared" si="3"/>
        <v>2.7000000000000003E-2</v>
      </c>
      <c r="N14" s="78">
        <f t="shared" si="4"/>
        <v>2.0250000000000004</v>
      </c>
      <c r="O14" s="111">
        <f t="shared" si="5"/>
        <v>2.5232000000000001</v>
      </c>
      <c r="P14" s="4">
        <v>10</v>
      </c>
      <c r="Q14" s="4">
        <v>12.5</v>
      </c>
      <c r="R14" s="4">
        <v>15</v>
      </c>
      <c r="S14" s="49">
        <v>138432</v>
      </c>
    </row>
    <row r="15" spans="1:19" ht="15.75" thickBot="1" x14ac:dyDescent="0.3">
      <c r="A15" s="19"/>
      <c r="B15" s="210"/>
      <c r="C15" s="23"/>
      <c r="D15" s="7"/>
      <c r="E15" s="3"/>
      <c r="F15" s="3"/>
      <c r="G15" s="77" t="s">
        <v>1202</v>
      </c>
      <c r="H15" s="5"/>
      <c r="I15" s="78"/>
      <c r="J15" s="4"/>
      <c r="K15" s="4"/>
      <c r="L15" s="5"/>
      <c r="M15" s="80"/>
      <c r="N15" s="78"/>
      <c r="O15" s="111"/>
      <c r="P15" s="15"/>
      <c r="Q15" s="15"/>
      <c r="R15" s="15"/>
      <c r="S15" s="49"/>
    </row>
    <row r="16" spans="1:19" ht="15.75" thickBot="1" x14ac:dyDescent="0.3">
      <c r="A16" s="203">
        <v>2</v>
      </c>
      <c r="B16" s="214" t="s">
        <v>154</v>
      </c>
      <c r="C16" s="207">
        <v>1</v>
      </c>
      <c r="D16" s="7">
        <v>0</v>
      </c>
      <c r="E16" s="3">
        <f t="shared" si="0"/>
        <v>1</v>
      </c>
      <c r="F16" s="85" t="s">
        <v>867</v>
      </c>
      <c r="G16" s="147">
        <v>1018.47</v>
      </c>
      <c r="H16" s="22" t="s">
        <v>0</v>
      </c>
      <c r="I16" s="78">
        <f t="shared" si="1"/>
        <v>10.184699999999999</v>
      </c>
      <c r="J16" s="110">
        <f>$O$4</f>
        <v>75</v>
      </c>
      <c r="K16" s="4">
        <v>15</v>
      </c>
      <c r="L16" s="22" t="s">
        <v>0</v>
      </c>
      <c r="M16" s="80">
        <f t="shared" si="3"/>
        <v>0.15</v>
      </c>
      <c r="N16" s="78">
        <f t="shared" si="4"/>
        <v>11.25</v>
      </c>
      <c r="O16" s="111">
        <f t="shared" si="5"/>
        <v>21.434699999999999</v>
      </c>
      <c r="P16" s="4">
        <v>25</v>
      </c>
      <c r="Q16" s="4">
        <v>31.25</v>
      </c>
      <c r="R16" s="4">
        <v>37.5</v>
      </c>
      <c r="S16" s="49">
        <v>137583</v>
      </c>
    </row>
    <row r="17" spans="1:19" x14ac:dyDescent="0.25">
      <c r="A17" s="19"/>
      <c r="B17" s="216" t="s">
        <v>860</v>
      </c>
      <c r="C17" s="20">
        <f>C16</f>
        <v>1</v>
      </c>
      <c r="D17" s="7">
        <v>0</v>
      </c>
      <c r="E17" s="3">
        <f t="shared" si="0"/>
        <v>1</v>
      </c>
      <c r="F17" s="85" t="s">
        <v>867</v>
      </c>
      <c r="G17" s="77">
        <v>404.23</v>
      </c>
      <c r="H17" s="22" t="s">
        <v>0</v>
      </c>
      <c r="I17" s="78">
        <f t="shared" si="1"/>
        <v>4.0423</v>
      </c>
      <c r="J17" s="110">
        <f t="shared" ref="J17:J21" si="6">$O$4</f>
        <v>75</v>
      </c>
      <c r="K17" s="4">
        <v>23</v>
      </c>
      <c r="L17" s="22" t="s">
        <v>0</v>
      </c>
      <c r="M17" s="80">
        <f t="shared" si="3"/>
        <v>0.23</v>
      </c>
      <c r="N17" s="78">
        <f t="shared" si="4"/>
        <v>17.25</v>
      </c>
      <c r="O17" s="111">
        <f t="shared" si="5"/>
        <v>21.292300000000001</v>
      </c>
      <c r="P17" s="4">
        <v>30</v>
      </c>
      <c r="Q17" s="4">
        <v>35</v>
      </c>
      <c r="R17" s="4">
        <v>40</v>
      </c>
      <c r="S17" s="49">
        <v>124314</v>
      </c>
    </row>
    <row r="18" spans="1:19" x14ac:dyDescent="0.25">
      <c r="A18" s="19"/>
      <c r="B18" s="17" t="s">
        <v>2</v>
      </c>
      <c r="C18" s="20">
        <f>C16</f>
        <v>1</v>
      </c>
      <c r="D18" s="7">
        <v>0</v>
      </c>
      <c r="E18" s="3">
        <f t="shared" si="0"/>
        <v>1</v>
      </c>
      <c r="F18" s="85" t="s">
        <v>867</v>
      </c>
      <c r="G18" s="77">
        <v>258.01</v>
      </c>
      <c r="H18" s="22" t="s">
        <v>0</v>
      </c>
      <c r="I18" s="78">
        <f t="shared" si="1"/>
        <v>2.5800999999999998</v>
      </c>
      <c r="J18" s="110">
        <f t="shared" si="6"/>
        <v>75</v>
      </c>
      <c r="K18" s="4">
        <v>2.5</v>
      </c>
      <c r="L18" s="22" t="s">
        <v>0</v>
      </c>
      <c r="M18" s="80">
        <f t="shared" si="3"/>
        <v>2.5000000000000001E-2</v>
      </c>
      <c r="N18" s="78">
        <f t="shared" si="4"/>
        <v>1.875</v>
      </c>
      <c r="O18" s="111">
        <f t="shared" si="5"/>
        <v>4.4550999999999998</v>
      </c>
      <c r="P18" s="4">
        <v>15</v>
      </c>
      <c r="Q18" s="4">
        <v>20</v>
      </c>
      <c r="R18" s="4">
        <v>25</v>
      </c>
      <c r="S18" s="49">
        <v>124389</v>
      </c>
    </row>
    <row r="19" spans="1:19" x14ac:dyDescent="0.25">
      <c r="A19" s="19"/>
      <c r="B19" s="17" t="s">
        <v>3</v>
      </c>
      <c r="C19" s="20">
        <f>C16</f>
        <v>1</v>
      </c>
      <c r="D19" s="7">
        <v>0</v>
      </c>
      <c r="E19" s="3">
        <f t="shared" si="0"/>
        <v>1</v>
      </c>
      <c r="F19" s="85" t="s">
        <v>867</v>
      </c>
      <c r="G19" s="77">
        <v>138.57</v>
      </c>
      <c r="H19" s="22" t="s">
        <v>0</v>
      </c>
      <c r="I19" s="78">
        <f t="shared" si="1"/>
        <v>1.3856999999999999</v>
      </c>
      <c r="J19" s="110">
        <f t="shared" si="6"/>
        <v>75</v>
      </c>
      <c r="K19" s="4">
        <v>3</v>
      </c>
      <c r="L19" s="22" t="s">
        <v>0</v>
      </c>
      <c r="M19" s="80">
        <f t="shared" si="3"/>
        <v>0.03</v>
      </c>
      <c r="N19" s="78">
        <f t="shared" si="4"/>
        <v>2.25</v>
      </c>
      <c r="O19" s="111">
        <f t="shared" si="5"/>
        <v>3.6356999999999999</v>
      </c>
      <c r="P19" s="4">
        <v>6</v>
      </c>
      <c r="Q19" s="4">
        <v>8</v>
      </c>
      <c r="R19" s="4">
        <v>10</v>
      </c>
      <c r="S19" s="49">
        <v>124746</v>
      </c>
    </row>
    <row r="20" spans="1:19" x14ac:dyDescent="0.25">
      <c r="A20" s="19"/>
      <c r="B20" s="17" t="s">
        <v>1160</v>
      </c>
      <c r="C20" s="20">
        <f>C16*2</f>
        <v>2</v>
      </c>
      <c r="D20" s="7">
        <v>0</v>
      </c>
      <c r="E20" s="3">
        <f t="shared" si="0"/>
        <v>2</v>
      </c>
      <c r="F20" s="85" t="s">
        <v>867</v>
      </c>
      <c r="G20" s="77">
        <v>10.75</v>
      </c>
      <c r="H20" s="22" t="s">
        <v>0</v>
      </c>
      <c r="I20" s="78">
        <f t="shared" si="1"/>
        <v>0.215</v>
      </c>
      <c r="J20" s="110">
        <f t="shared" si="6"/>
        <v>75</v>
      </c>
      <c r="K20" s="4">
        <v>2.8</v>
      </c>
      <c r="L20" s="22" t="s">
        <v>0</v>
      </c>
      <c r="M20" s="80">
        <f t="shared" si="3"/>
        <v>5.5999999999999994E-2</v>
      </c>
      <c r="N20" s="78">
        <f t="shared" si="4"/>
        <v>4.1999999999999993</v>
      </c>
      <c r="O20" s="111">
        <f t="shared" si="5"/>
        <v>4.4149999999999991</v>
      </c>
      <c r="P20" s="4">
        <v>3.1</v>
      </c>
      <c r="Q20" s="4">
        <v>3.88</v>
      </c>
      <c r="R20" s="4">
        <v>4.84</v>
      </c>
      <c r="S20" s="49">
        <v>140190</v>
      </c>
    </row>
    <row r="21" spans="1:19" x14ac:dyDescent="0.25">
      <c r="A21" s="19"/>
      <c r="B21" s="17" t="s">
        <v>4</v>
      </c>
      <c r="C21" s="20">
        <f>C16</f>
        <v>1</v>
      </c>
      <c r="D21" s="7">
        <v>0</v>
      </c>
      <c r="E21" s="3">
        <f t="shared" si="0"/>
        <v>1</v>
      </c>
      <c r="F21" s="85" t="s">
        <v>867</v>
      </c>
      <c r="G21" s="77">
        <v>49.82</v>
      </c>
      <c r="H21" s="22" t="s">
        <v>0</v>
      </c>
      <c r="I21" s="78">
        <f t="shared" si="1"/>
        <v>0.49819999999999998</v>
      </c>
      <c r="J21" s="110">
        <f t="shared" si="6"/>
        <v>75</v>
      </c>
      <c r="K21" s="4">
        <v>2.7</v>
      </c>
      <c r="L21" s="22" t="s">
        <v>0</v>
      </c>
      <c r="M21" s="80">
        <f t="shared" si="3"/>
        <v>2.7000000000000003E-2</v>
      </c>
      <c r="N21" s="78">
        <f t="shared" si="4"/>
        <v>2.0250000000000004</v>
      </c>
      <c r="O21" s="111">
        <f t="shared" si="5"/>
        <v>2.5232000000000001</v>
      </c>
      <c r="P21" s="4">
        <v>10</v>
      </c>
      <c r="Q21" s="4">
        <v>12.5</v>
      </c>
      <c r="R21" s="4">
        <v>15</v>
      </c>
      <c r="S21" s="49">
        <v>138432</v>
      </c>
    </row>
    <row r="22" spans="1:19" ht="15.75" thickBot="1" x14ac:dyDescent="0.3">
      <c r="A22" s="19"/>
      <c r="B22" s="211"/>
      <c r="C22" s="5"/>
      <c r="D22" s="7"/>
      <c r="E22" s="3"/>
      <c r="F22" s="3"/>
      <c r="G22" s="77" t="s">
        <v>1202</v>
      </c>
      <c r="H22" s="5"/>
      <c r="I22" s="78"/>
      <c r="J22" s="4"/>
      <c r="K22" s="4"/>
      <c r="L22" s="5"/>
      <c r="M22" s="80"/>
      <c r="N22" s="78"/>
      <c r="O22" s="111"/>
      <c r="P22" s="4"/>
      <c r="Q22" s="4"/>
      <c r="R22" s="4"/>
      <c r="S22" s="49"/>
    </row>
    <row r="23" spans="1:19" ht="15.75" thickBot="1" x14ac:dyDescent="0.3">
      <c r="A23" s="203">
        <v>3</v>
      </c>
      <c r="B23" s="214" t="s">
        <v>155</v>
      </c>
      <c r="C23" s="207">
        <v>1</v>
      </c>
      <c r="D23" s="7">
        <v>0</v>
      </c>
      <c r="E23" s="3">
        <f t="shared" si="0"/>
        <v>1</v>
      </c>
      <c r="F23" s="85" t="s">
        <v>867</v>
      </c>
      <c r="G23" s="147">
        <v>1325.48</v>
      </c>
      <c r="H23" s="22" t="s">
        <v>0</v>
      </c>
      <c r="I23" s="78">
        <f t="shared" si="1"/>
        <v>13.254799999999999</v>
      </c>
      <c r="J23" s="110">
        <f>$O$4</f>
        <v>75</v>
      </c>
      <c r="K23" s="4">
        <v>22</v>
      </c>
      <c r="L23" s="22" t="s">
        <v>0</v>
      </c>
      <c r="M23" s="80">
        <f t="shared" si="3"/>
        <v>0.22</v>
      </c>
      <c r="N23" s="78">
        <f t="shared" si="4"/>
        <v>16.5</v>
      </c>
      <c r="O23" s="111">
        <f t="shared" si="5"/>
        <v>29.754799999999999</v>
      </c>
      <c r="P23" s="4">
        <v>27.5</v>
      </c>
      <c r="Q23" s="4">
        <v>32.5</v>
      </c>
      <c r="R23" s="4">
        <v>37.5</v>
      </c>
      <c r="S23" s="49">
        <v>137490</v>
      </c>
    </row>
    <row r="24" spans="1:19" x14ac:dyDescent="0.25">
      <c r="A24" s="19"/>
      <c r="B24" s="216" t="s">
        <v>860</v>
      </c>
      <c r="C24" s="20">
        <f>C23</f>
        <v>1</v>
      </c>
      <c r="D24" s="7">
        <v>0</v>
      </c>
      <c r="E24" s="3">
        <f t="shared" si="0"/>
        <v>1</v>
      </c>
      <c r="F24" s="85" t="s">
        <v>867</v>
      </c>
      <c r="G24" s="77">
        <v>404.23</v>
      </c>
      <c r="H24" s="22" t="s">
        <v>0</v>
      </c>
      <c r="I24" s="78">
        <f t="shared" si="1"/>
        <v>4.0423</v>
      </c>
      <c r="J24" s="110">
        <f t="shared" ref="J24:J77" si="7">$O$4</f>
        <v>75</v>
      </c>
      <c r="K24" s="4">
        <v>23</v>
      </c>
      <c r="L24" s="22" t="s">
        <v>0</v>
      </c>
      <c r="M24" s="80">
        <f t="shared" si="3"/>
        <v>0.23</v>
      </c>
      <c r="N24" s="78">
        <f t="shared" si="4"/>
        <v>17.25</v>
      </c>
      <c r="O24" s="111">
        <f t="shared" si="5"/>
        <v>21.292300000000001</v>
      </c>
      <c r="P24" s="4">
        <v>30</v>
      </c>
      <c r="Q24" s="4">
        <v>35</v>
      </c>
      <c r="R24" s="4">
        <v>40</v>
      </c>
      <c r="S24" s="49">
        <v>124314</v>
      </c>
    </row>
    <row r="25" spans="1:19" x14ac:dyDescent="0.25">
      <c r="A25" s="19"/>
      <c r="B25" s="17" t="s">
        <v>2</v>
      </c>
      <c r="C25" s="20">
        <f>C23</f>
        <v>1</v>
      </c>
      <c r="D25" s="7">
        <v>0</v>
      </c>
      <c r="E25" s="3">
        <f t="shared" si="0"/>
        <v>1</v>
      </c>
      <c r="F25" s="85" t="s">
        <v>867</v>
      </c>
      <c r="G25" s="77">
        <v>258.01</v>
      </c>
      <c r="H25" s="22" t="s">
        <v>0</v>
      </c>
      <c r="I25" s="78">
        <f t="shared" si="1"/>
        <v>2.5800999999999998</v>
      </c>
      <c r="J25" s="110">
        <f t="shared" si="7"/>
        <v>75</v>
      </c>
      <c r="K25" s="4">
        <v>2.5</v>
      </c>
      <c r="L25" s="22" t="s">
        <v>0</v>
      </c>
      <c r="M25" s="80">
        <f t="shared" si="3"/>
        <v>2.5000000000000001E-2</v>
      </c>
      <c r="N25" s="78">
        <f t="shared" si="4"/>
        <v>1.875</v>
      </c>
      <c r="O25" s="111">
        <f t="shared" si="5"/>
        <v>4.4550999999999998</v>
      </c>
      <c r="P25" s="4">
        <v>15</v>
      </c>
      <c r="Q25" s="4">
        <v>20</v>
      </c>
      <c r="R25" s="4">
        <v>25</v>
      </c>
      <c r="S25" s="49">
        <v>124389</v>
      </c>
    </row>
    <row r="26" spans="1:19" x14ac:dyDescent="0.25">
      <c r="A26" s="19"/>
      <c r="B26" s="17" t="s">
        <v>3</v>
      </c>
      <c r="C26" s="20">
        <f>C23</f>
        <v>1</v>
      </c>
      <c r="D26" s="7">
        <v>0</v>
      </c>
      <c r="E26" s="3">
        <f t="shared" si="0"/>
        <v>1</v>
      </c>
      <c r="F26" s="85" t="s">
        <v>867</v>
      </c>
      <c r="G26" s="77">
        <v>138.57</v>
      </c>
      <c r="H26" s="22" t="s">
        <v>0</v>
      </c>
      <c r="I26" s="78">
        <f t="shared" si="1"/>
        <v>1.3856999999999999</v>
      </c>
      <c r="J26" s="110">
        <f t="shared" si="7"/>
        <v>75</v>
      </c>
      <c r="K26" s="4">
        <v>3</v>
      </c>
      <c r="L26" s="22" t="s">
        <v>0</v>
      </c>
      <c r="M26" s="80">
        <f t="shared" si="3"/>
        <v>0.03</v>
      </c>
      <c r="N26" s="78">
        <f t="shared" si="4"/>
        <v>2.25</v>
      </c>
      <c r="O26" s="111">
        <f t="shared" si="5"/>
        <v>3.6356999999999999</v>
      </c>
      <c r="P26" s="4">
        <v>6</v>
      </c>
      <c r="Q26" s="4">
        <v>8</v>
      </c>
      <c r="R26" s="4">
        <v>10</v>
      </c>
      <c r="S26" s="49">
        <v>124746</v>
      </c>
    </row>
    <row r="27" spans="1:19" x14ac:dyDescent="0.25">
      <c r="A27" s="19"/>
      <c r="B27" s="17" t="s">
        <v>1160</v>
      </c>
      <c r="C27" s="20">
        <f>C23*2</f>
        <v>2</v>
      </c>
      <c r="D27" s="7">
        <v>0</v>
      </c>
      <c r="E27" s="3">
        <f t="shared" si="0"/>
        <v>2</v>
      </c>
      <c r="F27" s="85" t="s">
        <v>867</v>
      </c>
      <c r="G27" s="77">
        <v>10.75</v>
      </c>
      <c r="H27" s="22" t="s">
        <v>0</v>
      </c>
      <c r="I27" s="78">
        <f t="shared" si="1"/>
        <v>0.215</v>
      </c>
      <c r="J27" s="110">
        <f t="shared" si="7"/>
        <v>75</v>
      </c>
      <c r="K27" s="4">
        <v>2.8</v>
      </c>
      <c r="L27" s="22" t="s">
        <v>0</v>
      </c>
      <c r="M27" s="80">
        <f t="shared" si="3"/>
        <v>5.5999999999999994E-2</v>
      </c>
      <c r="N27" s="78">
        <f t="shared" si="4"/>
        <v>4.1999999999999993</v>
      </c>
      <c r="O27" s="111">
        <f t="shared" si="5"/>
        <v>4.4149999999999991</v>
      </c>
      <c r="P27" s="4">
        <v>3.1</v>
      </c>
      <c r="Q27" s="4">
        <v>3.88</v>
      </c>
      <c r="R27" s="4">
        <v>4.84</v>
      </c>
      <c r="S27" s="49">
        <v>140190</v>
      </c>
    </row>
    <row r="28" spans="1:19" x14ac:dyDescent="0.25">
      <c r="A28" s="19"/>
      <c r="B28" s="17" t="s">
        <v>4</v>
      </c>
      <c r="C28" s="20">
        <f>C23</f>
        <v>1</v>
      </c>
      <c r="D28" s="7">
        <v>0</v>
      </c>
      <c r="E28" s="3">
        <f t="shared" ref="E28" si="8">C28+(C28*D28)</f>
        <v>1</v>
      </c>
      <c r="F28" s="85" t="s">
        <v>867</v>
      </c>
      <c r="G28" s="77">
        <v>49.82</v>
      </c>
      <c r="H28" s="22" t="s">
        <v>0</v>
      </c>
      <c r="I28" s="78">
        <f t="shared" ref="I28" si="9">IF(H28="C",(G28/100)*E28,IF(H28="M",(G28/1000)*E28,G28*E28))</f>
        <v>0.49819999999999998</v>
      </c>
      <c r="J28" s="110">
        <f t="shared" si="7"/>
        <v>75</v>
      </c>
      <c r="K28" s="4">
        <v>2.7</v>
      </c>
      <c r="L28" s="22" t="s">
        <v>0</v>
      </c>
      <c r="M28" s="80">
        <f t="shared" ref="M28" si="10">IF(L28="C",(K28/100)*E28,IF(L28="M",(K28/1000)*E28,K28*E28))</f>
        <v>2.7000000000000003E-2</v>
      </c>
      <c r="N28" s="78">
        <f t="shared" ref="N28" si="11">M28*J28</f>
        <v>2.0250000000000004</v>
      </c>
      <c r="O28" s="111">
        <f t="shared" ref="O28" si="12">N28+I28</f>
        <v>2.5232000000000001</v>
      </c>
      <c r="P28" s="4">
        <v>10</v>
      </c>
      <c r="Q28" s="4">
        <v>12.5</v>
      </c>
      <c r="R28" s="4">
        <v>15</v>
      </c>
      <c r="S28" s="49">
        <v>138432</v>
      </c>
    </row>
    <row r="29" spans="1:19" ht="15.75" thickBot="1" x14ac:dyDescent="0.3">
      <c r="A29" s="19"/>
      <c r="B29" s="212"/>
      <c r="C29" s="20"/>
      <c r="D29" s="7"/>
      <c r="E29" s="3"/>
      <c r="F29" s="3"/>
      <c r="G29" s="77" t="s">
        <v>1202</v>
      </c>
      <c r="H29" s="22"/>
      <c r="I29" s="78"/>
      <c r="J29" s="110"/>
      <c r="K29" s="4"/>
      <c r="L29" s="22"/>
      <c r="M29" s="80"/>
      <c r="N29" s="78"/>
      <c r="O29" s="111"/>
      <c r="P29" s="4"/>
      <c r="Q29" s="4"/>
      <c r="R29" s="4"/>
      <c r="S29" s="49"/>
    </row>
    <row r="30" spans="1:19" ht="15.75" thickBot="1" x14ac:dyDescent="0.3">
      <c r="A30" s="203">
        <v>4</v>
      </c>
      <c r="B30" s="214" t="s">
        <v>156</v>
      </c>
      <c r="C30" s="207">
        <v>1</v>
      </c>
      <c r="D30" s="7">
        <v>0</v>
      </c>
      <c r="E30" s="3">
        <f t="shared" si="0"/>
        <v>1</v>
      </c>
      <c r="F30" s="85" t="s">
        <v>867</v>
      </c>
      <c r="G30" s="147">
        <v>697.52</v>
      </c>
      <c r="H30" s="22" t="s">
        <v>0</v>
      </c>
      <c r="I30" s="78">
        <f t="shared" si="1"/>
        <v>6.9752000000000001</v>
      </c>
      <c r="J30" s="110">
        <f t="shared" si="7"/>
        <v>75</v>
      </c>
      <c r="K30" s="4">
        <v>15</v>
      </c>
      <c r="L30" s="22" t="s">
        <v>0</v>
      </c>
      <c r="M30" s="80">
        <f t="shared" si="3"/>
        <v>0.15</v>
      </c>
      <c r="N30" s="78">
        <f t="shared" si="4"/>
        <v>11.25</v>
      </c>
      <c r="O30" s="111">
        <f t="shared" si="5"/>
        <v>18.225200000000001</v>
      </c>
      <c r="P30" s="4">
        <v>25</v>
      </c>
      <c r="Q30" s="4">
        <v>31.25</v>
      </c>
      <c r="R30" s="4">
        <v>37.5</v>
      </c>
      <c r="S30" s="49">
        <v>137505</v>
      </c>
    </row>
    <row r="31" spans="1:19" x14ac:dyDescent="0.25">
      <c r="A31" s="19"/>
      <c r="B31" s="216" t="s">
        <v>860</v>
      </c>
      <c r="C31" s="20">
        <f>C30</f>
        <v>1</v>
      </c>
      <c r="D31" s="7">
        <v>0</v>
      </c>
      <c r="E31" s="3">
        <f t="shared" si="0"/>
        <v>1</v>
      </c>
      <c r="F31" s="85" t="s">
        <v>867</v>
      </c>
      <c r="G31" s="77">
        <v>404.23</v>
      </c>
      <c r="H31" s="22" t="s">
        <v>0</v>
      </c>
      <c r="I31" s="78">
        <f t="shared" si="1"/>
        <v>4.0423</v>
      </c>
      <c r="J31" s="110">
        <f t="shared" si="7"/>
        <v>75</v>
      </c>
      <c r="K31" s="4">
        <v>23</v>
      </c>
      <c r="L31" s="22" t="s">
        <v>0</v>
      </c>
      <c r="M31" s="80">
        <f t="shared" si="3"/>
        <v>0.23</v>
      </c>
      <c r="N31" s="78">
        <f t="shared" si="4"/>
        <v>17.25</v>
      </c>
      <c r="O31" s="111">
        <f t="shared" si="5"/>
        <v>21.292300000000001</v>
      </c>
      <c r="P31" s="4">
        <v>30</v>
      </c>
      <c r="Q31" s="4">
        <v>35</v>
      </c>
      <c r="R31" s="4">
        <v>40</v>
      </c>
      <c r="S31" s="49">
        <v>124314</v>
      </c>
    </row>
    <row r="32" spans="1:19" s="18" customFormat="1" x14ac:dyDescent="0.25">
      <c r="A32" s="19"/>
      <c r="B32" s="17" t="s">
        <v>2</v>
      </c>
      <c r="C32" s="20">
        <f>C30</f>
        <v>1</v>
      </c>
      <c r="D32" s="7">
        <v>0</v>
      </c>
      <c r="E32" s="3">
        <f t="shared" si="0"/>
        <v>1</v>
      </c>
      <c r="F32" s="85" t="s">
        <v>867</v>
      </c>
      <c r="G32" s="77">
        <v>258.01</v>
      </c>
      <c r="H32" s="22" t="s">
        <v>0</v>
      </c>
      <c r="I32" s="78">
        <f t="shared" si="1"/>
        <v>2.5800999999999998</v>
      </c>
      <c r="J32" s="110">
        <f t="shared" si="7"/>
        <v>75</v>
      </c>
      <c r="K32" s="4">
        <v>2.5</v>
      </c>
      <c r="L32" s="22" t="s">
        <v>0</v>
      </c>
      <c r="M32" s="80">
        <f t="shared" si="3"/>
        <v>2.5000000000000001E-2</v>
      </c>
      <c r="N32" s="78">
        <f t="shared" si="4"/>
        <v>1.875</v>
      </c>
      <c r="O32" s="111">
        <f t="shared" si="5"/>
        <v>4.4550999999999998</v>
      </c>
      <c r="P32" s="4">
        <v>15</v>
      </c>
      <c r="Q32" s="4">
        <v>20</v>
      </c>
      <c r="R32" s="4">
        <v>25</v>
      </c>
      <c r="S32" s="49">
        <v>124389</v>
      </c>
    </row>
    <row r="33" spans="1:19" x14ac:dyDescent="0.25">
      <c r="A33" s="19"/>
      <c r="B33" s="17" t="s">
        <v>3</v>
      </c>
      <c r="C33" s="20">
        <f>C30</f>
        <v>1</v>
      </c>
      <c r="D33" s="7">
        <v>0</v>
      </c>
      <c r="E33" s="3">
        <f t="shared" si="0"/>
        <v>1</v>
      </c>
      <c r="F33" s="85" t="s">
        <v>867</v>
      </c>
      <c r="G33" s="77">
        <v>138.57</v>
      </c>
      <c r="H33" s="22" t="s">
        <v>0</v>
      </c>
      <c r="I33" s="78">
        <f t="shared" si="1"/>
        <v>1.3856999999999999</v>
      </c>
      <c r="J33" s="110">
        <f t="shared" si="7"/>
        <v>75</v>
      </c>
      <c r="K33" s="4">
        <v>3</v>
      </c>
      <c r="L33" s="22" t="s">
        <v>0</v>
      </c>
      <c r="M33" s="80">
        <f t="shared" si="3"/>
        <v>0.03</v>
      </c>
      <c r="N33" s="78">
        <f t="shared" si="4"/>
        <v>2.25</v>
      </c>
      <c r="O33" s="111">
        <f t="shared" si="5"/>
        <v>3.6356999999999999</v>
      </c>
      <c r="P33" s="4">
        <v>6</v>
      </c>
      <c r="Q33" s="4">
        <v>8</v>
      </c>
      <c r="R33" s="4">
        <v>10</v>
      </c>
      <c r="S33" s="49">
        <v>124746</v>
      </c>
    </row>
    <row r="34" spans="1:19" x14ac:dyDescent="0.25">
      <c r="A34" s="19"/>
      <c r="B34" s="17" t="s">
        <v>1160</v>
      </c>
      <c r="C34" s="20">
        <f>C30*2</f>
        <v>2</v>
      </c>
      <c r="D34" s="7">
        <v>0</v>
      </c>
      <c r="E34" s="3">
        <f t="shared" si="0"/>
        <v>2</v>
      </c>
      <c r="F34" s="85" t="s">
        <v>867</v>
      </c>
      <c r="G34" s="77">
        <v>10.75</v>
      </c>
      <c r="H34" s="22" t="s">
        <v>0</v>
      </c>
      <c r="I34" s="78">
        <f t="shared" si="1"/>
        <v>0.215</v>
      </c>
      <c r="J34" s="110">
        <f t="shared" si="7"/>
        <v>75</v>
      </c>
      <c r="K34" s="4">
        <v>2.8</v>
      </c>
      <c r="L34" s="22" t="s">
        <v>0</v>
      </c>
      <c r="M34" s="80">
        <f t="shared" si="3"/>
        <v>5.5999999999999994E-2</v>
      </c>
      <c r="N34" s="78">
        <f t="shared" si="4"/>
        <v>4.1999999999999993</v>
      </c>
      <c r="O34" s="111">
        <f t="shared" si="5"/>
        <v>4.4149999999999991</v>
      </c>
      <c r="P34" s="4">
        <v>3.1</v>
      </c>
      <c r="Q34" s="4">
        <v>3.88</v>
      </c>
      <c r="R34" s="4">
        <v>4.84</v>
      </c>
      <c r="S34" s="49">
        <v>140190</v>
      </c>
    </row>
    <row r="35" spans="1:19" x14ac:dyDescent="0.25">
      <c r="A35" s="19"/>
      <c r="B35" s="17" t="s">
        <v>8</v>
      </c>
      <c r="C35" s="20">
        <f>C30</f>
        <v>1</v>
      </c>
      <c r="D35" s="7">
        <v>0</v>
      </c>
      <c r="E35" s="3">
        <f t="shared" si="0"/>
        <v>1</v>
      </c>
      <c r="F35" s="85" t="s">
        <v>867</v>
      </c>
      <c r="G35" s="77">
        <v>53.54</v>
      </c>
      <c r="H35" s="22" t="s">
        <v>0</v>
      </c>
      <c r="I35" s="78">
        <f t="shared" si="1"/>
        <v>0.53539999999999999</v>
      </c>
      <c r="J35" s="110">
        <f t="shared" si="7"/>
        <v>75</v>
      </c>
      <c r="K35" s="4">
        <v>3</v>
      </c>
      <c r="L35" s="22" t="s">
        <v>0</v>
      </c>
      <c r="M35" s="80">
        <f t="shared" si="3"/>
        <v>0.03</v>
      </c>
      <c r="N35" s="78">
        <f t="shared" si="4"/>
        <v>2.25</v>
      </c>
      <c r="O35" s="111">
        <f t="shared" si="5"/>
        <v>2.7854000000000001</v>
      </c>
      <c r="P35" s="4">
        <v>10</v>
      </c>
      <c r="Q35" s="4">
        <v>12.5</v>
      </c>
      <c r="R35" s="4">
        <v>15</v>
      </c>
      <c r="S35" s="49">
        <v>138456</v>
      </c>
    </row>
    <row r="36" spans="1:19" ht="15.75" thickBot="1" x14ac:dyDescent="0.3">
      <c r="A36" s="19"/>
      <c r="B36" s="212"/>
      <c r="C36" s="20"/>
      <c r="D36" s="7"/>
      <c r="E36" s="3"/>
      <c r="F36" s="3"/>
      <c r="G36" s="77" t="s">
        <v>1202</v>
      </c>
      <c r="H36" s="22"/>
      <c r="I36" s="78"/>
      <c r="J36" s="21"/>
      <c r="K36" s="4"/>
      <c r="L36" s="22"/>
      <c r="M36" s="80"/>
      <c r="N36" s="78"/>
      <c r="O36" s="111"/>
      <c r="P36" s="4"/>
      <c r="Q36" s="4"/>
      <c r="R36" s="4"/>
      <c r="S36" s="49"/>
    </row>
    <row r="37" spans="1:19" ht="15.75" thickBot="1" x14ac:dyDescent="0.3">
      <c r="A37" s="204">
        <v>5</v>
      </c>
      <c r="B37" s="215" t="s">
        <v>5</v>
      </c>
      <c r="C37" s="197">
        <v>1</v>
      </c>
      <c r="D37" s="7">
        <v>0</v>
      </c>
      <c r="E37" s="3">
        <f t="shared" si="0"/>
        <v>1</v>
      </c>
      <c r="F37" s="85" t="s">
        <v>867</v>
      </c>
      <c r="G37" s="77">
        <v>913.25</v>
      </c>
      <c r="H37" s="5" t="s">
        <v>0</v>
      </c>
      <c r="I37" s="78">
        <f t="shared" si="1"/>
        <v>9.1325000000000003</v>
      </c>
      <c r="J37" s="110">
        <f t="shared" si="7"/>
        <v>75</v>
      </c>
      <c r="K37" s="4">
        <v>20</v>
      </c>
      <c r="L37" s="5" t="s">
        <v>0</v>
      </c>
      <c r="M37" s="80">
        <f t="shared" si="3"/>
        <v>0.2</v>
      </c>
      <c r="N37" s="78">
        <f t="shared" si="4"/>
        <v>15</v>
      </c>
      <c r="O37" s="111">
        <f t="shared" si="5"/>
        <v>24.1325</v>
      </c>
      <c r="P37" s="4">
        <v>30</v>
      </c>
      <c r="Q37" s="4">
        <v>37.5</v>
      </c>
      <c r="R37" s="4">
        <v>45</v>
      </c>
      <c r="S37" s="49">
        <v>137493</v>
      </c>
    </row>
    <row r="38" spans="1:19" x14ac:dyDescent="0.25">
      <c r="A38" s="37"/>
      <c r="B38" s="213" t="s">
        <v>860</v>
      </c>
      <c r="C38" s="5">
        <f>C37</f>
        <v>1</v>
      </c>
      <c r="D38" s="7">
        <v>0</v>
      </c>
      <c r="E38" s="3">
        <f t="shared" si="0"/>
        <v>1</v>
      </c>
      <c r="F38" s="85" t="s">
        <v>867</v>
      </c>
      <c r="G38" s="77">
        <v>404.23</v>
      </c>
      <c r="H38" s="5" t="s">
        <v>0</v>
      </c>
      <c r="I38" s="78">
        <f t="shared" si="1"/>
        <v>4.0423</v>
      </c>
      <c r="J38" s="110">
        <f t="shared" si="7"/>
        <v>75</v>
      </c>
      <c r="K38" s="4">
        <v>23</v>
      </c>
      <c r="L38" s="5" t="s">
        <v>0</v>
      </c>
      <c r="M38" s="80">
        <f t="shared" si="3"/>
        <v>0.23</v>
      </c>
      <c r="N38" s="78">
        <f t="shared" si="4"/>
        <v>17.25</v>
      </c>
      <c r="O38" s="111">
        <f t="shared" si="5"/>
        <v>21.292300000000001</v>
      </c>
      <c r="P38" s="4">
        <v>30</v>
      </c>
      <c r="Q38" s="4">
        <v>35</v>
      </c>
      <c r="R38" s="4">
        <v>40</v>
      </c>
      <c r="S38" s="49">
        <v>124314</v>
      </c>
    </row>
    <row r="39" spans="1:19" x14ac:dyDescent="0.25">
      <c r="A39" s="37"/>
      <c r="B39" s="24" t="s">
        <v>2</v>
      </c>
      <c r="C39" s="5">
        <f>C37</f>
        <v>1</v>
      </c>
      <c r="D39" s="7">
        <v>0</v>
      </c>
      <c r="E39" s="3">
        <f t="shared" si="0"/>
        <v>1</v>
      </c>
      <c r="F39" s="85" t="s">
        <v>867</v>
      </c>
      <c r="G39" s="77">
        <v>258.01</v>
      </c>
      <c r="H39" s="5" t="s">
        <v>0</v>
      </c>
      <c r="I39" s="78">
        <f t="shared" si="1"/>
        <v>2.5800999999999998</v>
      </c>
      <c r="J39" s="110">
        <f t="shared" si="7"/>
        <v>75</v>
      </c>
      <c r="K39" s="4">
        <v>2.5</v>
      </c>
      <c r="L39" s="5" t="s">
        <v>0</v>
      </c>
      <c r="M39" s="80">
        <f t="shared" si="3"/>
        <v>2.5000000000000001E-2</v>
      </c>
      <c r="N39" s="78">
        <f t="shared" si="4"/>
        <v>1.875</v>
      </c>
      <c r="O39" s="111">
        <f t="shared" si="5"/>
        <v>4.4550999999999998</v>
      </c>
      <c r="P39" s="4">
        <v>15</v>
      </c>
      <c r="Q39" s="4">
        <v>20</v>
      </c>
      <c r="R39" s="4">
        <v>25</v>
      </c>
      <c r="S39" s="49">
        <v>124389</v>
      </c>
    </row>
    <row r="40" spans="1:19" x14ac:dyDescent="0.25">
      <c r="A40" s="37"/>
      <c r="B40" s="24" t="s">
        <v>3</v>
      </c>
      <c r="C40" s="5">
        <f>C37</f>
        <v>1</v>
      </c>
      <c r="D40" s="7">
        <v>0</v>
      </c>
      <c r="E40" s="3">
        <f t="shared" si="0"/>
        <v>1</v>
      </c>
      <c r="F40" s="85" t="s">
        <v>867</v>
      </c>
      <c r="G40" s="77">
        <v>138.57</v>
      </c>
      <c r="H40" s="5" t="s">
        <v>0</v>
      </c>
      <c r="I40" s="78">
        <f t="shared" si="1"/>
        <v>1.3856999999999999</v>
      </c>
      <c r="J40" s="110">
        <f t="shared" si="7"/>
        <v>75</v>
      </c>
      <c r="K40" s="4">
        <v>3</v>
      </c>
      <c r="L40" s="5" t="s">
        <v>0</v>
      </c>
      <c r="M40" s="80">
        <f t="shared" si="3"/>
        <v>0.03</v>
      </c>
      <c r="N40" s="78">
        <f t="shared" si="4"/>
        <v>2.25</v>
      </c>
      <c r="O40" s="111">
        <f t="shared" si="5"/>
        <v>3.6356999999999999</v>
      </c>
      <c r="P40" s="4">
        <v>6</v>
      </c>
      <c r="Q40" s="4">
        <v>8</v>
      </c>
      <c r="R40" s="4">
        <v>10</v>
      </c>
      <c r="S40" s="49">
        <v>124746</v>
      </c>
    </row>
    <row r="41" spans="1:19" x14ac:dyDescent="0.25">
      <c r="A41" s="37"/>
      <c r="B41" s="24" t="s">
        <v>1160</v>
      </c>
      <c r="C41" s="5">
        <f>C37*2</f>
        <v>2</v>
      </c>
      <c r="D41" s="7">
        <v>0</v>
      </c>
      <c r="E41" s="3">
        <f t="shared" si="0"/>
        <v>2</v>
      </c>
      <c r="F41" s="85" t="s">
        <v>867</v>
      </c>
      <c r="G41" s="77">
        <v>10.75</v>
      </c>
      <c r="H41" s="5" t="s">
        <v>0</v>
      </c>
      <c r="I41" s="78">
        <f t="shared" si="1"/>
        <v>0.215</v>
      </c>
      <c r="J41" s="110">
        <f t="shared" si="7"/>
        <v>75</v>
      </c>
      <c r="K41" s="4">
        <v>2.8</v>
      </c>
      <c r="L41" s="5" t="s">
        <v>0</v>
      </c>
      <c r="M41" s="80">
        <f t="shared" si="3"/>
        <v>5.5999999999999994E-2</v>
      </c>
      <c r="N41" s="78">
        <f t="shared" si="4"/>
        <v>4.1999999999999993</v>
      </c>
      <c r="O41" s="111">
        <f t="shared" si="5"/>
        <v>4.4149999999999991</v>
      </c>
      <c r="P41" s="4">
        <v>3.1</v>
      </c>
      <c r="Q41" s="4">
        <v>3.88</v>
      </c>
      <c r="R41" s="4">
        <v>4.84</v>
      </c>
      <c r="S41" s="49">
        <v>140190</v>
      </c>
    </row>
    <row r="42" spans="1:19" x14ac:dyDescent="0.25">
      <c r="A42" s="37"/>
      <c r="B42" s="24" t="s">
        <v>4</v>
      </c>
      <c r="C42" s="5">
        <f>C37</f>
        <v>1</v>
      </c>
      <c r="D42" s="7">
        <v>0</v>
      </c>
      <c r="E42" s="3">
        <f t="shared" si="0"/>
        <v>1</v>
      </c>
      <c r="F42" s="85" t="s">
        <v>867</v>
      </c>
      <c r="G42" s="77">
        <v>49.82</v>
      </c>
      <c r="H42" s="5" t="s">
        <v>0</v>
      </c>
      <c r="I42" s="78">
        <f t="shared" si="1"/>
        <v>0.49819999999999998</v>
      </c>
      <c r="J42" s="110">
        <f t="shared" si="7"/>
        <v>75</v>
      </c>
      <c r="K42" s="4">
        <v>2.7</v>
      </c>
      <c r="L42" s="5" t="s">
        <v>0</v>
      </c>
      <c r="M42" s="80">
        <f t="shared" si="3"/>
        <v>2.7000000000000003E-2</v>
      </c>
      <c r="N42" s="78">
        <f t="shared" si="4"/>
        <v>2.0250000000000004</v>
      </c>
      <c r="O42" s="111">
        <f t="shared" si="5"/>
        <v>2.5232000000000001</v>
      </c>
      <c r="P42" s="4">
        <v>10</v>
      </c>
      <c r="Q42" s="4">
        <v>12.5</v>
      </c>
      <c r="R42" s="4">
        <v>15</v>
      </c>
      <c r="S42" s="49">
        <v>138432</v>
      </c>
    </row>
    <row r="43" spans="1:19" ht="15.75" thickBot="1" x14ac:dyDescent="0.3">
      <c r="A43" s="37"/>
      <c r="B43" s="211"/>
      <c r="C43" s="5"/>
      <c r="D43" s="7"/>
      <c r="E43" s="3"/>
      <c r="F43" s="3"/>
      <c r="G43" s="77" t="s">
        <v>1202</v>
      </c>
      <c r="H43" s="5"/>
      <c r="I43" s="78"/>
      <c r="J43" s="4"/>
      <c r="K43" s="4"/>
      <c r="L43" s="5"/>
      <c r="M43" s="80"/>
      <c r="N43" s="78"/>
      <c r="O43" s="111"/>
      <c r="P43" s="4"/>
      <c r="Q43" s="4"/>
      <c r="R43" s="4"/>
      <c r="S43" s="49"/>
    </row>
    <row r="44" spans="1:19" ht="15.75" thickBot="1" x14ac:dyDescent="0.3">
      <c r="A44" s="204">
        <v>6</v>
      </c>
      <c r="B44" s="215" t="s">
        <v>6</v>
      </c>
      <c r="C44" s="197">
        <v>10</v>
      </c>
      <c r="D44" s="7">
        <v>0</v>
      </c>
      <c r="E44" s="3">
        <f t="shared" si="0"/>
        <v>10</v>
      </c>
      <c r="F44" s="85" t="s">
        <v>867</v>
      </c>
      <c r="G44" s="147">
        <v>1386.32</v>
      </c>
      <c r="H44" s="5" t="s">
        <v>0</v>
      </c>
      <c r="I44" s="78">
        <f t="shared" si="1"/>
        <v>138.63200000000001</v>
      </c>
      <c r="J44" s="110">
        <f t="shared" si="7"/>
        <v>75</v>
      </c>
      <c r="K44" s="4">
        <v>20</v>
      </c>
      <c r="L44" s="5" t="s">
        <v>0</v>
      </c>
      <c r="M44" s="80">
        <f t="shared" si="3"/>
        <v>2</v>
      </c>
      <c r="N44" s="78">
        <f t="shared" si="4"/>
        <v>150</v>
      </c>
      <c r="O44" s="111">
        <f t="shared" si="5"/>
        <v>288.63200000000001</v>
      </c>
      <c r="P44" s="4">
        <v>30</v>
      </c>
      <c r="Q44" s="4">
        <v>37.5</v>
      </c>
      <c r="R44" s="4">
        <v>45</v>
      </c>
      <c r="S44" s="49">
        <v>137589</v>
      </c>
    </row>
    <row r="45" spans="1:19" x14ac:dyDescent="0.25">
      <c r="A45" s="37"/>
      <c r="B45" s="213" t="s">
        <v>860</v>
      </c>
      <c r="C45" s="5">
        <f>C44</f>
        <v>10</v>
      </c>
      <c r="D45" s="7">
        <v>0</v>
      </c>
      <c r="E45" s="3">
        <f t="shared" si="0"/>
        <v>10</v>
      </c>
      <c r="F45" s="85" t="s">
        <v>867</v>
      </c>
      <c r="G45" s="77">
        <v>404.23</v>
      </c>
      <c r="H45" s="5" t="s">
        <v>0</v>
      </c>
      <c r="I45" s="78">
        <f t="shared" si="1"/>
        <v>40.423000000000002</v>
      </c>
      <c r="J45" s="110">
        <f t="shared" si="7"/>
        <v>75</v>
      </c>
      <c r="K45" s="4">
        <v>23</v>
      </c>
      <c r="L45" s="5" t="s">
        <v>0</v>
      </c>
      <c r="M45" s="80">
        <f t="shared" si="3"/>
        <v>2.3000000000000003</v>
      </c>
      <c r="N45" s="78">
        <f t="shared" si="4"/>
        <v>172.50000000000003</v>
      </c>
      <c r="O45" s="111">
        <f t="shared" si="5"/>
        <v>212.92300000000003</v>
      </c>
      <c r="P45" s="4">
        <v>30</v>
      </c>
      <c r="Q45" s="4">
        <v>35</v>
      </c>
      <c r="R45" s="4">
        <v>40</v>
      </c>
      <c r="S45" s="49">
        <v>124314</v>
      </c>
    </row>
    <row r="46" spans="1:19" x14ac:dyDescent="0.25">
      <c r="A46" s="37"/>
      <c r="B46" s="24" t="s">
        <v>2</v>
      </c>
      <c r="C46" s="5">
        <f>C44</f>
        <v>10</v>
      </c>
      <c r="D46" s="7">
        <v>0</v>
      </c>
      <c r="E46" s="3">
        <f t="shared" si="0"/>
        <v>10</v>
      </c>
      <c r="F46" s="85" t="s">
        <v>867</v>
      </c>
      <c r="G46" s="77">
        <v>258.01</v>
      </c>
      <c r="H46" s="5" t="s">
        <v>0</v>
      </c>
      <c r="I46" s="78">
        <f t="shared" si="1"/>
        <v>25.800999999999998</v>
      </c>
      <c r="J46" s="110">
        <f t="shared" si="7"/>
        <v>75</v>
      </c>
      <c r="K46" s="4">
        <v>2.5</v>
      </c>
      <c r="L46" s="5" t="s">
        <v>0</v>
      </c>
      <c r="M46" s="80">
        <f t="shared" si="3"/>
        <v>0.25</v>
      </c>
      <c r="N46" s="78">
        <f t="shared" si="4"/>
        <v>18.75</v>
      </c>
      <c r="O46" s="111">
        <f t="shared" si="5"/>
        <v>44.551000000000002</v>
      </c>
      <c r="P46" s="4">
        <v>15</v>
      </c>
      <c r="Q46" s="4">
        <v>20</v>
      </c>
      <c r="R46" s="4">
        <v>25</v>
      </c>
      <c r="S46" s="49">
        <v>124389</v>
      </c>
    </row>
    <row r="47" spans="1:19" x14ac:dyDescent="0.25">
      <c r="A47" s="37"/>
      <c r="B47" s="24" t="s">
        <v>3</v>
      </c>
      <c r="C47" s="5">
        <f>C44</f>
        <v>10</v>
      </c>
      <c r="D47" s="7">
        <v>0</v>
      </c>
      <c r="E47" s="3">
        <f t="shared" si="0"/>
        <v>10</v>
      </c>
      <c r="F47" s="85" t="s">
        <v>867</v>
      </c>
      <c r="G47" s="77">
        <v>138.57</v>
      </c>
      <c r="H47" s="5" t="s">
        <v>0</v>
      </c>
      <c r="I47" s="78">
        <f t="shared" si="1"/>
        <v>13.856999999999999</v>
      </c>
      <c r="J47" s="110">
        <f t="shared" si="7"/>
        <v>75</v>
      </c>
      <c r="K47" s="4">
        <v>3</v>
      </c>
      <c r="L47" s="5" t="s">
        <v>0</v>
      </c>
      <c r="M47" s="80">
        <f t="shared" si="3"/>
        <v>0.3</v>
      </c>
      <c r="N47" s="78">
        <f t="shared" si="4"/>
        <v>22.5</v>
      </c>
      <c r="O47" s="111">
        <f t="shared" si="5"/>
        <v>36.356999999999999</v>
      </c>
      <c r="P47" s="4">
        <v>6</v>
      </c>
      <c r="Q47" s="4">
        <v>8</v>
      </c>
      <c r="R47" s="4">
        <v>10</v>
      </c>
      <c r="S47" s="49">
        <v>124746</v>
      </c>
    </row>
    <row r="48" spans="1:19" x14ac:dyDescent="0.25">
      <c r="A48" s="37"/>
      <c r="B48" s="24" t="s">
        <v>1160</v>
      </c>
      <c r="C48" s="5">
        <f>C44*2</f>
        <v>20</v>
      </c>
      <c r="D48" s="7">
        <v>0</v>
      </c>
      <c r="E48" s="3">
        <f t="shared" si="0"/>
        <v>20</v>
      </c>
      <c r="F48" s="85" t="s">
        <v>867</v>
      </c>
      <c r="G48" s="77">
        <v>10.75</v>
      </c>
      <c r="H48" s="5" t="s">
        <v>0</v>
      </c>
      <c r="I48" s="78">
        <f t="shared" si="1"/>
        <v>2.15</v>
      </c>
      <c r="J48" s="110">
        <f t="shared" si="7"/>
        <v>75</v>
      </c>
      <c r="K48" s="4">
        <v>2.8</v>
      </c>
      <c r="L48" s="5" t="s">
        <v>0</v>
      </c>
      <c r="M48" s="80">
        <f t="shared" si="3"/>
        <v>0.55999999999999994</v>
      </c>
      <c r="N48" s="78">
        <f t="shared" si="4"/>
        <v>41.999999999999993</v>
      </c>
      <c r="O48" s="111">
        <f t="shared" si="5"/>
        <v>44.149999999999991</v>
      </c>
      <c r="P48" s="4">
        <v>3.1</v>
      </c>
      <c r="Q48" s="4">
        <v>3.88</v>
      </c>
      <c r="R48" s="4">
        <v>4.84</v>
      </c>
      <c r="S48" s="49">
        <v>140190</v>
      </c>
    </row>
    <row r="49" spans="1:19" x14ac:dyDescent="0.25">
      <c r="A49" s="37"/>
      <c r="B49" s="24" t="s">
        <v>4</v>
      </c>
      <c r="C49" s="5">
        <f>C44</f>
        <v>10</v>
      </c>
      <c r="D49" s="7">
        <v>0</v>
      </c>
      <c r="E49" s="3">
        <f t="shared" si="0"/>
        <v>10</v>
      </c>
      <c r="F49" s="85" t="s">
        <v>867</v>
      </c>
      <c r="G49" s="77">
        <v>49.82</v>
      </c>
      <c r="H49" s="5" t="s">
        <v>0</v>
      </c>
      <c r="I49" s="78">
        <f t="shared" si="1"/>
        <v>4.9819999999999993</v>
      </c>
      <c r="J49" s="110">
        <f t="shared" si="7"/>
        <v>75</v>
      </c>
      <c r="K49" s="4">
        <v>2.7</v>
      </c>
      <c r="L49" s="5" t="s">
        <v>0</v>
      </c>
      <c r="M49" s="80">
        <f t="shared" si="3"/>
        <v>0.27</v>
      </c>
      <c r="N49" s="78">
        <f t="shared" si="4"/>
        <v>20.25</v>
      </c>
      <c r="O49" s="111">
        <f t="shared" si="5"/>
        <v>25.231999999999999</v>
      </c>
      <c r="P49" s="4">
        <v>10</v>
      </c>
      <c r="Q49" s="4">
        <v>12.5</v>
      </c>
      <c r="R49" s="4">
        <v>15</v>
      </c>
      <c r="S49" s="49">
        <v>138432</v>
      </c>
    </row>
    <row r="50" spans="1:19" ht="15.75" thickBot="1" x14ac:dyDescent="0.3">
      <c r="A50" s="37"/>
      <c r="B50" s="211"/>
      <c r="C50" s="5"/>
      <c r="D50" s="7"/>
      <c r="E50" s="3"/>
      <c r="F50" s="85"/>
      <c r="G50" s="77" t="s">
        <v>1202</v>
      </c>
      <c r="H50" s="5"/>
      <c r="I50" s="78"/>
      <c r="J50" s="110"/>
      <c r="K50" s="4"/>
      <c r="L50" s="5"/>
      <c r="M50" s="80"/>
      <c r="N50" s="78"/>
      <c r="O50" s="111"/>
      <c r="P50" s="4"/>
      <c r="Q50" s="4"/>
      <c r="R50" s="4"/>
      <c r="S50" s="49"/>
    </row>
    <row r="51" spans="1:19" ht="15.75" thickBot="1" x14ac:dyDescent="0.3">
      <c r="A51" s="204">
        <v>7</v>
      </c>
      <c r="B51" s="215" t="s">
        <v>1206</v>
      </c>
      <c r="C51" s="197">
        <v>10</v>
      </c>
      <c r="D51" s="7">
        <v>0</v>
      </c>
      <c r="E51" s="3">
        <f t="shared" ref="E51" si="13">C51+(C51*D51)</f>
        <v>10</v>
      </c>
      <c r="F51" s="85" t="s">
        <v>867</v>
      </c>
      <c r="G51" s="77">
        <v>2145</v>
      </c>
      <c r="H51" s="5" t="s">
        <v>0</v>
      </c>
      <c r="I51" s="78">
        <f t="shared" ref="I51" si="14">IF(H51="C",(G51/100)*E51,IF(H51="M",(G51/1000)*E51,G51*E51))</f>
        <v>214.5</v>
      </c>
      <c r="J51" s="110">
        <f t="shared" ref="J51" si="15">$O$4</f>
        <v>75</v>
      </c>
      <c r="K51" s="4">
        <v>20</v>
      </c>
      <c r="L51" s="5" t="s">
        <v>0</v>
      </c>
      <c r="M51" s="80">
        <f t="shared" ref="M51" si="16">IF(L51="C",(K51/100)*E51,IF(L51="M",(K51/1000)*E51,K51*E51))</f>
        <v>2</v>
      </c>
      <c r="N51" s="78">
        <f t="shared" ref="N51" si="17">M51*J51</f>
        <v>150</v>
      </c>
      <c r="O51" s="111">
        <f t="shared" ref="O51" si="18">N51+I51</f>
        <v>364.5</v>
      </c>
      <c r="P51" s="4">
        <v>30</v>
      </c>
      <c r="Q51" s="4">
        <v>37.5</v>
      </c>
      <c r="R51" s="4">
        <v>45</v>
      </c>
      <c r="S51" s="49"/>
    </row>
    <row r="52" spans="1:19" x14ac:dyDescent="0.25">
      <c r="A52" s="37"/>
      <c r="B52" s="213" t="s">
        <v>860</v>
      </c>
      <c r="C52" s="5">
        <f>C51</f>
        <v>10</v>
      </c>
      <c r="D52" s="7">
        <v>0</v>
      </c>
      <c r="E52" s="3">
        <f t="shared" ref="E52:E56" si="19">C52+(C52*D52)</f>
        <v>10</v>
      </c>
      <c r="F52" s="85" t="s">
        <v>867</v>
      </c>
      <c r="G52" s="77">
        <v>404.23</v>
      </c>
      <c r="H52" s="5" t="s">
        <v>0</v>
      </c>
      <c r="I52" s="78">
        <f t="shared" ref="I52:I56" si="20">IF(H52="C",(G52/100)*E52,IF(H52="M",(G52/1000)*E52,G52*E52))</f>
        <v>40.423000000000002</v>
      </c>
      <c r="J52" s="110">
        <f t="shared" ref="J52:J56" si="21">$O$4</f>
        <v>75</v>
      </c>
      <c r="K52" s="4">
        <v>23</v>
      </c>
      <c r="L52" s="5" t="s">
        <v>0</v>
      </c>
      <c r="M52" s="80">
        <f t="shared" ref="M52:M56" si="22">IF(L52="C",(K52/100)*E52,IF(L52="M",(K52/1000)*E52,K52*E52))</f>
        <v>2.3000000000000003</v>
      </c>
      <c r="N52" s="78">
        <f t="shared" ref="N52:N56" si="23">M52*J52</f>
        <v>172.50000000000003</v>
      </c>
      <c r="O52" s="111">
        <f t="shared" ref="O52:O56" si="24">N52+I52</f>
        <v>212.92300000000003</v>
      </c>
      <c r="P52" s="4">
        <v>30</v>
      </c>
      <c r="Q52" s="4">
        <v>35</v>
      </c>
      <c r="R52" s="4">
        <v>40</v>
      </c>
      <c r="S52" s="49">
        <v>124314</v>
      </c>
    </row>
    <row r="53" spans="1:19" x14ac:dyDescent="0.25">
      <c r="A53" s="37"/>
      <c r="B53" s="24" t="s">
        <v>2</v>
      </c>
      <c r="C53" s="5">
        <f>C51</f>
        <v>10</v>
      </c>
      <c r="D53" s="7">
        <v>0</v>
      </c>
      <c r="E53" s="3">
        <f t="shared" si="19"/>
        <v>10</v>
      </c>
      <c r="F53" s="85" t="s">
        <v>867</v>
      </c>
      <c r="G53" s="77">
        <v>258.01</v>
      </c>
      <c r="H53" s="5" t="s">
        <v>0</v>
      </c>
      <c r="I53" s="78">
        <f t="shared" si="20"/>
        <v>25.800999999999998</v>
      </c>
      <c r="J53" s="110">
        <f t="shared" si="21"/>
        <v>75</v>
      </c>
      <c r="K53" s="4">
        <v>2.5</v>
      </c>
      <c r="L53" s="5" t="s">
        <v>0</v>
      </c>
      <c r="M53" s="80">
        <f t="shared" si="22"/>
        <v>0.25</v>
      </c>
      <c r="N53" s="78">
        <f t="shared" si="23"/>
        <v>18.75</v>
      </c>
      <c r="O53" s="111">
        <f t="shared" si="24"/>
        <v>44.551000000000002</v>
      </c>
      <c r="P53" s="4">
        <v>15</v>
      </c>
      <c r="Q53" s="4">
        <v>20</v>
      </c>
      <c r="R53" s="4">
        <v>25</v>
      </c>
      <c r="S53" s="49">
        <v>124389</v>
      </c>
    </row>
    <row r="54" spans="1:19" x14ac:dyDescent="0.25">
      <c r="A54" s="37"/>
      <c r="B54" s="24" t="s">
        <v>3</v>
      </c>
      <c r="C54" s="5">
        <f>C51</f>
        <v>10</v>
      </c>
      <c r="D54" s="7">
        <v>0</v>
      </c>
      <c r="E54" s="3">
        <f t="shared" si="19"/>
        <v>10</v>
      </c>
      <c r="F54" s="85" t="s">
        <v>867</v>
      </c>
      <c r="G54" s="77">
        <v>138.57</v>
      </c>
      <c r="H54" s="5" t="s">
        <v>0</v>
      </c>
      <c r="I54" s="78">
        <f t="shared" si="20"/>
        <v>13.856999999999999</v>
      </c>
      <c r="J54" s="110">
        <f t="shared" si="21"/>
        <v>75</v>
      </c>
      <c r="K54" s="4">
        <v>3</v>
      </c>
      <c r="L54" s="5" t="s">
        <v>0</v>
      </c>
      <c r="M54" s="80">
        <f t="shared" si="22"/>
        <v>0.3</v>
      </c>
      <c r="N54" s="78">
        <f t="shared" si="23"/>
        <v>22.5</v>
      </c>
      <c r="O54" s="111">
        <f t="shared" si="24"/>
        <v>36.356999999999999</v>
      </c>
      <c r="P54" s="4">
        <v>6</v>
      </c>
      <c r="Q54" s="4">
        <v>8</v>
      </c>
      <c r="R54" s="4">
        <v>10</v>
      </c>
      <c r="S54" s="49">
        <v>124746</v>
      </c>
    </row>
    <row r="55" spans="1:19" x14ac:dyDescent="0.25">
      <c r="A55" s="37"/>
      <c r="B55" s="24" t="s">
        <v>1160</v>
      </c>
      <c r="C55" s="5">
        <f>C51*2</f>
        <v>20</v>
      </c>
      <c r="D55" s="7">
        <v>0</v>
      </c>
      <c r="E55" s="3">
        <f t="shared" si="19"/>
        <v>20</v>
      </c>
      <c r="F55" s="85" t="s">
        <v>867</v>
      </c>
      <c r="G55" s="77">
        <v>10.75</v>
      </c>
      <c r="H55" s="5" t="s">
        <v>0</v>
      </c>
      <c r="I55" s="78">
        <f t="shared" si="20"/>
        <v>2.15</v>
      </c>
      <c r="J55" s="110">
        <f t="shared" si="21"/>
        <v>75</v>
      </c>
      <c r="K55" s="4">
        <v>2.8</v>
      </c>
      <c r="L55" s="5" t="s">
        <v>0</v>
      </c>
      <c r="M55" s="80">
        <f t="shared" si="22"/>
        <v>0.55999999999999994</v>
      </c>
      <c r="N55" s="78">
        <f t="shared" si="23"/>
        <v>41.999999999999993</v>
      </c>
      <c r="O55" s="111">
        <f t="shared" si="24"/>
        <v>44.149999999999991</v>
      </c>
      <c r="P55" s="4">
        <v>3.1</v>
      </c>
      <c r="Q55" s="4">
        <v>3.88</v>
      </c>
      <c r="R55" s="4">
        <v>4.84</v>
      </c>
      <c r="S55" s="49">
        <v>140190</v>
      </c>
    </row>
    <row r="56" spans="1:19" x14ac:dyDescent="0.25">
      <c r="A56" s="37"/>
      <c r="B56" s="24" t="s">
        <v>1207</v>
      </c>
      <c r="C56" s="5">
        <f>C51</f>
        <v>10</v>
      </c>
      <c r="D56" s="7">
        <v>0</v>
      </c>
      <c r="E56" s="3">
        <f t="shared" si="19"/>
        <v>10</v>
      </c>
      <c r="F56" s="85" t="s">
        <v>867</v>
      </c>
      <c r="G56" s="77">
        <v>49.82</v>
      </c>
      <c r="H56" s="5" t="s">
        <v>0</v>
      </c>
      <c r="I56" s="78">
        <f t="shared" si="20"/>
        <v>4.9819999999999993</v>
      </c>
      <c r="J56" s="110">
        <f t="shared" si="21"/>
        <v>75</v>
      </c>
      <c r="K56" s="4">
        <v>2.7</v>
      </c>
      <c r="L56" s="5" t="s">
        <v>0</v>
      </c>
      <c r="M56" s="80">
        <f t="shared" si="22"/>
        <v>0.27</v>
      </c>
      <c r="N56" s="78">
        <f t="shared" si="23"/>
        <v>20.25</v>
      </c>
      <c r="O56" s="111">
        <f t="shared" si="24"/>
        <v>25.231999999999999</v>
      </c>
      <c r="P56" s="4">
        <v>10</v>
      </c>
      <c r="Q56" s="4">
        <v>12.5</v>
      </c>
      <c r="R56" s="4">
        <v>15</v>
      </c>
      <c r="S56" s="49">
        <v>138432</v>
      </c>
    </row>
    <row r="57" spans="1:19" ht="15.75" thickBot="1" x14ac:dyDescent="0.3">
      <c r="A57" s="37"/>
      <c r="B57" s="211"/>
      <c r="C57" s="5"/>
      <c r="D57" s="7"/>
      <c r="E57" s="3"/>
      <c r="F57" s="85"/>
      <c r="G57" s="77"/>
      <c r="H57" s="5"/>
      <c r="I57" s="78"/>
      <c r="J57" s="110"/>
      <c r="K57" s="4"/>
      <c r="L57" s="5"/>
      <c r="M57" s="80"/>
      <c r="N57" s="78"/>
      <c r="O57" s="111"/>
      <c r="P57" s="4"/>
      <c r="Q57" s="4"/>
      <c r="R57" s="4"/>
      <c r="S57" s="49"/>
    </row>
    <row r="58" spans="1:19" ht="15.75" thickBot="1" x14ac:dyDescent="0.3">
      <c r="A58" s="204">
        <v>8</v>
      </c>
      <c r="B58" s="215" t="s">
        <v>7</v>
      </c>
      <c r="C58" s="197">
        <v>10</v>
      </c>
      <c r="D58" s="7">
        <v>0</v>
      </c>
      <c r="E58" s="3">
        <f t="shared" si="0"/>
        <v>10</v>
      </c>
      <c r="F58" s="85" t="s">
        <v>867</v>
      </c>
      <c r="G58" s="77">
        <v>1521.63</v>
      </c>
      <c r="H58" s="5" t="s">
        <v>0</v>
      </c>
      <c r="I58" s="78">
        <f t="shared" si="1"/>
        <v>152.16300000000001</v>
      </c>
      <c r="J58" s="110">
        <f t="shared" si="7"/>
        <v>75</v>
      </c>
      <c r="K58" s="4">
        <v>25</v>
      </c>
      <c r="L58" s="5" t="s">
        <v>0</v>
      </c>
      <c r="M58" s="80">
        <f t="shared" si="3"/>
        <v>2.5</v>
      </c>
      <c r="N58" s="78">
        <f t="shared" si="4"/>
        <v>187.5</v>
      </c>
      <c r="O58" s="111">
        <f t="shared" si="5"/>
        <v>339.66300000000001</v>
      </c>
      <c r="P58" s="4">
        <v>35</v>
      </c>
      <c r="Q58" s="4">
        <v>40</v>
      </c>
      <c r="R58" s="4">
        <v>45</v>
      </c>
      <c r="S58" s="49">
        <v>137496</v>
      </c>
    </row>
    <row r="59" spans="1:19" ht="14.25" customHeight="1" x14ac:dyDescent="0.25">
      <c r="A59" s="37"/>
      <c r="B59" s="213" t="s">
        <v>860</v>
      </c>
      <c r="C59" s="5">
        <f>C58</f>
        <v>10</v>
      </c>
      <c r="D59" s="7">
        <v>0</v>
      </c>
      <c r="E59" s="3">
        <f t="shared" si="0"/>
        <v>10</v>
      </c>
      <c r="F59" s="85" t="s">
        <v>867</v>
      </c>
      <c r="G59" s="77">
        <v>404.23</v>
      </c>
      <c r="H59" s="5" t="s">
        <v>0</v>
      </c>
      <c r="I59" s="78">
        <f t="shared" si="1"/>
        <v>40.423000000000002</v>
      </c>
      <c r="J59" s="110">
        <f t="shared" si="7"/>
        <v>75</v>
      </c>
      <c r="K59" s="4">
        <v>23</v>
      </c>
      <c r="L59" s="5" t="s">
        <v>0</v>
      </c>
      <c r="M59" s="80">
        <f t="shared" si="3"/>
        <v>2.3000000000000003</v>
      </c>
      <c r="N59" s="78">
        <f t="shared" si="4"/>
        <v>172.50000000000003</v>
      </c>
      <c r="O59" s="111">
        <f t="shared" si="5"/>
        <v>212.92300000000003</v>
      </c>
      <c r="P59" s="4">
        <v>30</v>
      </c>
      <c r="Q59" s="4">
        <v>35</v>
      </c>
      <c r="R59" s="4">
        <v>40</v>
      </c>
      <c r="S59" s="49">
        <v>124314</v>
      </c>
    </row>
    <row r="60" spans="1:19" x14ac:dyDescent="0.25">
      <c r="A60" s="37"/>
      <c r="B60" s="24" t="s">
        <v>2</v>
      </c>
      <c r="C60" s="5">
        <f>C58</f>
        <v>10</v>
      </c>
      <c r="D60" s="7">
        <v>0</v>
      </c>
      <c r="E60" s="3">
        <f t="shared" si="0"/>
        <v>10</v>
      </c>
      <c r="F60" s="85" t="s">
        <v>867</v>
      </c>
      <c r="G60" s="77">
        <v>258.01</v>
      </c>
      <c r="H60" s="5" t="s">
        <v>0</v>
      </c>
      <c r="I60" s="78">
        <f t="shared" si="1"/>
        <v>25.800999999999998</v>
      </c>
      <c r="J60" s="110">
        <f t="shared" si="7"/>
        <v>75</v>
      </c>
      <c r="K60" s="4">
        <v>2.5</v>
      </c>
      <c r="L60" s="5" t="s">
        <v>0</v>
      </c>
      <c r="M60" s="80">
        <f t="shared" si="3"/>
        <v>0.25</v>
      </c>
      <c r="N60" s="78">
        <f t="shared" si="4"/>
        <v>18.75</v>
      </c>
      <c r="O60" s="111">
        <f t="shared" si="5"/>
        <v>44.551000000000002</v>
      </c>
      <c r="P60" s="4">
        <v>15</v>
      </c>
      <c r="Q60" s="4">
        <v>20</v>
      </c>
      <c r="R60" s="4">
        <v>25</v>
      </c>
      <c r="S60" s="49">
        <v>124389</v>
      </c>
    </row>
    <row r="61" spans="1:19" x14ac:dyDescent="0.25">
      <c r="A61" s="37"/>
      <c r="B61" s="24" t="s">
        <v>3</v>
      </c>
      <c r="C61" s="5">
        <f>C58</f>
        <v>10</v>
      </c>
      <c r="D61" s="7">
        <v>0</v>
      </c>
      <c r="E61" s="3">
        <f t="shared" si="0"/>
        <v>10</v>
      </c>
      <c r="F61" s="85" t="s">
        <v>867</v>
      </c>
      <c r="G61" s="77">
        <v>138.57</v>
      </c>
      <c r="H61" s="5" t="s">
        <v>0</v>
      </c>
      <c r="I61" s="78">
        <f t="shared" si="1"/>
        <v>13.856999999999999</v>
      </c>
      <c r="J61" s="110">
        <f t="shared" si="7"/>
        <v>75</v>
      </c>
      <c r="K61" s="4">
        <v>3</v>
      </c>
      <c r="L61" s="5" t="s">
        <v>0</v>
      </c>
      <c r="M61" s="80">
        <f t="shared" si="3"/>
        <v>0.3</v>
      </c>
      <c r="N61" s="78">
        <f t="shared" si="4"/>
        <v>22.5</v>
      </c>
      <c r="O61" s="111">
        <f t="shared" si="5"/>
        <v>36.356999999999999</v>
      </c>
      <c r="P61" s="4">
        <v>6</v>
      </c>
      <c r="Q61" s="4">
        <v>8</v>
      </c>
      <c r="R61" s="4">
        <v>10</v>
      </c>
      <c r="S61" s="49">
        <v>124746</v>
      </c>
    </row>
    <row r="62" spans="1:19" x14ac:dyDescent="0.25">
      <c r="A62" s="37"/>
      <c r="B62" s="24" t="s">
        <v>1160</v>
      </c>
      <c r="C62" s="5">
        <f>C58*2</f>
        <v>20</v>
      </c>
      <c r="D62" s="7">
        <v>0</v>
      </c>
      <c r="E62" s="3">
        <f t="shared" si="0"/>
        <v>20</v>
      </c>
      <c r="F62" s="85" t="s">
        <v>867</v>
      </c>
      <c r="G62" s="77">
        <v>10.75</v>
      </c>
      <c r="H62" s="5" t="s">
        <v>0</v>
      </c>
      <c r="I62" s="78">
        <f t="shared" si="1"/>
        <v>2.15</v>
      </c>
      <c r="J62" s="110">
        <f t="shared" si="7"/>
        <v>75</v>
      </c>
      <c r="K62" s="4">
        <v>2.8</v>
      </c>
      <c r="L62" s="5" t="s">
        <v>0</v>
      </c>
      <c r="M62" s="80">
        <f t="shared" si="3"/>
        <v>0.55999999999999994</v>
      </c>
      <c r="N62" s="78">
        <f t="shared" si="4"/>
        <v>41.999999999999993</v>
      </c>
      <c r="O62" s="111">
        <f t="shared" si="5"/>
        <v>44.149999999999991</v>
      </c>
      <c r="P62" s="4">
        <v>3.1</v>
      </c>
      <c r="Q62" s="4">
        <v>3.88</v>
      </c>
      <c r="R62" s="4">
        <v>4.84</v>
      </c>
      <c r="S62" s="49">
        <v>140190</v>
      </c>
    </row>
    <row r="63" spans="1:19" x14ac:dyDescent="0.25">
      <c r="A63" s="37"/>
      <c r="B63" s="24" t="s">
        <v>4</v>
      </c>
      <c r="C63" s="5">
        <f>C58</f>
        <v>10</v>
      </c>
      <c r="D63" s="7">
        <v>0</v>
      </c>
      <c r="E63" s="3">
        <f t="shared" si="0"/>
        <v>10</v>
      </c>
      <c r="F63" s="85" t="s">
        <v>867</v>
      </c>
      <c r="G63" s="77">
        <v>49.82</v>
      </c>
      <c r="H63" s="5" t="s">
        <v>0</v>
      </c>
      <c r="I63" s="78">
        <f t="shared" si="1"/>
        <v>4.9819999999999993</v>
      </c>
      <c r="J63" s="110">
        <f t="shared" si="7"/>
        <v>75</v>
      </c>
      <c r="K63" s="4">
        <v>2.7</v>
      </c>
      <c r="L63" s="5" t="s">
        <v>0</v>
      </c>
      <c r="M63" s="80">
        <f t="shared" si="3"/>
        <v>0.27</v>
      </c>
      <c r="N63" s="78">
        <f t="shared" si="4"/>
        <v>20.25</v>
      </c>
      <c r="O63" s="111">
        <f t="shared" si="5"/>
        <v>25.231999999999999</v>
      </c>
      <c r="P63" s="4">
        <v>10</v>
      </c>
      <c r="Q63" s="4">
        <v>12.5</v>
      </c>
      <c r="R63" s="4">
        <v>15</v>
      </c>
      <c r="S63" s="49">
        <v>138432</v>
      </c>
    </row>
    <row r="64" spans="1:19" ht="15.75" thickBot="1" x14ac:dyDescent="0.3">
      <c r="A64" s="37"/>
      <c r="B64" s="211"/>
      <c r="C64" s="5"/>
      <c r="D64" s="7"/>
      <c r="E64" s="3"/>
      <c r="F64" s="3"/>
      <c r="G64" s="77" t="s">
        <v>1202</v>
      </c>
      <c r="H64" s="5"/>
      <c r="I64" s="78"/>
      <c r="J64" s="4"/>
      <c r="K64" s="4"/>
      <c r="L64" s="5"/>
      <c r="M64" s="80"/>
      <c r="N64" s="78"/>
      <c r="O64" s="111"/>
      <c r="P64" s="4"/>
      <c r="Q64" s="4"/>
      <c r="R64" s="4"/>
      <c r="S64" s="49"/>
    </row>
    <row r="65" spans="1:19" ht="15.75" thickBot="1" x14ac:dyDescent="0.3">
      <c r="A65" s="204">
        <v>9</v>
      </c>
      <c r="B65" s="215" t="s">
        <v>1214</v>
      </c>
      <c r="C65" s="176">
        <v>10</v>
      </c>
      <c r="D65" s="157">
        <v>0</v>
      </c>
      <c r="E65" s="158">
        <f t="shared" ref="E65" si="25">C65+(C65*D65)</f>
        <v>10</v>
      </c>
      <c r="F65" s="185" t="s">
        <v>867</v>
      </c>
      <c r="G65" s="160">
        <v>1848.25</v>
      </c>
      <c r="H65" s="161" t="s">
        <v>0</v>
      </c>
      <c r="I65" s="162">
        <f t="shared" ref="I65" si="26">IF(H65="C",(G65/100)*E65,IF(H65="M",(G65/1000)*E65,G65*E65))</f>
        <v>184.82500000000002</v>
      </c>
      <c r="J65" s="163">
        <f t="shared" ref="J65" si="27">$O$4</f>
        <v>75</v>
      </c>
      <c r="K65" s="164">
        <v>25</v>
      </c>
      <c r="L65" s="155" t="s">
        <v>0</v>
      </c>
      <c r="M65" s="165">
        <f t="shared" ref="M65" si="28">IF(L65="C",(K65/100)*E65,IF(L65="M",(K65/1000)*E65,K65*E65))</f>
        <v>2.5</v>
      </c>
      <c r="N65" s="162">
        <f t="shared" ref="N65" si="29">M65*J65</f>
        <v>187.5</v>
      </c>
      <c r="O65" s="166">
        <f t="shared" ref="O65" si="30">N65+I65</f>
        <v>372.32500000000005</v>
      </c>
      <c r="P65" s="4">
        <v>35</v>
      </c>
      <c r="Q65" s="4">
        <v>40</v>
      </c>
      <c r="R65" s="4">
        <v>45</v>
      </c>
      <c r="S65" s="49">
        <v>137496</v>
      </c>
    </row>
    <row r="66" spans="1:19" x14ac:dyDescent="0.25">
      <c r="A66" s="37"/>
      <c r="B66" s="213" t="s">
        <v>860</v>
      </c>
      <c r="C66" s="5">
        <f>C65</f>
        <v>10</v>
      </c>
      <c r="D66" s="7">
        <v>0</v>
      </c>
      <c r="E66" s="3">
        <f t="shared" ref="E66:E70" si="31">C66+(C66*D66)</f>
        <v>10</v>
      </c>
      <c r="F66" s="85" t="s">
        <v>867</v>
      </c>
      <c r="G66" s="77">
        <v>404.23</v>
      </c>
      <c r="H66" s="5" t="s">
        <v>0</v>
      </c>
      <c r="I66" s="78">
        <f t="shared" ref="I66:I70" si="32">IF(H66="C",(G66/100)*E66,IF(H66="M",(G66/1000)*E66,G66*E66))</f>
        <v>40.423000000000002</v>
      </c>
      <c r="J66" s="110">
        <f t="shared" si="7"/>
        <v>75</v>
      </c>
      <c r="K66" s="4">
        <v>23</v>
      </c>
      <c r="L66" s="5" t="s">
        <v>0</v>
      </c>
      <c r="M66" s="80">
        <f t="shared" ref="M66:M70" si="33">IF(L66="C",(K66/100)*E66,IF(L66="M",(K66/1000)*E66,K66*E66))</f>
        <v>2.3000000000000003</v>
      </c>
      <c r="N66" s="78">
        <f t="shared" ref="N66:N70" si="34">M66*J66</f>
        <v>172.50000000000003</v>
      </c>
      <c r="O66" s="111">
        <f t="shared" ref="O66:O70" si="35">N66+I66</f>
        <v>212.92300000000003</v>
      </c>
      <c r="P66" s="4">
        <v>30</v>
      </c>
      <c r="Q66" s="4">
        <v>35</v>
      </c>
      <c r="R66" s="4">
        <v>40</v>
      </c>
      <c r="S66" s="49">
        <v>124314</v>
      </c>
    </row>
    <row r="67" spans="1:19" x14ac:dyDescent="0.25">
      <c r="A67" s="37"/>
      <c r="B67" s="24" t="s">
        <v>2</v>
      </c>
      <c r="C67" s="5">
        <f>C65</f>
        <v>10</v>
      </c>
      <c r="D67" s="7">
        <v>0</v>
      </c>
      <c r="E67" s="3">
        <f t="shared" si="31"/>
        <v>10</v>
      </c>
      <c r="F67" s="85" t="s">
        <v>867</v>
      </c>
      <c r="G67" s="77">
        <v>258.01</v>
      </c>
      <c r="H67" s="5" t="s">
        <v>0</v>
      </c>
      <c r="I67" s="78">
        <f t="shared" si="32"/>
        <v>25.800999999999998</v>
      </c>
      <c r="J67" s="110">
        <f t="shared" si="7"/>
        <v>75</v>
      </c>
      <c r="K67" s="4">
        <v>2.5</v>
      </c>
      <c r="L67" s="5" t="s">
        <v>0</v>
      </c>
      <c r="M67" s="80">
        <f t="shared" si="33"/>
        <v>0.25</v>
      </c>
      <c r="N67" s="78">
        <f t="shared" si="34"/>
        <v>18.75</v>
      </c>
      <c r="O67" s="111">
        <f t="shared" si="35"/>
        <v>44.551000000000002</v>
      </c>
      <c r="P67" s="4">
        <v>15</v>
      </c>
      <c r="Q67" s="4">
        <v>20</v>
      </c>
      <c r="R67" s="4">
        <v>25</v>
      </c>
      <c r="S67" s="49">
        <v>124389</v>
      </c>
    </row>
    <row r="68" spans="1:19" x14ac:dyDescent="0.25">
      <c r="A68" s="37"/>
      <c r="B68" s="24" t="s">
        <v>3</v>
      </c>
      <c r="C68" s="5">
        <f>C65</f>
        <v>10</v>
      </c>
      <c r="D68" s="7">
        <v>0</v>
      </c>
      <c r="E68" s="3">
        <f t="shared" si="31"/>
        <v>10</v>
      </c>
      <c r="F68" s="85" t="s">
        <v>867</v>
      </c>
      <c r="G68" s="77">
        <v>138.57</v>
      </c>
      <c r="H68" s="5" t="s">
        <v>0</v>
      </c>
      <c r="I68" s="78">
        <f t="shared" si="32"/>
        <v>13.856999999999999</v>
      </c>
      <c r="J68" s="110">
        <f t="shared" si="7"/>
        <v>75</v>
      </c>
      <c r="K68" s="4">
        <v>3</v>
      </c>
      <c r="L68" s="5" t="s">
        <v>0</v>
      </c>
      <c r="M68" s="80">
        <f t="shared" si="33"/>
        <v>0.3</v>
      </c>
      <c r="N68" s="78">
        <f t="shared" si="34"/>
        <v>22.5</v>
      </c>
      <c r="O68" s="111">
        <f t="shared" si="35"/>
        <v>36.356999999999999</v>
      </c>
      <c r="P68" s="4">
        <v>6</v>
      </c>
      <c r="Q68" s="4">
        <v>8</v>
      </c>
      <c r="R68" s="4">
        <v>10</v>
      </c>
      <c r="S68" s="49">
        <v>124746</v>
      </c>
    </row>
    <row r="69" spans="1:19" x14ac:dyDescent="0.25">
      <c r="A69" s="37"/>
      <c r="B69" s="24" t="s">
        <v>1160</v>
      </c>
      <c r="C69" s="5">
        <f>C65*2</f>
        <v>20</v>
      </c>
      <c r="D69" s="7">
        <v>0</v>
      </c>
      <c r="E69" s="3">
        <f t="shared" si="31"/>
        <v>20</v>
      </c>
      <c r="F69" s="85" t="s">
        <v>867</v>
      </c>
      <c r="G69" s="77">
        <v>10.75</v>
      </c>
      <c r="H69" s="5" t="s">
        <v>0</v>
      </c>
      <c r="I69" s="78">
        <f t="shared" si="32"/>
        <v>2.15</v>
      </c>
      <c r="J69" s="110">
        <f t="shared" si="7"/>
        <v>75</v>
      </c>
      <c r="K69" s="4">
        <v>2.8</v>
      </c>
      <c r="L69" s="5" t="s">
        <v>0</v>
      </c>
      <c r="M69" s="80">
        <f t="shared" si="33"/>
        <v>0.55999999999999994</v>
      </c>
      <c r="N69" s="78">
        <f t="shared" si="34"/>
        <v>41.999999999999993</v>
      </c>
      <c r="O69" s="111">
        <f t="shared" si="35"/>
        <v>44.149999999999991</v>
      </c>
      <c r="P69" s="4">
        <v>3.1</v>
      </c>
      <c r="Q69" s="4">
        <v>3.88</v>
      </c>
      <c r="R69" s="4">
        <v>4.84</v>
      </c>
      <c r="S69" s="49">
        <v>140190</v>
      </c>
    </row>
    <row r="70" spans="1:19" x14ac:dyDescent="0.25">
      <c r="A70" s="37"/>
      <c r="B70" s="24" t="s">
        <v>4</v>
      </c>
      <c r="C70" s="5">
        <f>C65</f>
        <v>10</v>
      </c>
      <c r="D70" s="7">
        <v>0</v>
      </c>
      <c r="E70" s="3">
        <f t="shared" si="31"/>
        <v>10</v>
      </c>
      <c r="F70" s="85" t="s">
        <v>867</v>
      </c>
      <c r="G70" s="77">
        <v>49.82</v>
      </c>
      <c r="H70" s="5" t="s">
        <v>0</v>
      </c>
      <c r="I70" s="78">
        <f t="shared" si="32"/>
        <v>4.9819999999999993</v>
      </c>
      <c r="J70" s="110">
        <f t="shared" si="7"/>
        <v>75</v>
      </c>
      <c r="K70" s="4">
        <v>2.7</v>
      </c>
      <c r="L70" s="5" t="s">
        <v>0</v>
      </c>
      <c r="M70" s="80">
        <f t="shared" si="33"/>
        <v>0.27</v>
      </c>
      <c r="N70" s="78">
        <f t="shared" si="34"/>
        <v>20.25</v>
      </c>
      <c r="O70" s="111">
        <f t="shared" si="35"/>
        <v>25.231999999999999</v>
      </c>
      <c r="P70" s="4">
        <v>10</v>
      </c>
      <c r="Q70" s="4">
        <v>12.5</v>
      </c>
      <c r="R70" s="4">
        <v>15</v>
      </c>
      <c r="S70" s="49">
        <v>138432</v>
      </c>
    </row>
    <row r="71" spans="1:19" ht="15.75" thickBot="1" x14ac:dyDescent="0.3">
      <c r="A71" s="37"/>
      <c r="B71" s="211"/>
      <c r="C71" s="5"/>
      <c r="D71" s="7"/>
      <c r="E71" s="3"/>
      <c r="F71" s="3"/>
      <c r="G71" s="77" t="s">
        <v>1202</v>
      </c>
      <c r="H71" s="5"/>
      <c r="I71" s="78"/>
      <c r="J71" s="4"/>
      <c r="K71" s="4"/>
      <c r="L71" s="5"/>
      <c r="M71" s="80"/>
      <c r="N71" s="78"/>
      <c r="O71" s="111"/>
      <c r="P71" s="4"/>
      <c r="Q71" s="4"/>
      <c r="R71" s="4"/>
      <c r="S71" s="49"/>
    </row>
    <row r="72" spans="1:19" ht="15.75" thickBot="1" x14ac:dyDescent="0.3">
      <c r="A72" s="204">
        <v>10</v>
      </c>
      <c r="B72" s="215" t="s">
        <v>9</v>
      </c>
      <c r="C72" s="197">
        <v>10</v>
      </c>
      <c r="D72" s="7">
        <v>0</v>
      </c>
      <c r="E72" s="3">
        <f t="shared" si="0"/>
        <v>10</v>
      </c>
      <c r="F72" s="85" t="s">
        <v>867</v>
      </c>
      <c r="G72" s="147">
        <v>798.41</v>
      </c>
      <c r="H72" s="5" t="s">
        <v>0</v>
      </c>
      <c r="I72" s="78">
        <f t="shared" si="1"/>
        <v>79.840999999999994</v>
      </c>
      <c r="J72" s="110">
        <f t="shared" si="7"/>
        <v>75</v>
      </c>
      <c r="K72" s="4">
        <v>20</v>
      </c>
      <c r="L72" s="5" t="s">
        <v>0</v>
      </c>
      <c r="M72" s="80">
        <f t="shared" si="3"/>
        <v>2</v>
      </c>
      <c r="N72" s="78">
        <f t="shared" si="4"/>
        <v>150</v>
      </c>
      <c r="O72" s="111">
        <f t="shared" si="5"/>
        <v>229.84100000000001</v>
      </c>
      <c r="P72" s="4">
        <v>30</v>
      </c>
      <c r="Q72" s="4">
        <v>37.5</v>
      </c>
      <c r="R72" s="4">
        <v>45</v>
      </c>
      <c r="S72" s="49">
        <v>137511</v>
      </c>
    </row>
    <row r="73" spans="1:19" x14ac:dyDescent="0.25">
      <c r="A73" s="37"/>
      <c r="B73" s="213" t="s">
        <v>860</v>
      </c>
      <c r="C73" s="5">
        <f>C72</f>
        <v>10</v>
      </c>
      <c r="D73" s="7">
        <v>0</v>
      </c>
      <c r="E73" s="3">
        <f t="shared" si="0"/>
        <v>10</v>
      </c>
      <c r="F73" s="85" t="s">
        <v>867</v>
      </c>
      <c r="G73" s="77">
        <v>404.23</v>
      </c>
      <c r="H73" s="5" t="s">
        <v>0</v>
      </c>
      <c r="I73" s="78">
        <f t="shared" si="1"/>
        <v>40.423000000000002</v>
      </c>
      <c r="J73" s="110">
        <f t="shared" si="7"/>
        <v>75</v>
      </c>
      <c r="K73" s="4">
        <v>23</v>
      </c>
      <c r="L73" s="5" t="s">
        <v>0</v>
      </c>
      <c r="M73" s="80">
        <f t="shared" si="3"/>
        <v>2.3000000000000003</v>
      </c>
      <c r="N73" s="78">
        <f t="shared" si="4"/>
        <v>172.50000000000003</v>
      </c>
      <c r="O73" s="111">
        <f t="shared" si="5"/>
        <v>212.92300000000003</v>
      </c>
      <c r="P73" s="4">
        <v>30</v>
      </c>
      <c r="Q73" s="4">
        <v>35</v>
      </c>
      <c r="R73" s="4">
        <v>40</v>
      </c>
      <c r="S73" s="49">
        <v>124314</v>
      </c>
    </row>
    <row r="74" spans="1:19" x14ac:dyDescent="0.25">
      <c r="A74" s="37"/>
      <c r="B74" s="24" t="s">
        <v>2</v>
      </c>
      <c r="C74" s="5">
        <f>C72</f>
        <v>10</v>
      </c>
      <c r="D74" s="7">
        <v>0</v>
      </c>
      <c r="E74" s="3">
        <f t="shared" si="0"/>
        <v>10</v>
      </c>
      <c r="F74" s="85" t="s">
        <v>867</v>
      </c>
      <c r="G74" s="77">
        <v>258.01</v>
      </c>
      <c r="H74" s="5" t="s">
        <v>0</v>
      </c>
      <c r="I74" s="78">
        <f t="shared" si="1"/>
        <v>25.800999999999998</v>
      </c>
      <c r="J74" s="110">
        <f t="shared" si="7"/>
        <v>75</v>
      </c>
      <c r="K74" s="4">
        <v>2.5</v>
      </c>
      <c r="L74" s="5" t="s">
        <v>0</v>
      </c>
      <c r="M74" s="80">
        <f t="shared" si="3"/>
        <v>0.25</v>
      </c>
      <c r="N74" s="78">
        <f t="shared" si="4"/>
        <v>18.75</v>
      </c>
      <c r="O74" s="111">
        <f t="shared" si="5"/>
        <v>44.551000000000002</v>
      </c>
      <c r="P74" s="4">
        <v>15</v>
      </c>
      <c r="Q74" s="4">
        <v>20</v>
      </c>
      <c r="R74" s="4">
        <v>25</v>
      </c>
      <c r="S74" s="49">
        <v>124389</v>
      </c>
    </row>
    <row r="75" spans="1:19" x14ac:dyDescent="0.25">
      <c r="A75" s="37"/>
      <c r="B75" s="24" t="s">
        <v>3</v>
      </c>
      <c r="C75" s="5">
        <f>C72</f>
        <v>10</v>
      </c>
      <c r="D75" s="7">
        <v>0</v>
      </c>
      <c r="E75" s="3">
        <f t="shared" si="0"/>
        <v>10</v>
      </c>
      <c r="F75" s="85" t="s">
        <v>867</v>
      </c>
      <c r="G75" s="77">
        <v>138.57</v>
      </c>
      <c r="H75" s="5" t="s">
        <v>0</v>
      </c>
      <c r="I75" s="78">
        <f t="shared" si="1"/>
        <v>13.856999999999999</v>
      </c>
      <c r="J75" s="110">
        <f t="shared" si="7"/>
        <v>75</v>
      </c>
      <c r="K75" s="4">
        <v>3</v>
      </c>
      <c r="L75" s="5" t="s">
        <v>0</v>
      </c>
      <c r="M75" s="80">
        <f t="shared" si="3"/>
        <v>0.3</v>
      </c>
      <c r="N75" s="78">
        <f t="shared" si="4"/>
        <v>22.5</v>
      </c>
      <c r="O75" s="111">
        <f t="shared" si="5"/>
        <v>36.356999999999999</v>
      </c>
      <c r="P75" s="4">
        <v>6</v>
      </c>
      <c r="Q75" s="4">
        <v>8</v>
      </c>
      <c r="R75" s="4">
        <v>10</v>
      </c>
      <c r="S75" s="49">
        <v>124746</v>
      </c>
    </row>
    <row r="76" spans="1:19" x14ac:dyDescent="0.25">
      <c r="A76" s="37"/>
      <c r="B76" s="24" t="s">
        <v>1160</v>
      </c>
      <c r="C76" s="5">
        <f>C72*2</f>
        <v>20</v>
      </c>
      <c r="D76" s="7">
        <v>0</v>
      </c>
      <c r="E76" s="3">
        <f t="shared" si="0"/>
        <v>20</v>
      </c>
      <c r="F76" s="85" t="s">
        <v>867</v>
      </c>
      <c r="G76" s="77">
        <v>10.75</v>
      </c>
      <c r="H76" s="5" t="s">
        <v>0</v>
      </c>
      <c r="I76" s="78">
        <f t="shared" si="1"/>
        <v>2.15</v>
      </c>
      <c r="J76" s="110">
        <f t="shared" si="7"/>
        <v>75</v>
      </c>
      <c r="K76" s="4">
        <v>2.8</v>
      </c>
      <c r="L76" s="5" t="s">
        <v>0</v>
      </c>
      <c r="M76" s="80">
        <f t="shared" si="3"/>
        <v>0.55999999999999994</v>
      </c>
      <c r="N76" s="78">
        <f t="shared" si="4"/>
        <v>41.999999999999993</v>
      </c>
      <c r="O76" s="111">
        <f t="shared" si="5"/>
        <v>44.149999999999991</v>
      </c>
      <c r="P76" s="4">
        <v>3.1</v>
      </c>
      <c r="Q76" s="4">
        <v>3.88</v>
      </c>
      <c r="R76" s="4">
        <v>4.84</v>
      </c>
      <c r="S76" s="49">
        <v>140190</v>
      </c>
    </row>
    <row r="77" spans="1:19" x14ac:dyDescent="0.25">
      <c r="A77" s="37"/>
      <c r="B77" s="24" t="s">
        <v>8</v>
      </c>
      <c r="C77" s="5">
        <f>C72</f>
        <v>10</v>
      </c>
      <c r="D77" s="7">
        <v>0</v>
      </c>
      <c r="E77" s="3">
        <f t="shared" si="0"/>
        <v>10</v>
      </c>
      <c r="F77" s="85" t="s">
        <v>867</v>
      </c>
      <c r="G77" s="77">
        <v>53.54</v>
      </c>
      <c r="H77" s="5" t="s">
        <v>0</v>
      </c>
      <c r="I77" s="78">
        <f t="shared" si="1"/>
        <v>5.3540000000000001</v>
      </c>
      <c r="J77" s="110">
        <f t="shared" si="7"/>
        <v>75</v>
      </c>
      <c r="K77" s="4">
        <v>3</v>
      </c>
      <c r="L77" s="5" t="s">
        <v>0</v>
      </c>
      <c r="M77" s="80">
        <f t="shared" si="3"/>
        <v>0.3</v>
      </c>
      <c r="N77" s="78">
        <f t="shared" si="4"/>
        <v>22.5</v>
      </c>
      <c r="O77" s="111">
        <f t="shared" si="5"/>
        <v>27.853999999999999</v>
      </c>
      <c r="P77" s="4">
        <v>10</v>
      </c>
      <c r="Q77" s="4">
        <v>12.5</v>
      </c>
      <c r="R77" s="4">
        <v>15</v>
      </c>
      <c r="S77" s="49">
        <v>138456</v>
      </c>
    </row>
    <row r="78" spans="1:19" ht="15.75" thickBot="1" x14ac:dyDescent="0.3">
      <c r="A78" s="37"/>
      <c r="B78" s="211"/>
      <c r="C78" s="5"/>
      <c r="D78" s="7"/>
      <c r="E78" s="3"/>
      <c r="F78" s="3"/>
      <c r="G78" s="77" t="s">
        <v>1202</v>
      </c>
      <c r="H78" s="5"/>
      <c r="I78" s="78"/>
      <c r="J78" s="4"/>
      <c r="K78" s="4"/>
      <c r="L78" s="5"/>
      <c r="M78" s="80"/>
      <c r="N78" s="78"/>
      <c r="O78" s="111"/>
      <c r="P78" s="4"/>
      <c r="Q78" s="4"/>
      <c r="R78" s="4"/>
      <c r="S78" s="49"/>
    </row>
    <row r="79" spans="1:19" ht="15.75" thickBot="1" x14ac:dyDescent="0.3">
      <c r="A79" s="238"/>
      <c r="B79" s="215" t="s">
        <v>2628</v>
      </c>
      <c r="C79" s="197"/>
      <c r="D79" s="7"/>
      <c r="E79" s="3"/>
      <c r="F79" s="3"/>
      <c r="G79" s="77" t="s">
        <v>1202</v>
      </c>
      <c r="H79" s="5"/>
      <c r="I79" s="78"/>
      <c r="J79" s="4"/>
      <c r="K79" s="4"/>
      <c r="L79" s="5"/>
      <c r="M79" s="80"/>
      <c r="N79" s="78"/>
      <c r="O79" s="111"/>
      <c r="P79" s="4"/>
      <c r="Q79" s="4"/>
      <c r="R79" s="4"/>
      <c r="S79" s="49"/>
    </row>
    <row r="80" spans="1:19" ht="15.75" customHeight="1" thickBot="1" x14ac:dyDescent="0.3">
      <c r="A80" s="205">
        <v>11</v>
      </c>
      <c r="B80" s="233" t="s">
        <v>1203</v>
      </c>
      <c r="C80" s="197">
        <v>10</v>
      </c>
      <c r="D80" s="7">
        <v>0</v>
      </c>
      <c r="E80" s="3">
        <f t="shared" ref="E80:E84" si="36">C80+(C80*D80)</f>
        <v>10</v>
      </c>
      <c r="F80" s="149" t="s">
        <v>867</v>
      </c>
      <c r="G80" s="77">
        <v>1618.96</v>
      </c>
      <c r="H80" s="5" t="s">
        <v>0</v>
      </c>
      <c r="I80" s="78">
        <f t="shared" ref="I80:I84" si="37">IF(H80="C",(G80/100)*E80,IF(H80="M",(G80/1000)*E80,G80*E80))</f>
        <v>161.89599999999999</v>
      </c>
      <c r="J80" s="110">
        <f t="shared" ref="J80:J90" si="38">$O$4</f>
        <v>75</v>
      </c>
      <c r="K80" s="4">
        <v>20</v>
      </c>
      <c r="L80" s="5" t="s">
        <v>0</v>
      </c>
      <c r="M80" s="80">
        <f t="shared" ref="M80:M84" si="39">IF(L80="C",(K80/100)*E80,IF(L80="M",(K80/1000)*E80,K80*E80))</f>
        <v>2</v>
      </c>
      <c r="N80" s="78">
        <f t="shared" ref="N80:N84" si="40">M80*J80</f>
        <v>150</v>
      </c>
      <c r="O80" s="111">
        <f t="shared" ref="O80:O84" si="41">N80+I80</f>
        <v>311.89599999999996</v>
      </c>
      <c r="P80" s="4">
        <v>25</v>
      </c>
      <c r="Q80" s="4">
        <v>30</v>
      </c>
      <c r="R80" s="4">
        <v>35</v>
      </c>
      <c r="S80" s="49"/>
    </row>
    <row r="81" spans="1:19" x14ac:dyDescent="0.25">
      <c r="A81" s="148"/>
      <c r="B81" s="213" t="s">
        <v>860</v>
      </c>
      <c r="C81" s="5">
        <f>C80</f>
        <v>10</v>
      </c>
      <c r="D81" s="7">
        <v>0</v>
      </c>
      <c r="E81" s="3">
        <f t="shared" si="36"/>
        <v>10</v>
      </c>
      <c r="F81" s="149" t="s">
        <v>867</v>
      </c>
      <c r="G81" s="77">
        <v>404.23</v>
      </c>
      <c r="H81" s="5" t="s">
        <v>0</v>
      </c>
      <c r="I81" s="78">
        <f t="shared" si="37"/>
        <v>40.423000000000002</v>
      </c>
      <c r="J81" s="110">
        <f t="shared" si="38"/>
        <v>75</v>
      </c>
      <c r="K81" s="4">
        <v>23</v>
      </c>
      <c r="L81" s="5" t="s">
        <v>0</v>
      </c>
      <c r="M81" s="80">
        <f t="shared" si="39"/>
        <v>2.3000000000000003</v>
      </c>
      <c r="N81" s="78">
        <f t="shared" si="40"/>
        <v>172.50000000000003</v>
      </c>
      <c r="O81" s="111">
        <f t="shared" si="41"/>
        <v>212.92300000000003</v>
      </c>
      <c r="P81" s="4">
        <v>30</v>
      </c>
      <c r="Q81" s="4">
        <v>35</v>
      </c>
      <c r="R81" s="4">
        <v>40</v>
      </c>
      <c r="S81" s="49">
        <v>124314</v>
      </c>
    </row>
    <row r="82" spans="1:19" x14ac:dyDescent="0.25">
      <c r="A82" s="148"/>
      <c r="B82" s="24" t="s">
        <v>3</v>
      </c>
      <c r="C82" s="5">
        <f>C80</f>
        <v>10</v>
      </c>
      <c r="D82" s="7">
        <v>0</v>
      </c>
      <c r="E82" s="3">
        <f t="shared" si="36"/>
        <v>10</v>
      </c>
      <c r="F82" s="149" t="s">
        <v>867</v>
      </c>
      <c r="G82" s="77">
        <v>138.57</v>
      </c>
      <c r="H82" s="5" t="s">
        <v>0</v>
      </c>
      <c r="I82" s="78">
        <f t="shared" si="37"/>
        <v>13.856999999999999</v>
      </c>
      <c r="J82" s="110">
        <f t="shared" si="38"/>
        <v>75</v>
      </c>
      <c r="K82" s="4">
        <v>3</v>
      </c>
      <c r="L82" s="5" t="s">
        <v>0</v>
      </c>
      <c r="M82" s="80">
        <f t="shared" si="39"/>
        <v>0.3</v>
      </c>
      <c r="N82" s="78">
        <f t="shared" si="40"/>
        <v>22.5</v>
      </c>
      <c r="O82" s="111">
        <f t="shared" si="41"/>
        <v>36.356999999999999</v>
      </c>
      <c r="P82" s="4">
        <v>6</v>
      </c>
      <c r="Q82" s="4">
        <v>8</v>
      </c>
      <c r="R82" s="4">
        <v>10</v>
      </c>
      <c r="S82" s="49">
        <v>124746</v>
      </c>
    </row>
    <row r="83" spans="1:19" x14ac:dyDescent="0.25">
      <c r="A83" s="148"/>
      <c r="B83" s="24" t="s">
        <v>1160</v>
      </c>
      <c r="C83" s="5">
        <f>C80*2</f>
        <v>20</v>
      </c>
      <c r="D83" s="7">
        <v>0</v>
      </c>
      <c r="E83" s="3">
        <f t="shared" si="36"/>
        <v>20</v>
      </c>
      <c r="F83" s="149" t="s">
        <v>867</v>
      </c>
      <c r="G83" s="77">
        <v>10.75</v>
      </c>
      <c r="H83" s="5" t="s">
        <v>0</v>
      </c>
      <c r="I83" s="78">
        <f t="shared" si="37"/>
        <v>2.15</v>
      </c>
      <c r="J83" s="110">
        <f t="shared" si="38"/>
        <v>75</v>
      </c>
      <c r="K83" s="4">
        <v>2.8</v>
      </c>
      <c r="L83" s="5" t="s">
        <v>0</v>
      </c>
      <c r="M83" s="80">
        <f t="shared" si="39"/>
        <v>0.55999999999999994</v>
      </c>
      <c r="N83" s="78">
        <f t="shared" si="40"/>
        <v>41.999999999999993</v>
      </c>
      <c r="O83" s="111">
        <f t="shared" si="41"/>
        <v>44.149999999999991</v>
      </c>
      <c r="P83" s="4">
        <v>3.1</v>
      </c>
      <c r="Q83" s="4">
        <v>3.88</v>
      </c>
      <c r="R83" s="4">
        <v>4.84</v>
      </c>
      <c r="S83" s="49">
        <v>140190</v>
      </c>
    </row>
    <row r="84" spans="1:19" x14ac:dyDescent="0.25">
      <c r="A84" s="148"/>
      <c r="B84" s="24" t="s">
        <v>1204</v>
      </c>
      <c r="C84" s="5">
        <f>C80</f>
        <v>10</v>
      </c>
      <c r="D84" s="7">
        <v>0</v>
      </c>
      <c r="E84" s="3">
        <f t="shared" si="36"/>
        <v>10</v>
      </c>
      <c r="F84" s="149" t="s">
        <v>867</v>
      </c>
      <c r="G84" s="77">
        <v>148.5</v>
      </c>
      <c r="H84" s="5" t="s">
        <v>0</v>
      </c>
      <c r="I84" s="78">
        <f t="shared" si="37"/>
        <v>14.850000000000001</v>
      </c>
      <c r="J84" s="110">
        <f t="shared" si="38"/>
        <v>75</v>
      </c>
      <c r="K84" s="4">
        <v>2.7</v>
      </c>
      <c r="L84" s="5" t="s">
        <v>0</v>
      </c>
      <c r="M84" s="80">
        <f t="shared" si="39"/>
        <v>0.27</v>
      </c>
      <c r="N84" s="78">
        <f t="shared" si="40"/>
        <v>20.25</v>
      </c>
      <c r="O84" s="111">
        <f t="shared" si="41"/>
        <v>35.1</v>
      </c>
      <c r="P84" s="4">
        <v>10</v>
      </c>
      <c r="Q84" s="4">
        <v>12.5</v>
      </c>
      <c r="R84" s="4">
        <v>15</v>
      </c>
      <c r="S84" s="49"/>
    </row>
    <row r="85" spans="1:19" ht="15.75" thickBot="1" x14ac:dyDescent="0.3">
      <c r="A85" s="148"/>
      <c r="B85" s="211"/>
      <c r="C85" s="5"/>
      <c r="D85" s="7"/>
      <c r="E85" s="3"/>
      <c r="F85" s="149"/>
      <c r="G85" s="77" t="s">
        <v>1202</v>
      </c>
      <c r="H85" s="5"/>
      <c r="I85" s="78"/>
      <c r="J85" s="110"/>
      <c r="K85" s="4"/>
      <c r="L85" s="5"/>
      <c r="M85" s="80"/>
      <c r="N85" s="78"/>
      <c r="O85" s="111"/>
      <c r="P85" s="4"/>
      <c r="Q85" s="4"/>
      <c r="R85" s="4"/>
      <c r="S85" s="49"/>
    </row>
    <row r="86" spans="1:19" ht="16.5" thickBot="1" x14ac:dyDescent="0.3">
      <c r="A86" s="205">
        <v>12</v>
      </c>
      <c r="B86" s="233" t="s">
        <v>1252</v>
      </c>
      <c r="C86" s="197">
        <v>10</v>
      </c>
      <c r="D86" s="7">
        <v>0</v>
      </c>
      <c r="E86" s="3">
        <f t="shared" ref="E86:E90" si="42">C86+(C86*D86)</f>
        <v>10</v>
      </c>
      <c r="F86" s="149" t="s">
        <v>867</v>
      </c>
      <c r="G86" s="77">
        <v>2015.45</v>
      </c>
      <c r="H86" s="5" t="s">
        <v>0</v>
      </c>
      <c r="I86" s="78">
        <f t="shared" ref="I86:I90" si="43">IF(H86="C",(G86/100)*E86,IF(H86="M",(G86/1000)*E86,G86*E86))</f>
        <v>201.54499999999999</v>
      </c>
      <c r="J86" s="110">
        <f t="shared" si="38"/>
        <v>75</v>
      </c>
      <c r="K86" s="4">
        <v>25</v>
      </c>
      <c r="L86" s="5" t="s">
        <v>0</v>
      </c>
      <c r="M86" s="80">
        <f t="shared" ref="M86:M90" si="44">IF(L86="C",(K86/100)*E86,IF(L86="M",(K86/1000)*E86,K86*E86))</f>
        <v>2.5</v>
      </c>
      <c r="N86" s="78">
        <f t="shared" ref="N86:N90" si="45">M86*J86</f>
        <v>187.5</v>
      </c>
      <c r="O86" s="111">
        <f t="shared" ref="O86:O90" si="46">N86+I86</f>
        <v>389.04499999999996</v>
      </c>
      <c r="P86" s="182">
        <v>35</v>
      </c>
      <c r="Q86" s="182">
        <v>40</v>
      </c>
      <c r="R86" s="182">
        <v>45</v>
      </c>
      <c r="S86" s="49"/>
    </row>
    <row r="87" spans="1:19" x14ac:dyDescent="0.25">
      <c r="A87" s="148"/>
      <c r="B87" s="213" t="s">
        <v>860</v>
      </c>
      <c r="C87" s="5">
        <f>C86</f>
        <v>10</v>
      </c>
      <c r="D87" s="7">
        <v>0</v>
      </c>
      <c r="E87" s="3">
        <f t="shared" si="42"/>
        <v>10</v>
      </c>
      <c r="F87" s="149" t="s">
        <v>867</v>
      </c>
      <c r="G87" s="77">
        <v>404.23</v>
      </c>
      <c r="H87" s="5" t="s">
        <v>0</v>
      </c>
      <c r="I87" s="78">
        <f t="shared" si="43"/>
        <v>40.423000000000002</v>
      </c>
      <c r="J87" s="110">
        <f t="shared" si="38"/>
        <v>75</v>
      </c>
      <c r="K87" s="4">
        <v>23</v>
      </c>
      <c r="L87" s="5" t="s">
        <v>0</v>
      </c>
      <c r="M87" s="80">
        <f t="shared" si="44"/>
        <v>2.3000000000000003</v>
      </c>
      <c r="N87" s="78">
        <f t="shared" si="45"/>
        <v>172.50000000000003</v>
      </c>
      <c r="O87" s="111">
        <f t="shared" si="46"/>
        <v>212.92300000000003</v>
      </c>
      <c r="P87" s="4">
        <v>30</v>
      </c>
      <c r="Q87" s="4">
        <v>35</v>
      </c>
      <c r="R87" s="4">
        <v>40</v>
      </c>
      <c r="S87" s="49">
        <v>124314</v>
      </c>
    </row>
    <row r="88" spans="1:19" x14ac:dyDescent="0.25">
      <c r="A88" s="148"/>
      <c r="B88" s="24" t="s">
        <v>3</v>
      </c>
      <c r="C88" s="5">
        <f>C86</f>
        <v>10</v>
      </c>
      <c r="D88" s="7">
        <v>0</v>
      </c>
      <c r="E88" s="3">
        <f t="shared" si="42"/>
        <v>10</v>
      </c>
      <c r="F88" s="149" t="s">
        <v>867</v>
      </c>
      <c r="G88" s="77">
        <v>138.57</v>
      </c>
      <c r="H88" s="5" t="s">
        <v>0</v>
      </c>
      <c r="I88" s="78">
        <f t="shared" si="43"/>
        <v>13.856999999999999</v>
      </c>
      <c r="J88" s="110">
        <f t="shared" si="38"/>
        <v>75</v>
      </c>
      <c r="K88" s="4">
        <v>3</v>
      </c>
      <c r="L88" s="5" t="s">
        <v>0</v>
      </c>
      <c r="M88" s="80">
        <f t="shared" si="44"/>
        <v>0.3</v>
      </c>
      <c r="N88" s="78">
        <f t="shared" si="45"/>
        <v>22.5</v>
      </c>
      <c r="O88" s="111">
        <f t="shared" si="46"/>
        <v>36.356999999999999</v>
      </c>
      <c r="P88" s="4">
        <v>6</v>
      </c>
      <c r="Q88" s="4">
        <v>8</v>
      </c>
      <c r="R88" s="4">
        <v>10</v>
      </c>
      <c r="S88" s="49">
        <v>124389</v>
      </c>
    </row>
    <row r="89" spans="1:19" x14ac:dyDescent="0.25">
      <c r="A89" s="148"/>
      <c r="B89" s="24" t="s">
        <v>1160</v>
      </c>
      <c r="C89" s="5">
        <f>C86*2</f>
        <v>20</v>
      </c>
      <c r="D89" s="7">
        <v>0</v>
      </c>
      <c r="E89" s="3">
        <f t="shared" si="42"/>
        <v>20</v>
      </c>
      <c r="F89" s="149" t="s">
        <v>867</v>
      </c>
      <c r="G89" s="77">
        <v>10.75</v>
      </c>
      <c r="H89" s="5" t="s">
        <v>0</v>
      </c>
      <c r="I89" s="78">
        <f t="shared" si="43"/>
        <v>2.15</v>
      </c>
      <c r="J89" s="110">
        <f t="shared" si="38"/>
        <v>75</v>
      </c>
      <c r="K89" s="4">
        <v>2.8</v>
      </c>
      <c r="L89" s="5" t="s">
        <v>0</v>
      </c>
      <c r="M89" s="80">
        <f t="shared" si="44"/>
        <v>0.55999999999999994</v>
      </c>
      <c r="N89" s="78">
        <f t="shared" si="45"/>
        <v>41.999999999999993</v>
      </c>
      <c r="O89" s="111">
        <f t="shared" si="46"/>
        <v>44.149999999999991</v>
      </c>
      <c r="P89" s="4">
        <v>3.1</v>
      </c>
      <c r="Q89" s="4">
        <v>3.88</v>
      </c>
      <c r="R89" s="4">
        <v>4.84</v>
      </c>
      <c r="S89" s="49">
        <v>124746</v>
      </c>
    </row>
    <row r="90" spans="1:19" x14ac:dyDescent="0.25">
      <c r="A90" s="148"/>
      <c r="B90" s="24" t="s">
        <v>1204</v>
      </c>
      <c r="C90" s="5">
        <f>C86</f>
        <v>10</v>
      </c>
      <c r="D90" s="7">
        <v>0</v>
      </c>
      <c r="E90" s="3">
        <f t="shared" si="42"/>
        <v>10</v>
      </c>
      <c r="F90" s="149" t="s">
        <v>867</v>
      </c>
      <c r="G90" s="77">
        <v>148.5</v>
      </c>
      <c r="H90" s="5" t="s">
        <v>0</v>
      </c>
      <c r="I90" s="78">
        <f t="shared" si="43"/>
        <v>14.850000000000001</v>
      </c>
      <c r="J90" s="110">
        <f t="shared" si="38"/>
        <v>75</v>
      </c>
      <c r="K90" s="4">
        <v>2.7</v>
      </c>
      <c r="L90" s="5" t="s">
        <v>0</v>
      </c>
      <c r="M90" s="80">
        <f t="shared" si="44"/>
        <v>0.27</v>
      </c>
      <c r="N90" s="78">
        <f t="shared" si="45"/>
        <v>20.25</v>
      </c>
      <c r="O90" s="111">
        <f t="shared" si="46"/>
        <v>35.1</v>
      </c>
      <c r="P90" s="4">
        <v>10</v>
      </c>
      <c r="Q90" s="4">
        <v>12.5</v>
      </c>
      <c r="R90" s="4">
        <v>15</v>
      </c>
      <c r="S90" s="49">
        <v>140190</v>
      </c>
    </row>
    <row r="91" spans="1:19" ht="15.75" thickBot="1" x14ac:dyDescent="0.3">
      <c r="A91" s="148"/>
      <c r="B91" s="211"/>
      <c r="C91" s="5"/>
      <c r="D91" s="7"/>
      <c r="E91" s="3"/>
      <c r="F91" s="149"/>
      <c r="G91" s="77" t="s">
        <v>1202</v>
      </c>
      <c r="H91" s="5"/>
      <c r="I91" s="78"/>
      <c r="J91" s="110"/>
      <c r="K91" s="4"/>
      <c r="L91" s="5"/>
      <c r="M91" s="80"/>
      <c r="N91" s="78"/>
      <c r="O91" s="111"/>
      <c r="P91" s="4"/>
      <c r="Q91" s="4"/>
      <c r="R91" s="4"/>
      <c r="S91" s="49"/>
    </row>
    <row r="92" spans="1:19" ht="16.5" thickBot="1" x14ac:dyDescent="0.3">
      <c r="A92" s="238">
        <v>13</v>
      </c>
      <c r="B92" s="233" t="s">
        <v>2624</v>
      </c>
      <c r="C92" s="197">
        <v>10</v>
      </c>
      <c r="D92" s="7">
        <v>0</v>
      </c>
      <c r="E92" s="3">
        <f t="shared" ref="E92:E96" si="47">C92+(C92*D92)</f>
        <v>10</v>
      </c>
      <c r="F92" s="234" t="s">
        <v>867</v>
      </c>
      <c r="G92" s="77">
        <v>1850.45</v>
      </c>
      <c r="H92" s="5" t="s">
        <v>0</v>
      </c>
      <c r="I92" s="78">
        <f t="shared" ref="I92:I96" si="48">IF(H92="C",(G92/100)*E92,IF(H92="M",(G92/1000)*E92,G92*E92))</f>
        <v>185.04500000000002</v>
      </c>
      <c r="J92" s="110">
        <f t="shared" ref="J92:J96" si="49">$O$4</f>
        <v>75</v>
      </c>
      <c r="K92" s="4">
        <v>25</v>
      </c>
      <c r="L92" s="5" t="s">
        <v>0</v>
      </c>
      <c r="M92" s="80">
        <f t="shared" ref="M92:M96" si="50">IF(L92="C",(K92/100)*E92,IF(L92="M",(K92/1000)*E92,K92*E92))</f>
        <v>2.5</v>
      </c>
      <c r="N92" s="78">
        <f t="shared" ref="N92:N96" si="51">M92*J92</f>
        <v>187.5</v>
      </c>
      <c r="O92" s="111">
        <f t="shared" ref="O92:O96" si="52">N92+I92</f>
        <v>372.54500000000002</v>
      </c>
      <c r="P92" s="4">
        <v>35</v>
      </c>
      <c r="Q92" s="4">
        <v>40</v>
      </c>
      <c r="R92" s="4">
        <v>45</v>
      </c>
      <c r="S92" s="49"/>
    </row>
    <row r="93" spans="1:19" x14ac:dyDescent="0.25">
      <c r="A93" s="243"/>
      <c r="B93" s="213" t="s">
        <v>860</v>
      </c>
      <c r="C93" s="5">
        <f>C92</f>
        <v>10</v>
      </c>
      <c r="D93" s="7">
        <v>0</v>
      </c>
      <c r="E93" s="3">
        <f t="shared" si="47"/>
        <v>10</v>
      </c>
      <c r="F93" s="234" t="s">
        <v>867</v>
      </c>
      <c r="G93" s="77">
        <v>404.23</v>
      </c>
      <c r="H93" s="5" t="s">
        <v>0</v>
      </c>
      <c r="I93" s="78">
        <f t="shared" si="48"/>
        <v>40.423000000000002</v>
      </c>
      <c r="J93" s="110">
        <f t="shared" si="49"/>
        <v>75</v>
      </c>
      <c r="K93" s="4">
        <v>23</v>
      </c>
      <c r="L93" s="5" t="s">
        <v>0</v>
      </c>
      <c r="M93" s="80">
        <f t="shared" si="50"/>
        <v>2.3000000000000003</v>
      </c>
      <c r="N93" s="78">
        <f t="shared" si="51"/>
        <v>172.50000000000003</v>
      </c>
      <c r="O93" s="111">
        <f t="shared" si="52"/>
        <v>212.92300000000003</v>
      </c>
      <c r="P93" s="4">
        <v>30</v>
      </c>
      <c r="Q93" s="4">
        <v>35</v>
      </c>
      <c r="R93" s="4">
        <v>40</v>
      </c>
      <c r="S93" s="49">
        <v>124314</v>
      </c>
    </row>
    <row r="94" spans="1:19" x14ac:dyDescent="0.25">
      <c r="A94" s="243"/>
      <c r="B94" s="24" t="s">
        <v>3</v>
      </c>
      <c r="C94" s="5">
        <f>C92</f>
        <v>10</v>
      </c>
      <c r="D94" s="7">
        <v>0</v>
      </c>
      <c r="E94" s="3">
        <f t="shared" si="47"/>
        <v>10</v>
      </c>
      <c r="F94" s="234" t="s">
        <v>867</v>
      </c>
      <c r="G94" s="77">
        <v>138.57</v>
      </c>
      <c r="H94" s="5" t="s">
        <v>0</v>
      </c>
      <c r="I94" s="78">
        <f t="shared" si="48"/>
        <v>13.856999999999999</v>
      </c>
      <c r="J94" s="110">
        <f t="shared" si="49"/>
        <v>75</v>
      </c>
      <c r="K94" s="4">
        <v>3</v>
      </c>
      <c r="L94" s="5" t="s">
        <v>0</v>
      </c>
      <c r="M94" s="80">
        <f t="shared" si="50"/>
        <v>0.3</v>
      </c>
      <c r="N94" s="78">
        <f t="shared" si="51"/>
        <v>22.5</v>
      </c>
      <c r="O94" s="111">
        <f t="shared" si="52"/>
        <v>36.356999999999999</v>
      </c>
      <c r="P94" s="4">
        <v>6</v>
      </c>
      <c r="Q94" s="4">
        <v>8</v>
      </c>
      <c r="R94" s="4">
        <v>10</v>
      </c>
      <c r="S94" s="49">
        <v>124746</v>
      </c>
    </row>
    <row r="95" spans="1:19" x14ac:dyDescent="0.25">
      <c r="A95" s="243"/>
      <c r="B95" s="24" t="s">
        <v>1160</v>
      </c>
      <c r="C95" s="5">
        <f>C92*2</f>
        <v>20</v>
      </c>
      <c r="D95" s="7">
        <v>0</v>
      </c>
      <c r="E95" s="3">
        <f t="shared" si="47"/>
        <v>20</v>
      </c>
      <c r="F95" s="234" t="s">
        <v>867</v>
      </c>
      <c r="G95" s="77">
        <v>10.75</v>
      </c>
      <c r="H95" s="5" t="s">
        <v>0</v>
      </c>
      <c r="I95" s="78">
        <f t="shared" si="48"/>
        <v>2.15</v>
      </c>
      <c r="J95" s="110">
        <f t="shared" si="49"/>
        <v>75</v>
      </c>
      <c r="K95" s="4">
        <v>2.8</v>
      </c>
      <c r="L95" s="5" t="s">
        <v>0</v>
      </c>
      <c r="M95" s="80">
        <f t="shared" si="50"/>
        <v>0.55999999999999994</v>
      </c>
      <c r="N95" s="78">
        <f t="shared" si="51"/>
        <v>41.999999999999993</v>
      </c>
      <c r="O95" s="111">
        <f t="shared" si="52"/>
        <v>44.149999999999991</v>
      </c>
      <c r="P95" s="4">
        <v>3.1</v>
      </c>
      <c r="Q95" s="4">
        <v>3.88</v>
      </c>
      <c r="R95" s="4">
        <v>4.84</v>
      </c>
      <c r="S95" s="49">
        <v>140190</v>
      </c>
    </row>
    <row r="96" spans="1:19" x14ac:dyDescent="0.25">
      <c r="A96" s="243"/>
      <c r="B96" s="24" t="s">
        <v>1204</v>
      </c>
      <c r="C96" s="5">
        <f>C92</f>
        <v>10</v>
      </c>
      <c r="D96" s="7">
        <v>0</v>
      </c>
      <c r="E96" s="3">
        <f t="shared" si="47"/>
        <v>10</v>
      </c>
      <c r="F96" s="234" t="s">
        <v>867</v>
      </c>
      <c r="G96" s="77">
        <v>148.5</v>
      </c>
      <c r="H96" s="5" t="s">
        <v>0</v>
      </c>
      <c r="I96" s="78">
        <f t="shared" si="48"/>
        <v>14.850000000000001</v>
      </c>
      <c r="J96" s="110">
        <f t="shared" si="49"/>
        <v>75</v>
      </c>
      <c r="K96" s="4">
        <v>2.7</v>
      </c>
      <c r="L96" s="5" t="s">
        <v>0</v>
      </c>
      <c r="M96" s="80">
        <f t="shared" si="50"/>
        <v>0.27</v>
      </c>
      <c r="N96" s="78">
        <f t="shared" si="51"/>
        <v>20.25</v>
      </c>
      <c r="O96" s="111">
        <f t="shared" si="52"/>
        <v>35.1</v>
      </c>
      <c r="P96" s="4">
        <v>10</v>
      </c>
      <c r="Q96" s="4">
        <v>12.5</v>
      </c>
      <c r="R96" s="4">
        <v>15</v>
      </c>
      <c r="S96" s="49"/>
    </row>
    <row r="97" spans="1:19" ht="15.75" thickBot="1" x14ac:dyDescent="0.3">
      <c r="A97" s="243"/>
      <c r="B97" s="24"/>
      <c r="C97" s="5"/>
      <c r="D97" s="7"/>
      <c r="E97" s="3"/>
      <c r="F97" s="234"/>
      <c r="G97" s="77" t="s">
        <v>1202</v>
      </c>
      <c r="H97" s="5"/>
      <c r="I97" s="78"/>
      <c r="J97" s="110"/>
      <c r="K97" s="4"/>
      <c r="L97" s="5"/>
      <c r="M97" s="80"/>
      <c r="N97" s="78"/>
      <c r="O97" s="111"/>
      <c r="P97" s="4"/>
      <c r="Q97" s="4"/>
      <c r="R97" s="4"/>
      <c r="S97" s="49"/>
    </row>
    <row r="98" spans="1:19" s="168" customFormat="1" ht="16.5" thickBot="1" x14ac:dyDescent="0.3">
      <c r="A98" s="175">
        <v>14</v>
      </c>
      <c r="B98" s="233" t="s">
        <v>1211</v>
      </c>
      <c r="C98" s="176">
        <v>10</v>
      </c>
      <c r="D98" s="157">
        <v>0</v>
      </c>
      <c r="E98" s="158">
        <f t="shared" ref="E98:E102" si="53">C98+(C98*D98)</f>
        <v>10</v>
      </c>
      <c r="F98" s="177" t="s">
        <v>867</v>
      </c>
      <c r="G98" s="77">
        <v>3419.62</v>
      </c>
      <c r="H98" s="5" t="s">
        <v>0</v>
      </c>
      <c r="I98" s="162">
        <f t="shared" ref="I98:I102" si="54">IF(H98="C",(G98/100)*E98,IF(H98="M",(G98/1000)*E98,G98*E98))</f>
        <v>341.96199999999999</v>
      </c>
      <c r="J98" s="163">
        <f t="shared" ref="J98:J114" si="55">$O$4</f>
        <v>75</v>
      </c>
      <c r="K98" s="164">
        <v>30</v>
      </c>
      <c r="L98" s="155" t="s">
        <v>0</v>
      </c>
      <c r="M98" s="165">
        <f t="shared" ref="M98:M102" si="56">IF(L98="C",(K98/100)*E98,IF(L98="M",(K98/1000)*E98,K98*E98))</f>
        <v>3</v>
      </c>
      <c r="N98" s="162">
        <f t="shared" ref="N98:N102" si="57">M98*J98</f>
        <v>225</v>
      </c>
      <c r="O98" s="166">
        <f t="shared" ref="O98:O102" si="58">N98+I98</f>
        <v>566.96199999999999</v>
      </c>
      <c r="P98" s="164">
        <v>35</v>
      </c>
      <c r="Q98" s="164">
        <v>40</v>
      </c>
      <c r="R98" s="164">
        <v>45</v>
      </c>
      <c r="S98" s="167">
        <v>137496</v>
      </c>
    </row>
    <row r="99" spans="1:19" s="168" customFormat="1" x14ac:dyDescent="0.25">
      <c r="A99" s="178"/>
      <c r="B99" s="213" t="s">
        <v>860</v>
      </c>
      <c r="C99" s="5">
        <f>C98</f>
        <v>10</v>
      </c>
      <c r="D99" s="7">
        <v>0</v>
      </c>
      <c r="E99" s="3">
        <f t="shared" si="53"/>
        <v>10</v>
      </c>
      <c r="F99" s="149" t="s">
        <v>867</v>
      </c>
      <c r="G99" s="77">
        <v>404.23</v>
      </c>
      <c r="H99" s="5" t="s">
        <v>0</v>
      </c>
      <c r="I99" s="78">
        <f t="shared" si="54"/>
        <v>40.423000000000002</v>
      </c>
      <c r="J99" s="110">
        <f t="shared" si="55"/>
        <v>75</v>
      </c>
      <c r="K99" s="4">
        <v>23</v>
      </c>
      <c r="L99" s="5" t="s">
        <v>0</v>
      </c>
      <c r="M99" s="80">
        <f t="shared" si="56"/>
        <v>2.3000000000000003</v>
      </c>
      <c r="N99" s="78">
        <f t="shared" si="57"/>
        <v>172.50000000000003</v>
      </c>
      <c r="O99" s="111">
        <f t="shared" si="58"/>
        <v>212.92300000000003</v>
      </c>
      <c r="P99" s="4">
        <v>30</v>
      </c>
      <c r="Q99" s="4">
        <v>35</v>
      </c>
      <c r="R99" s="4">
        <v>40</v>
      </c>
      <c r="S99" s="167">
        <v>124314</v>
      </c>
    </row>
    <row r="100" spans="1:19" s="168" customFormat="1" x14ac:dyDescent="0.25">
      <c r="A100" s="178"/>
      <c r="B100" s="24" t="s">
        <v>3</v>
      </c>
      <c r="C100" s="5">
        <f>C98</f>
        <v>10</v>
      </c>
      <c r="D100" s="7">
        <v>0</v>
      </c>
      <c r="E100" s="3">
        <f t="shared" si="53"/>
        <v>10</v>
      </c>
      <c r="F100" s="149" t="s">
        <v>867</v>
      </c>
      <c r="G100" s="77">
        <v>138.57</v>
      </c>
      <c r="H100" s="5" t="s">
        <v>0</v>
      </c>
      <c r="I100" s="78">
        <f t="shared" si="54"/>
        <v>13.856999999999999</v>
      </c>
      <c r="J100" s="110">
        <f t="shared" si="55"/>
        <v>75</v>
      </c>
      <c r="K100" s="4">
        <v>3</v>
      </c>
      <c r="L100" s="5" t="s">
        <v>0</v>
      </c>
      <c r="M100" s="80">
        <f t="shared" si="56"/>
        <v>0.3</v>
      </c>
      <c r="N100" s="78">
        <f t="shared" si="57"/>
        <v>22.5</v>
      </c>
      <c r="O100" s="111">
        <f t="shared" si="58"/>
        <v>36.356999999999999</v>
      </c>
      <c r="P100" s="4">
        <v>6</v>
      </c>
      <c r="Q100" s="4">
        <v>8</v>
      </c>
      <c r="R100" s="4">
        <v>10</v>
      </c>
      <c r="S100" s="167">
        <v>124389</v>
      </c>
    </row>
    <row r="101" spans="1:19" s="168" customFormat="1" x14ac:dyDescent="0.25">
      <c r="A101" s="178"/>
      <c r="B101" s="24" t="s">
        <v>1160</v>
      </c>
      <c r="C101" s="5">
        <f>C98*2</f>
        <v>20</v>
      </c>
      <c r="D101" s="7">
        <v>0</v>
      </c>
      <c r="E101" s="3">
        <f t="shared" si="53"/>
        <v>20</v>
      </c>
      <c r="F101" s="149" t="s">
        <v>867</v>
      </c>
      <c r="G101" s="77">
        <v>10.75</v>
      </c>
      <c r="H101" s="5" t="s">
        <v>0</v>
      </c>
      <c r="I101" s="78">
        <f t="shared" si="54"/>
        <v>2.15</v>
      </c>
      <c r="J101" s="110">
        <f t="shared" si="55"/>
        <v>75</v>
      </c>
      <c r="K101" s="4">
        <v>2.8</v>
      </c>
      <c r="L101" s="5" t="s">
        <v>0</v>
      </c>
      <c r="M101" s="80">
        <f t="shared" si="56"/>
        <v>0.55999999999999994</v>
      </c>
      <c r="N101" s="78">
        <f t="shared" si="57"/>
        <v>41.999999999999993</v>
      </c>
      <c r="O101" s="111">
        <f t="shared" si="58"/>
        <v>44.149999999999991</v>
      </c>
      <c r="P101" s="4">
        <v>3.1</v>
      </c>
      <c r="Q101" s="4">
        <v>3.88</v>
      </c>
      <c r="R101" s="4">
        <v>4.84</v>
      </c>
      <c r="S101" s="167">
        <v>124746</v>
      </c>
    </row>
    <row r="102" spans="1:19" s="168" customFormat="1" x14ac:dyDescent="0.25">
      <c r="A102" s="178"/>
      <c r="B102" s="24" t="s">
        <v>1204</v>
      </c>
      <c r="C102" s="5">
        <f>C98</f>
        <v>10</v>
      </c>
      <c r="D102" s="7">
        <v>0</v>
      </c>
      <c r="E102" s="3">
        <f t="shared" si="53"/>
        <v>10</v>
      </c>
      <c r="F102" s="149" t="s">
        <v>867</v>
      </c>
      <c r="G102" s="77">
        <v>148.5</v>
      </c>
      <c r="H102" s="5" t="s">
        <v>0</v>
      </c>
      <c r="I102" s="78">
        <f t="shared" si="54"/>
        <v>14.850000000000001</v>
      </c>
      <c r="J102" s="110">
        <f t="shared" si="55"/>
        <v>75</v>
      </c>
      <c r="K102" s="4">
        <v>2.7</v>
      </c>
      <c r="L102" s="5" t="s">
        <v>0</v>
      </c>
      <c r="M102" s="80">
        <f t="shared" si="56"/>
        <v>0.27</v>
      </c>
      <c r="N102" s="78">
        <f t="shared" si="57"/>
        <v>20.25</v>
      </c>
      <c r="O102" s="111">
        <f t="shared" si="58"/>
        <v>35.1</v>
      </c>
      <c r="P102" s="4">
        <v>10</v>
      </c>
      <c r="Q102" s="4">
        <v>12.5</v>
      </c>
      <c r="R102" s="4">
        <v>15</v>
      </c>
      <c r="S102" s="167">
        <v>140190</v>
      </c>
    </row>
    <row r="103" spans="1:19" s="168" customFormat="1" ht="15.75" thickBot="1" x14ac:dyDescent="0.3">
      <c r="A103" s="178"/>
      <c r="B103" s="211"/>
      <c r="C103" s="155"/>
      <c r="D103" s="157"/>
      <c r="E103" s="158"/>
      <c r="F103" s="158"/>
      <c r="G103" s="147" t="s">
        <v>1202</v>
      </c>
      <c r="H103" s="155"/>
      <c r="I103" s="162"/>
      <c r="J103" s="164"/>
      <c r="K103" s="164"/>
      <c r="L103" s="155"/>
      <c r="M103" s="165"/>
      <c r="N103" s="162"/>
      <c r="O103" s="166"/>
      <c r="P103" s="164"/>
      <c r="Q103" s="164"/>
      <c r="R103" s="164"/>
      <c r="S103" s="167"/>
    </row>
    <row r="104" spans="1:19" s="168" customFormat="1" ht="16.5" thickBot="1" x14ac:dyDescent="0.3">
      <c r="A104" s="175">
        <v>15</v>
      </c>
      <c r="B104" s="233" t="s">
        <v>1212</v>
      </c>
      <c r="C104" s="176">
        <v>10</v>
      </c>
      <c r="D104" s="157">
        <v>0</v>
      </c>
      <c r="E104" s="158">
        <f t="shared" ref="E104:E108" si="59">C104+(C104*D104)</f>
        <v>10</v>
      </c>
      <c r="F104" s="177" t="s">
        <v>867</v>
      </c>
      <c r="G104" s="77">
        <v>4498.32</v>
      </c>
      <c r="H104" s="5" t="s">
        <v>0</v>
      </c>
      <c r="I104" s="162">
        <f t="shared" ref="I104:I108" si="60">IF(H104="C",(G104/100)*E104,IF(H104="M",(G104/1000)*E104,G104*E104))</f>
        <v>449.83199999999999</v>
      </c>
      <c r="J104" s="163">
        <f t="shared" si="55"/>
        <v>75</v>
      </c>
      <c r="K104" s="164">
        <v>35</v>
      </c>
      <c r="L104" s="155" t="s">
        <v>0</v>
      </c>
      <c r="M104" s="165">
        <f t="shared" ref="M104:M108" si="61">IF(L104="C",(K104/100)*E104,IF(L104="M",(K104/1000)*E104,K104*E104))</f>
        <v>3.5</v>
      </c>
      <c r="N104" s="162">
        <f t="shared" ref="N104:N108" si="62">M104*J104</f>
        <v>262.5</v>
      </c>
      <c r="O104" s="166">
        <f t="shared" ref="O104:O108" si="63">N104+I104</f>
        <v>712.33199999999999</v>
      </c>
      <c r="P104" s="164">
        <v>40</v>
      </c>
      <c r="Q104" s="164">
        <v>45</v>
      </c>
      <c r="R104" s="164">
        <v>50</v>
      </c>
      <c r="S104" s="167">
        <v>137496</v>
      </c>
    </row>
    <row r="105" spans="1:19" s="168" customFormat="1" x14ac:dyDescent="0.25">
      <c r="A105" s="178"/>
      <c r="B105" s="213" t="s">
        <v>860</v>
      </c>
      <c r="C105" s="5">
        <f>C104</f>
        <v>10</v>
      </c>
      <c r="D105" s="7">
        <v>0</v>
      </c>
      <c r="E105" s="3">
        <f t="shared" si="59"/>
        <v>10</v>
      </c>
      <c r="F105" s="149" t="s">
        <v>867</v>
      </c>
      <c r="G105" s="77">
        <v>404.23</v>
      </c>
      <c r="H105" s="5" t="s">
        <v>0</v>
      </c>
      <c r="I105" s="78">
        <f t="shared" si="60"/>
        <v>40.423000000000002</v>
      </c>
      <c r="J105" s="110">
        <f t="shared" si="55"/>
        <v>75</v>
      </c>
      <c r="K105" s="4">
        <v>23</v>
      </c>
      <c r="L105" s="5" t="s">
        <v>0</v>
      </c>
      <c r="M105" s="80">
        <f t="shared" si="61"/>
        <v>2.3000000000000003</v>
      </c>
      <c r="N105" s="78">
        <f t="shared" si="62"/>
        <v>172.50000000000003</v>
      </c>
      <c r="O105" s="111">
        <f t="shared" si="63"/>
        <v>212.92300000000003</v>
      </c>
      <c r="P105" s="4">
        <v>30</v>
      </c>
      <c r="Q105" s="4">
        <v>35</v>
      </c>
      <c r="R105" s="4">
        <v>40</v>
      </c>
      <c r="S105" s="167">
        <v>124314</v>
      </c>
    </row>
    <row r="106" spans="1:19" s="168" customFormat="1" x14ac:dyDescent="0.25">
      <c r="A106" s="178"/>
      <c r="B106" s="24" t="s">
        <v>3</v>
      </c>
      <c r="C106" s="5">
        <f>C104</f>
        <v>10</v>
      </c>
      <c r="D106" s="7">
        <v>0</v>
      </c>
      <c r="E106" s="3">
        <f t="shared" si="59"/>
        <v>10</v>
      </c>
      <c r="F106" s="149" t="s">
        <v>867</v>
      </c>
      <c r="G106" s="77">
        <v>138.57</v>
      </c>
      <c r="H106" s="5" t="s">
        <v>0</v>
      </c>
      <c r="I106" s="78">
        <f t="shared" si="60"/>
        <v>13.856999999999999</v>
      </c>
      <c r="J106" s="110">
        <f t="shared" si="55"/>
        <v>75</v>
      </c>
      <c r="K106" s="4">
        <v>3</v>
      </c>
      <c r="L106" s="5" t="s">
        <v>0</v>
      </c>
      <c r="M106" s="80">
        <f t="shared" si="61"/>
        <v>0.3</v>
      </c>
      <c r="N106" s="78">
        <f t="shared" si="62"/>
        <v>22.5</v>
      </c>
      <c r="O106" s="111">
        <f t="shared" si="63"/>
        <v>36.356999999999999</v>
      </c>
      <c r="P106" s="4">
        <v>6</v>
      </c>
      <c r="Q106" s="4">
        <v>8</v>
      </c>
      <c r="R106" s="4">
        <v>10</v>
      </c>
      <c r="S106" s="167">
        <v>124389</v>
      </c>
    </row>
    <row r="107" spans="1:19" s="168" customFormat="1" x14ac:dyDescent="0.25">
      <c r="A107" s="178"/>
      <c r="B107" s="24" t="s">
        <v>1160</v>
      </c>
      <c r="C107" s="5">
        <f>C104*2</f>
        <v>20</v>
      </c>
      <c r="D107" s="7">
        <v>0</v>
      </c>
      <c r="E107" s="3">
        <f t="shared" si="59"/>
        <v>20</v>
      </c>
      <c r="F107" s="149" t="s">
        <v>867</v>
      </c>
      <c r="G107" s="77">
        <v>10.75</v>
      </c>
      <c r="H107" s="5" t="s">
        <v>0</v>
      </c>
      <c r="I107" s="78">
        <f t="shared" si="60"/>
        <v>2.15</v>
      </c>
      <c r="J107" s="110">
        <f t="shared" si="55"/>
        <v>75</v>
      </c>
      <c r="K107" s="4">
        <v>2.8</v>
      </c>
      <c r="L107" s="5" t="s">
        <v>0</v>
      </c>
      <c r="M107" s="80">
        <f t="shared" si="61"/>
        <v>0.55999999999999994</v>
      </c>
      <c r="N107" s="78">
        <f t="shared" si="62"/>
        <v>41.999999999999993</v>
      </c>
      <c r="O107" s="111">
        <f t="shared" si="63"/>
        <v>44.149999999999991</v>
      </c>
      <c r="P107" s="4">
        <v>3.1</v>
      </c>
      <c r="Q107" s="4">
        <v>3.88</v>
      </c>
      <c r="R107" s="4">
        <v>4.84</v>
      </c>
      <c r="S107" s="167">
        <v>124746</v>
      </c>
    </row>
    <row r="108" spans="1:19" s="168" customFormat="1" x14ac:dyDescent="0.25">
      <c r="A108" s="178"/>
      <c r="B108" s="24" t="s">
        <v>1204</v>
      </c>
      <c r="C108" s="5">
        <f>C104</f>
        <v>10</v>
      </c>
      <c r="D108" s="7">
        <v>0</v>
      </c>
      <c r="E108" s="3">
        <f t="shared" si="59"/>
        <v>10</v>
      </c>
      <c r="F108" s="149" t="s">
        <v>867</v>
      </c>
      <c r="G108" s="77">
        <v>148.5</v>
      </c>
      <c r="H108" s="5" t="s">
        <v>0</v>
      </c>
      <c r="I108" s="78">
        <f t="shared" si="60"/>
        <v>14.850000000000001</v>
      </c>
      <c r="J108" s="110">
        <f t="shared" si="55"/>
        <v>75</v>
      </c>
      <c r="K108" s="4">
        <v>2.7</v>
      </c>
      <c r="L108" s="5" t="s">
        <v>0</v>
      </c>
      <c r="M108" s="80">
        <f t="shared" si="61"/>
        <v>0.27</v>
      </c>
      <c r="N108" s="78">
        <f t="shared" si="62"/>
        <v>20.25</v>
      </c>
      <c r="O108" s="111">
        <f t="shared" si="63"/>
        <v>35.1</v>
      </c>
      <c r="P108" s="4">
        <v>10</v>
      </c>
      <c r="Q108" s="4">
        <v>12.5</v>
      </c>
      <c r="R108" s="4">
        <v>15</v>
      </c>
      <c r="S108" s="167">
        <v>140190</v>
      </c>
    </row>
    <row r="109" spans="1:19" s="168" customFormat="1" ht="15.75" thickBot="1" x14ac:dyDescent="0.3">
      <c r="A109" s="178"/>
      <c r="B109" s="211"/>
      <c r="C109" s="155"/>
      <c r="D109" s="157"/>
      <c r="E109" s="158"/>
      <c r="F109" s="158"/>
      <c r="G109" s="147" t="s">
        <v>1202</v>
      </c>
      <c r="H109" s="155"/>
      <c r="I109" s="162"/>
      <c r="J109" s="164"/>
      <c r="K109" s="164"/>
      <c r="L109" s="155"/>
      <c r="M109" s="165"/>
      <c r="N109" s="162"/>
      <c r="O109" s="166"/>
      <c r="P109" s="164"/>
      <c r="Q109" s="164"/>
      <c r="R109" s="164"/>
      <c r="S109" s="167"/>
    </row>
    <row r="110" spans="1:19" s="168" customFormat="1" ht="16.5" thickBot="1" x14ac:dyDescent="0.3">
      <c r="A110" s="175">
        <v>16</v>
      </c>
      <c r="B110" s="233" t="s">
        <v>1213</v>
      </c>
      <c r="C110" s="176">
        <v>10</v>
      </c>
      <c r="D110" s="157">
        <v>0</v>
      </c>
      <c r="E110" s="158">
        <f t="shared" ref="E110:E114" si="64">C110+(C110*D110)</f>
        <v>10</v>
      </c>
      <c r="F110" s="177" t="s">
        <v>867</v>
      </c>
      <c r="G110" s="77">
        <v>5431.96</v>
      </c>
      <c r="H110" s="5" t="s">
        <v>0</v>
      </c>
      <c r="I110" s="162">
        <f t="shared" ref="I110:I114" si="65">IF(H110="C",(G110/100)*E110,IF(H110="M",(G110/1000)*E110,G110*E110))</f>
        <v>543.19600000000003</v>
      </c>
      <c r="J110" s="163">
        <f t="shared" si="55"/>
        <v>75</v>
      </c>
      <c r="K110" s="164">
        <v>40</v>
      </c>
      <c r="L110" s="155" t="s">
        <v>0</v>
      </c>
      <c r="M110" s="165">
        <f t="shared" ref="M110:M114" si="66">IF(L110="C",(K110/100)*E110,IF(L110="M",(K110/1000)*E110,K110*E110))</f>
        <v>4</v>
      </c>
      <c r="N110" s="162">
        <f t="shared" ref="N110:N114" si="67">M110*J110</f>
        <v>300</v>
      </c>
      <c r="O110" s="166">
        <f t="shared" ref="O110:O114" si="68">N110+I110</f>
        <v>843.19600000000003</v>
      </c>
      <c r="P110" s="164">
        <v>45</v>
      </c>
      <c r="Q110" s="164">
        <v>50</v>
      </c>
      <c r="R110" s="164">
        <v>55</v>
      </c>
      <c r="S110" s="167">
        <v>137496</v>
      </c>
    </row>
    <row r="111" spans="1:19" s="168" customFormat="1" x14ac:dyDescent="0.25">
      <c r="A111" s="178"/>
      <c r="B111" s="213" t="s">
        <v>860</v>
      </c>
      <c r="C111" s="5">
        <f>C110</f>
        <v>10</v>
      </c>
      <c r="D111" s="7">
        <v>0</v>
      </c>
      <c r="E111" s="3">
        <f t="shared" si="64"/>
        <v>10</v>
      </c>
      <c r="F111" s="149" t="s">
        <v>867</v>
      </c>
      <c r="G111" s="77">
        <v>404.23</v>
      </c>
      <c r="H111" s="5" t="s">
        <v>0</v>
      </c>
      <c r="I111" s="78">
        <f t="shared" si="65"/>
        <v>40.423000000000002</v>
      </c>
      <c r="J111" s="110">
        <f t="shared" si="55"/>
        <v>75</v>
      </c>
      <c r="K111" s="4">
        <v>23</v>
      </c>
      <c r="L111" s="5" t="s">
        <v>0</v>
      </c>
      <c r="M111" s="80">
        <f t="shared" si="66"/>
        <v>2.3000000000000003</v>
      </c>
      <c r="N111" s="78">
        <f t="shared" si="67"/>
        <v>172.50000000000003</v>
      </c>
      <c r="O111" s="111">
        <f t="shared" si="68"/>
        <v>212.92300000000003</v>
      </c>
      <c r="P111" s="4">
        <v>30</v>
      </c>
      <c r="Q111" s="4">
        <v>35</v>
      </c>
      <c r="R111" s="4">
        <v>40</v>
      </c>
      <c r="S111" s="167">
        <v>124314</v>
      </c>
    </row>
    <row r="112" spans="1:19" s="168" customFormat="1" x14ac:dyDescent="0.25">
      <c r="A112" s="178"/>
      <c r="B112" s="24" t="s">
        <v>3</v>
      </c>
      <c r="C112" s="5">
        <f>C110</f>
        <v>10</v>
      </c>
      <c r="D112" s="7">
        <v>0</v>
      </c>
      <c r="E112" s="3">
        <f t="shared" si="64"/>
        <v>10</v>
      </c>
      <c r="F112" s="149" t="s">
        <v>867</v>
      </c>
      <c r="G112" s="77">
        <v>138.57</v>
      </c>
      <c r="H112" s="5" t="s">
        <v>0</v>
      </c>
      <c r="I112" s="78">
        <f t="shared" si="65"/>
        <v>13.856999999999999</v>
      </c>
      <c r="J112" s="110">
        <f t="shared" si="55"/>
        <v>75</v>
      </c>
      <c r="K112" s="4">
        <v>3</v>
      </c>
      <c r="L112" s="5" t="s">
        <v>0</v>
      </c>
      <c r="M112" s="80">
        <f t="shared" si="66"/>
        <v>0.3</v>
      </c>
      <c r="N112" s="78">
        <f t="shared" si="67"/>
        <v>22.5</v>
      </c>
      <c r="O112" s="111">
        <f t="shared" si="68"/>
        <v>36.356999999999999</v>
      </c>
      <c r="P112" s="4">
        <v>6</v>
      </c>
      <c r="Q112" s="4">
        <v>8</v>
      </c>
      <c r="R112" s="4">
        <v>10</v>
      </c>
      <c r="S112" s="167">
        <v>124389</v>
      </c>
    </row>
    <row r="113" spans="1:19" s="168" customFormat="1" x14ac:dyDescent="0.25">
      <c r="A113" s="178"/>
      <c r="B113" s="24" t="s">
        <v>1160</v>
      </c>
      <c r="C113" s="5">
        <f>C110*2</f>
        <v>20</v>
      </c>
      <c r="D113" s="7">
        <v>0</v>
      </c>
      <c r="E113" s="3">
        <f t="shared" si="64"/>
        <v>20</v>
      </c>
      <c r="F113" s="149" t="s">
        <v>867</v>
      </c>
      <c r="G113" s="77">
        <v>10.75</v>
      </c>
      <c r="H113" s="5" t="s">
        <v>0</v>
      </c>
      <c r="I113" s="78">
        <f t="shared" si="65"/>
        <v>2.15</v>
      </c>
      <c r="J113" s="110">
        <f t="shared" si="55"/>
        <v>75</v>
      </c>
      <c r="K113" s="4">
        <v>2.8</v>
      </c>
      <c r="L113" s="5" t="s">
        <v>0</v>
      </c>
      <c r="M113" s="80">
        <f t="shared" si="66"/>
        <v>0.55999999999999994</v>
      </c>
      <c r="N113" s="78">
        <f t="shared" si="67"/>
        <v>41.999999999999993</v>
      </c>
      <c r="O113" s="111">
        <f t="shared" si="68"/>
        <v>44.149999999999991</v>
      </c>
      <c r="P113" s="4">
        <v>3.1</v>
      </c>
      <c r="Q113" s="4">
        <v>3.88</v>
      </c>
      <c r="R113" s="4">
        <v>4.84</v>
      </c>
      <c r="S113" s="167">
        <v>124746</v>
      </c>
    </row>
    <row r="114" spans="1:19" s="168" customFormat="1" x14ac:dyDescent="0.25">
      <c r="A114" s="178"/>
      <c r="B114" s="24" t="s">
        <v>1204</v>
      </c>
      <c r="C114" s="5">
        <f>C110</f>
        <v>10</v>
      </c>
      <c r="D114" s="7">
        <v>0</v>
      </c>
      <c r="E114" s="3">
        <f t="shared" si="64"/>
        <v>10</v>
      </c>
      <c r="F114" s="149" t="s">
        <v>867</v>
      </c>
      <c r="G114" s="77">
        <v>148.5</v>
      </c>
      <c r="H114" s="5" t="s">
        <v>0</v>
      </c>
      <c r="I114" s="78">
        <f t="shared" si="65"/>
        <v>14.850000000000001</v>
      </c>
      <c r="J114" s="110">
        <f t="shared" si="55"/>
        <v>75</v>
      </c>
      <c r="K114" s="4">
        <v>2.7</v>
      </c>
      <c r="L114" s="5" t="s">
        <v>0</v>
      </c>
      <c r="M114" s="80">
        <f t="shared" si="66"/>
        <v>0.27</v>
      </c>
      <c r="N114" s="78">
        <f t="shared" si="67"/>
        <v>20.25</v>
      </c>
      <c r="O114" s="111">
        <f t="shared" si="68"/>
        <v>35.1</v>
      </c>
      <c r="P114" s="4">
        <v>10</v>
      </c>
      <c r="Q114" s="4">
        <v>12.5</v>
      </c>
      <c r="R114" s="4">
        <v>15</v>
      </c>
      <c r="S114" s="167">
        <v>140190</v>
      </c>
    </row>
    <row r="115" spans="1:19" s="168" customFormat="1" ht="15.75" thickBot="1" x14ac:dyDescent="0.3">
      <c r="A115" s="178"/>
      <c r="B115" s="211"/>
      <c r="C115" s="155"/>
      <c r="D115" s="157"/>
      <c r="E115" s="158"/>
      <c r="F115" s="158"/>
      <c r="G115" s="147" t="s">
        <v>1202</v>
      </c>
      <c r="H115" s="155"/>
      <c r="I115" s="162"/>
      <c r="J115" s="164"/>
      <c r="K115" s="164"/>
      <c r="L115" s="155"/>
      <c r="M115" s="165"/>
      <c r="N115" s="162"/>
      <c r="O115" s="166"/>
      <c r="P115" s="164"/>
      <c r="Q115" s="164"/>
      <c r="R115" s="164"/>
      <c r="S115" s="167"/>
    </row>
    <row r="116" spans="1:19" ht="15.75" thickBot="1" x14ac:dyDescent="0.3">
      <c r="A116" s="204">
        <v>17</v>
      </c>
      <c r="B116" s="215" t="s">
        <v>10</v>
      </c>
      <c r="C116" s="197">
        <v>10</v>
      </c>
      <c r="D116" s="7">
        <v>0</v>
      </c>
      <c r="E116" s="3">
        <f t="shared" ref="E116:E228" si="69">C116+(C116*D116)</f>
        <v>10</v>
      </c>
      <c r="F116" s="3"/>
      <c r="G116" s="77" t="s">
        <v>1202</v>
      </c>
      <c r="H116" s="5"/>
      <c r="I116" s="78"/>
      <c r="J116" s="4"/>
      <c r="K116" s="4"/>
      <c r="L116" s="5"/>
      <c r="M116" s="80">
        <f t="shared" ref="M116:M228" si="70">IF(L116="C",(K116/100)*E116,IF(L116="M",(K116/1000)*E116,K116*E116))</f>
        <v>0</v>
      </c>
      <c r="N116" s="78">
        <f t="shared" ref="N116:N228" si="71">M116*J116</f>
        <v>0</v>
      </c>
      <c r="O116" s="111">
        <f t="shared" ref="O116:O228" si="72">N116+I116</f>
        <v>0</v>
      </c>
      <c r="P116" s="4"/>
      <c r="Q116" s="4"/>
      <c r="R116" s="4"/>
      <c r="S116" s="49"/>
    </row>
    <row r="117" spans="1:19" x14ac:dyDescent="0.25">
      <c r="A117" s="37"/>
      <c r="B117" s="213" t="s">
        <v>5</v>
      </c>
      <c r="C117" s="5">
        <f>2*C116</f>
        <v>20</v>
      </c>
      <c r="D117" s="7">
        <v>0</v>
      </c>
      <c r="E117" s="3">
        <f t="shared" si="69"/>
        <v>20</v>
      </c>
      <c r="F117" s="85" t="s">
        <v>867</v>
      </c>
      <c r="G117" s="77">
        <v>913.25</v>
      </c>
      <c r="H117" s="5" t="s">
        <v>0</v>
      </c>
      <c r="I117" s="78">
        <f t="shared" ref="I117:I228" si="73">IF(H117="C",(G117/100)*E117,IF(H117="M",(G117/1000)*E117,G117*E117))</f>
        <v>182.65</v>
      </c>
      <c r="J117" s="110">
        <f t="shared" ref="J117:J122" si="74">$O$4</f>
        <v>75</v>
      </c>
      <c r="K117" s="4">
        <v>20</v>
      </c>
      <c r="L117" s="5" t="s">
        <v>0</v>
      </c>
      <c r="M117" s="80">
        <f t="shared" si="70"/>
        <v>4</v>
      </c>
      <c r="N117" s="78">
        <f t="shared" si="71"/>
        <v>300</v>
      </c>
      <c r="O117" s="111">
        <f t="shared" si="72"/>
        <v>482.65</v>
      </c>
      <c r="P117" s="4">
        <v>30</v>
      </c>
      <c r="Q117" s="4">
        <v>37.5</v>
      </c>
      <c r="R117" s="4">
        <v>45</v>
      </c>
      <c r="S117" s="49">
        <v>137493</v>
      </c>
    </row>
    <row r="118" spans="1:19" x14ac:dyDescent="0.25">
      <c r="A118" s="37"/>
      <c r="B118" s="24" t="s">
        <v>860</v>
      </c>
      <c r="C118" s="5">
        <f>C116</f>
        <v>10</v>
      </c>
      <c r="D118" s="7">
        <v>0</v>
      </c>
      <c r="E118" s="3">
        <f t="shared" si="69"/>
        <v>10</v>
      </c>
      <c r="F118" s="85" t="s">
        <v>867</v>
      </c>
      <c r="G118" s="77">
        <v>404.23</v>
      </c>
      <c r="H118" s="5" t="s">
        <v>0</v>
      </c>
      <c r="I118" s="78">
        <f t="shared" si="73"/>
        <v>40.423000000000002</v>
      </c>
      <c r="J118" s="110">
        <f t="shared" si="74"/>
        <v>75</v>
      </c>
      <c r="K118" s="4">
        <v>23</v>
      </c>
      <c r="L118" s="5" t="s">
        <v>0</v>
      </c>
      <c r="M118" s="80">
        <f t="shared" si="70"/>
        <v>2.3000000000000003</v>
      </c>
      <c r="N118" s="78">
        <f t="shared" si="71"/>
        <v>172.50000000000003</v>
      </c>
      <c r="O118" s="111">
        <f t="shared" si="72"/>
        <v>212.92300000000003</v>
      </c>
      <c r="P118" s="4">
        <v>30</v>
      </c>
      <c r="Q118" s="4">
        <v>35</v>
      </c>
      <c r="R118" s="4">
        <v>40</v>
      </c>
      <c r="S118" s="49">
        <v>124314</v>
      </c>
    </row>
    <row r="119" spans="1:19" x14ac:dyDescent="0.25">
      <c r="A119" s="37"/>
      <c r="B119" s="24" t="s">
        <v>11</v>
      </c>
      <c r="C119" s="5">
        <f>C116</f>
        <v>10</v>
      </c>
      <c r="D119" s="7">
        <v>0</v>
      </c>
      <c r="E119" s="3">
        <f t="shared" si="69"/>
        <v>10</v>
      </c>
      <c r="F119" s="85" t="s">
        <v>867</v>
      </c>
      <c r="G119" s="77">
        <v>344.33</v>
      </c>
      <c r="H119" s="5" t="s">
        <v>0</v>
      </c>
      <c r="I119" s="78">
        <f t="shared" si="73"/>
        <v>34.433</v>
      </c>
      <c r="J119" s="110">
        <f t="shared" si="74"/>
        <v>75</v>
      </c>
      <c r="K119" s="4">
        <v>2.5</v>
      </c>
      <c r="L119" s="5" t="s">
        <v>0</v>
      </c>
      <c r="M119" s="80">
        <f t="shared" si="70"/>
        <v>0.25</v>
      </c>
      <c r="N119" s="78">
        <f t="shared" si="71"/>
        <v>18.75</v>
      </c>
      <c r="O119" s="111">
        <f t="shared" si="72"/>
        <v>53.183</v>
      </c>
      <c r="P119" s="4">
        <v>15</v>
      </c>
      <c r="Q119" s="4">
        <v>20</v>
      </c>
      <c r="R119" s="4">
        <v>25</v>
      </c>
      <c r="S119" s="49">
        <v>124401</v>
      </c>
    </row>
    <row r="120" spans="1:19" x14ac:dyDescent="0.25">
      <c r="A120" s="37"/>
      <c r="B120" s="24" t="s">
        <v>3</v>
      </c>
      <c r="C120" s="5">
        <f>C116</f>
        <v>10</v>
      </c>
      <c r="D120" s="7">
        <v>0</v>
      </c>
      <c r="E120" s="3">
        <f t="shared" si="69"/>
        <v>10</v>
      </c>
      <c r="F120" s="85" t="s">
        <v>867</v>
      </c>
      <c r="G120" s="77">
        <v>138.57</v>
      </c>
      <c r="H120" s="5" t="s">
        <v>0</v>
      </c>
      <c r="I120" s="78">
        <f t="shared" si="73"/>
        <v>13.856999999999999</v>
      </c>
      <c r="J120" s="110">
        <f t="shared" si="74"/>
        <v>75</v>
      </c>
      <c r="K120" s="4">
        <v>3</v>
      </c>
      <c r="L120" s="5" t="s">
        <v>0</v>
      </c>
      <c r="M120" s="80">
        <f t="shared" si="70"/>
        <v>0.3</v>
      </c>
      <c r="N120" s="78">
        <f t="shared" si="71"/>
        <v>22.5</v>
      </c>
      <c r="O120" s="111">
        <f t="shared" si="72"/>
        <v>36.356999999999999</v>
      </c>
      <c r="P120" s="4">
        <v>6</v>
      </c>
      <c r="Q120" s="4">
        <v>8</v>
      </c>
      <c r="R120" s="4">
        <v>10</v>
      </c>
      <c r="S120" s="49">
        <v>124746</v>
      </c>
    </row>
    <row r="121" spans="1:19" x14ac:dyDescent="0.25">
      <c r="A121" s="37"/>
      <c r="B121" s="24" t="s">
        <v>1160</v>
      </c>
      <c r="C121" s="5">
        <f>2*C116</f>
        <v>20</v>
      </c>
      <c r="D121" s="7">
        <v>0</v>
      </c>
      <c r="E121" s="3">
        <f t="shared" si="69"/>
        <v>20</v>
      </c>
      <c r="F121" s="85" t="s">
        <v>867</v>
      </c>
      <c r="G121" s="77">
        <v>10.75</v>
      </c>
      <c r="H121" s="5" t="s">
        <v>0</v>
      </c>
      <c r="I121" s="78">
        <f t="shared" si="73"/>
        <v>2.15</v>
      </c>
      <c r="J121" s="110">
        <f t="shared" si="74"/>
        <v>75</v>
      </c>
      <c r="K121" s="4">
        <v>2.8</v>
      </c>
      <c r="L121" s="5" t="s">
        <v>0</v>
      </c>
      <c r="M121" s="80">
        <f t="shared" si="70"/>
        <v>0.55999999999999994</v>
      </c>
      <c r="N121" s="78">
        <f t="shared" si="71"/>
        <v>41.999999999999993</v>
      </c>
      <c r="O121" s="111">
        <f t="shared" si="72"/>
        <v>44.149999999999991</v>
      </c>
      <c r="P121" s="4">
        <v>3.1</v>
      </c>
      <c r="Q121" s="4">
        <v>3.88</v>
      </c>
      <c r="R121" s="4">
        <v>4.84</v>
      </c>
      <c r="S121" s="49">
        <v>140190</v>
      </c>
    </row>
    <row r="122" spans="1:19" x14ac:dyDescent="0.25">
      <c r="A122" s="37"/>
      <c r="B122" s="24" t="s">
        <v>12</v>
      </c>
      <c r="C122" s="5">
        <f>C116</f>
        <v>10</v>
      </c>
      <c r="D122" s="7">
        <v>0</v>
      </c>
      <c r="E122" s="3">
        <f t="shared" si="69"/>
        <v>10</v>
      </c>
      <c r="F122" s="85" t="s">
        <v>867</v>
      </c>
      <c r="G122" s="77">
        <v>93.91</v>
      </c>
      <c r="H122" s="5" t="s">
        <v>0</v>
      </c>
      <c r="I122" s="78">
        <f t="shared" si="73"/>
        <v>9.391</v>
      </c>
      <c r="J122" s="110">
        <f t="shared" si="74"/>
        <v>75</v>
      </c>
      <c r="K122" s="4">
        <v>3.9</v>
      </c>
      <c r="L122" s="5" t="s">
        <v>0</v>
      </c>
      <c r="M122" s="80">
        <f t="shared" si="70"/>
        <v>0.39</v>
      </c>
      <c r="N122" s="78">
        <f t="shared" si="71"/>
        <v>29.25</v>
      </c>
      <c r="O122" s="111">
        <f t="shared" si="72"/>
        <v>38.640999999999998</v>
      </c>
      <c r="P122" s="4">
        <v>12</v>
      </c>
      <c r="Q122" s="4">
        <v>15</v>
      </c>
      <c r="R122" s="4">
        <v>18</v>
      </c>
      <c r="S122" s="49">
        <v>138435</v>
      </c>
    </row>
    <row r="123" spans="1:19" ht="15.75" thickBot="1" x14ac:dyDescent="0.3">
      <c r="A123" s="37"/>
      <c r="B123" s="211"/>
      <c r="C123" s="5"/>
      <c r="D123" s="7"/>
      <c r="E123" s="3"/>
      <c r="F123" s="3"/>
      <c r="G123" s="77" t="s">
        <v>1202</v>
      </c>
      <c r="H123" s="5"/>
      <c r="I123" s="78"/>
      <c r="J123" s="4"/>
      <c r="K123" s="4"/>
      <c r="L123" s="5"/>
      <c r="M123" s="80"/>
      <c r="N123" s="78"/>
      <c r="O123" s="111"/>
      <c r="P123" s="4"/>
      <c r="Q123" s="4"/>
      <c r="R123" s="4"/>
      <c r="S123" s="49"/>
    </row>
    <row r="124" spans="1:19" ht="15.75" thickBot="1" x14ac:dyDescent="0.3">
      <c r="A124" s="204">
        <v>18</v>
      </c>
      <c r="B124" s="215" t="s">
        <v>13</v>
      </c>
      <c r="C124" s="197">
        <v>10</v>
      </c>
      <c r="D124" s="7">
        <v>0</v>
      </c>
      <c r="E124" s="3">
        <f t="shared" si="69"/>
        <v>10</v>
      </c>
      <c r="F124" s="85" t="s">
        <v>867</v>
      </c>
      <c r="G124" s="77" t="s">
        <v>1202</v>
      </c>
      <c r="H124" s="5"/>
      <c r="I124" s="78"/>
      <c r="J124" s="4"/>
      <c r="K124" s="4"/>
      <c r="L124" s="5"/>
      <c r="M124" s="80"/>
      <c r="N124" s="78"/>
      <c r="O124" s="111"/>
      <c r="P124" s="4"/>
      <c r="Q124" s="4"/>
      <c r="R124" s="4"/>
      <c r="S124" s="49"/>
    </row>
    <row r="125" spans="1:19" x14ac:dyDescent="0.25">
      <c r="A125" s="37"/>
      <c r="B125" s="213" t="s">
        <v>6</v>
      </c>
      <c r="C125" s="5">
        <f>2*C124</f>
        <v>20</v>
      </c>
      <c r="D125" s="7">
        <v>0</v>
      </c>
      <c r="E125" s="3">
        <f t="shared" si="69"/>
        <v>20</v>
      </c>
      <c r="F125" s="85" t="s">
        <v>867</v>
      </c>
      <c r="G125" s="147">
        <v>1386.32</v>
      </c>
      <c r="H125" s="5" t="s">
        <v>0</v>
      </c>
      <c r="I125" s="78">
        <f t="shared" si="73"/>
        <v>277.26400000000001</v>
      </c>
      <c r="J125" s="110">
        <f t="shared" ref="J125:J133" si="75">$O$4</f>
        <v>75</v>
      </c>
      <c r="K125" s="4">
        <v>20</v>
      </c>
      <c r="L125" s="5" t="s">
        <v>0</v>
      </c>
      <c r="M125" s="80">
        <f t="shared" si="70"/>
        <v>4</v>
      </c>
      <c r="N125" s="78">
        <f t="shared" si="71"/>
        <v>300</v>
      </c>
      <c r="O125" s="111">
        <f t="shared" si="72"/>
        <v>577.26400000000001</v>
      </c>
      <c r="P125" s="4">
        <v>30</v>
      </c>
      <c r="Q125" s="4">
        <v>37.5</v>
      </c>
      <c r="R125" s="4">
        <v>45</v>
      </c>
      <c r="S125" s="49">
        <v>137589</v>
      </c>
    </row>
    <row r="126" spans="1:19" x14ac:dyDescent="0.25">
      <c r="A126" s="37"/>
      <c r="B126" s="24" t="s">
        <v>860</v>
      </c>
      <c r="C126" s="5">
        <f>C124</f>
        <v>10</v>
      </c>
      <c r="D126" s="7">
        <v>0</v>
      </c>
      <c r="E126" s="3">
        <f t="shared" si="69"/>
        <v>10</v>
      </c>
      <c r="F126" s="85" t="s">
        <v>867</v>
      </c>
      <c r="G126" s="77">
        <v>404.23</v>
      </c>
      <c r="H126" s="5" t="s">
        <v>0</v>
      </c>
      <c r="I126" s="78">
        <f t="shared" si="73"/>
        <v>40.423000000000002</v>
      </c>
      <c r="J126" s="110">
        <f t="shared" si="75"/>
        <v>75</v>
      </c>
      <c r="K126" s="4">
        <v>23</v>
      </c>
      <c r="L126" s="5" t="s">
        <v>0</v>
      </c>
      <c r="M126" s="80">
        <f t="shared" si="70"/>
        <v>2.3000000000000003</v>
      </c>
      <c r="N126" s="78">
        <f t="shared" si="71"/>
        <v>172.50000000000003</v>
      </c>
      <c r="O126" s="111">
        <f t="shared" si="72"/>
        <v>212.92300000000003</v>
      </c>
      <c r="P126" s="4">
        <v>30</v>
      </c>
      <c r="Q126" s="4">
        <v>35</v>
      </c>
      <c r="R126" s="4">
        <v>40</v>
      </c>
      <c r="S126" s="49">
        <v>124314</v>
      </c>
    </row>
    <row r="127" spans="1:19" x14ac:dyDescent="0.25">
      <c r="A127" s="37"/>
      <c r="B127" s="24" t="s">
        <v>11</v>
      </c>
      <c r="C127" s="5">
        <f>C124</f>
        <v>10</v>
      </c>
      <c r="D127" s="7">
        <v>0</v>
      </c>
      <c r="E127" s="3">
        <f t="shared" si="69"/>
        <v>10</v>
      </c>
      <c r="F127" s="85" t="s">
        <v>867</v>
      </c>
      <c r="G127" s="77">
        <v>344.33</v>
      </c>
      <c r="H127" s="5" t="s">
        <v>0</v>
      </c>
      <c r="I127" s="78">
        <f t="shared" si="73"/>
        <v>34.433</v>
      </c>
      <c r="J127" s="110">
        <f t="shared" si="75"/>
        <v>75</v>
      </c>
      <c r="K127" s="4">
        <v>2.5</v>
      </c>
      <c r="L127" s="5" t="s">
        <v>0</v>
      </c>
      <c r="M127" s="80">
        <f t="shared" si="70"/>
        <v>0.25</v>
      </c>
      <c r="N127" s="78">
        <f t="shared" si="71"/>
        <v>18.75</v>
      </c>
      <c r="O127" s="111">
        <f t="shared" si="72"/>
        <v>53.183</v>
      </c>
      <c r="P127" s="4">
        <v>15</v>
      </c>
      <c r="Q127" s="4">
        <v>20</v>
      </c>
      <c r="R127" s="4">
        <v>25</v>
      </c>
      <c r="S127" s="49">
        <v>124401</v>
      </c>
    </row>
    <row r="128" spans="1:19" x14ac:dyDescent="0.25">
      <c r="A128" s="37"/>
      <c r="B128" s="24" t="s">
        <v>3</v>
      </c>
      <c r="C128" s="5">
        <f>C124</f>
        <v>10</v>
      </c>
      <c r="D128" s="7">
        <v>0</v>
      </c>
      <c r="E128" s="3">
        <f t="shared" si="69"/>
        <v>10</v>
      </c>
      <c r="F128" s="85" t="s">
        <v>867</v>
      </c>
      <c r="G128" s="77">
        <v>138.57</v>
      </c>
      <c r="H128" s="5" t="s">
        <v>0</v>
      </c>
      <c r="I128" s="78">
        <f t="shared" si="73"/>
        <v>13.856999999999999</v>
      </c>
      <c r="J128" s="110">
        <f t="shared" si="75"/>
        <v>75</v>
      </c>
      <c r="K128" s="4">
        <v>3</v>
      </c>
      <c r="L128" s="5" t="s">
        <v>0</v>
      </c>
      <c r="M128" s="80">
        <f t="shared" si="70"/>
        <v>0.3</v>
      </c>
      <c r="N128" s="78">
        <f t="shared" si="71"/>
        <v>22.5</v>
      </c>
      <c r="O128" s="111">
        <f t="shared" si="72"/>
        <v>36.356999999999999</v>
      </c>
      <c r="P128" s="4">
        <v>6</v>
      </c>
      <c r="Q128" s="4">
        <v>8</v>
      </c>
      <c r="R128" s="4">
        <v>10</v>
      </c>
      <c r="S128" s="49">
        <v>124746</v>
      </c>
    </row>
    <row r="129" spans="1:19" x14ac:dyDescent="0.25">
      <c r="A129" s="37"/>
      <c r="B129" s="24" t="s">
        <v>1160</v>
      </c>
      <c r="C129" s="5">
        <f>2*C124</f>
        <v>20</v>
      </c>
      <c r="D129" s="7">
        <v>0</v>
      </c>
      <c r="E129" s="3">
        <f t="shared" si="69"/>
        <v>20</v>
      </c>
      <c r="F129" s="85" t="s">
        <v>867</v>
      </c>
      <c r="G129" s="77">
        <v>10.75</v>
      </c>
      <c r="H129" s="5" t="s">
        <v>0</v>
      </c>
      <c r="I129" s="78">
        <f t="shared" si="73"/>
        <v>2.15</v>
      </c>
      <c r="J129" s="110">
        <f t="shared" si="75"/>
        <v>75</v>
      </c>
      <c r="K129" s="4">
        <v>2.8</v>
      </c>
      <c r="L129" s="5" t="s">
        <v>0</v>
      </c>
      <c r="M129" s="80">
        <f t="shared" si="70"/>
        <v>0.55999999999999994</v>
      </c>
      <c r="N129" s="78">
        <f t="shared" si="71"/>
        <v>41.999999999999993</v>
      </c>
      <c r="O129" s="111">
        <f t="shared" si="72"/>
        <v>44.149999999999991</v>
      </c>
      <c r="P129" s="4">
        <v>3.1</v>
      </c>
      <c r="Q129" s="4">
        <v>3.88</v>
      </c>
      <c r="R129" s="4">
        <v>4.84</v>
      </c>
      <c r="S129" s="49">
        <v>140190</v>
      </c>
    </row>
    <row r="130" spans="1:19" x14ac:dyDescent="0.25">
      <c r="A130" s="37"/>
      <c r="B130" s="24" t="s">
        <v>12</v>
      </c>
      <c r="C130" s="5">
        <f>C124</f>
        <v>10</v>
      </c>
      <c r="D130" s="7">
        <v>0</v>
      </c>
      <c r="E130" s="3">
        <f t="shared" si="69"/>
        <v>10</v>
      </c>
      <c r="F130" s="85" t="s">
        <v>867</v>
      </c>
      <c r="G130" s="77">
        <v>93.91</v>
      </c>
      <c r="H130" s="5" t="s">
        <v>0</v>
      </c>
      <c r="I130" s="78">
        <f t="shared" si="73"/>
        <v>9.391</v>
      </c>
      <c r="J130" s="110">
        <f t="shared" si="75"/>
        <v>75</v>
      </c>
      <c r="K130" s="4">
        <v>3.9</v>
      </c>
      <c r="L130" s="5" t="s">
        <v>0</v>
      </c>
      <c r="M130" s="80">
        <f t="shared" si="70"/>
        <v>0.39</v>
      </c>
      <c r="N130" s="78">
        <f t="shared" si="71"/>
        <v>29.25</v>
      </c>
      <c r="O130" s="111">
        <f t="shared" si="72"/>
        <v>38.640999999999998</v>
      </c>
      <c r="P130" s="4">
        <v>12</v>
      </c>
      <c r="Q130" s="4">
        <v>15</v>
      </c>
      <c r="R130" s="4">
        <v>18</v>
      </c>
      <c r="S130" s="49">
        <v>138435</v>
      </c>
    </row>
    <row r="131" spans="1:19" ht="15.75" thickBot="1" x14ac:dyDescent="0.3">
      <c r="A131" s="88"/>
      <c r="B131" s="211"/>
      <c r="C131" s="5"/>
      <c r="D131" s="7"/>
      <c r="E131" s="3"/>
      <c r="F131" s="85"/>
      <c r="G131" s="77"/>
      <c r="H131" s="5"/>
      <c r="I131" s="78"/>
      <c r="J131" s="110"/>
      <c r="K131" s="4"/>
      <c r="L131" s="5"/>
      <c r="M131" s="80"/>
      <c r="N131" s="78"/>
      <c r="O131" s="188"/>
      <c r="P131" s="4"/>
      <c r="Q131" s="4"/>
      <c r="R131" s="4"/>
      <c r="S131" s="4"/>
    </row>
    <row r="132" spans="1:19" ht="16.5" thickBot="1" x14ac:dyDescent="0.3">
      <c r="A132" s="206">
        <v>19</v>
      </c>
      <c r="B132" s="251" t="s">
        <v>1208</v>
      </c>
      <c r="C132" s="208">
        <v>16</v>
      </c>
      <c r="D132" s="152">
        <v>0</v>
      </c>
      <c r="E132" s="153">
        <f>C132+(C132*D132)</f>
        <v>16</v>
      </c>
      <c r="F132" s="85" t="s">
        <v>867</v>
      </c>
      <c r="G132" s="77">
        <v>913.25</v>
      </c>
      <c r="H132" s="5" t="s">
        <v>0</v>
      </c>
      <c r="I132" s="78">
        <f t="shared" ref="I132" si="76">IF(H132="C",(G132/100)*E132,IF(H132="M",(G132/1000)*E132,G132*E132))</f>
        <v>146.12</v>
      </c>
      <c r="J132" s="110">
        <f t="shared" ref="J132" si="77">$O$4</f>
        <v>75</v>
      </c>
      <c r="K132" s="4">
        <v>20</v>
      </c>
      <c r="L132" s="5" t="s">
        <v>0</v>
      </c>
      <c r="M132" s="80">
        <f t="shared" ref="M132" si="78">IF(L132="C",(K132/100)*E132,IF(L132="M",(K132/1000)*E132,K132*E132))</f>
        <v>3.2</v>
      </c>
      <c r="N132" s="78">
        <f t="shared" ref="N132" si="79">M132*J132</f>
        <v>240</v>
      </c>
      <c r="O132" s="188">
        <f t="shared" ref="O132" si="80">N132+I132</f>
        <v>386.12</v>
      </c>
      <c r="P132" s="164">
        <v>30</v>
      </c>
      <c r="Q132" s="164">
        <v>37.5</v>
      </c>
      <c r="R132" s="164">
        <v>45</v>
      </c>
      <c r="S132" s="4"/>
    </row>
    <row r="133" spans="1:19" x14ac:dyDescent="0.25">
      <c r="A133" s="150"/>
      <c r="B133" s="213" t="s">
        <v>1209</v>
      </c>
      <c r="C133" s="151">
        <f>C132</f>
        <v>16</v>
      </c>
      <c r="D133" s="152">
        <v>0</v>
      </c>
      <c r="E133" s="153">
        <f t="shared" ref="E133" si="81">C133+(C133*D133)</f>
        <v>16</v>
      </c>
      <c r="F133" s="3" t="s">
        <v>867</v>
      </c>
      <c r="G133" s="77">
        <v>129.99</v>
      </c>
      <c r="H133" s="5" t="s">
        <v>1</v>
      </c>
      <c r="I133" s="78">
        <f t="shared" si="73"/>
        <v>2079.84</v>
      </c>
      <c r="J133" s="154">
        <f t="shared" si="75"/>
        <v>75</v>
      </c>
      <c r="K133" s="4">
        <v>0.6</v>
      </c>
      <c r="L133" s="5" t="s">
        <v>1</v>
      </c>
      <c r="M133" s="80">
        <f t="shared" si="70"/>
        <v>9.6</v>
      </c>
      <c r="N133" s="78">
        <f t="shared" si="71"/>
        <v>720</v>
      </c>
      <c r="O133" s="188">
        <f t="shared" si="72"/>
        <v>2799.84</v>
      </c>
      <c r="P133" s="4">
        <v>0.8</v>
      </c>
      <c r="Q133" s="4">
        <v>1</v>
      </c>
      <c r="R133" s="4">
        <v>1.2</v>
      </c>
      <c r="S133" s="4"/>
    </row>
    <row r="134" spans="1:19" ht="15.75" thickBot="1" x14ac:dyDescent="0.3">
      <c r="A134" s="37"/>
      <c r="B134" s="211"/>
      <c r="C134" s="5"/>
      <c r="D134" s="7"/>
      <c r="E134" s="3"/>
      <c r="F134" s="3"/>
      <c r="G134" s="77" t="s">
        <v>1202</v>
      </c>
      <c r="H134" s="25"/>
      <c r="I134" s="78"/>
      <c r="J134" s="4"/>
      <c r="K134" s="4"/>
      <c r="L134" s="5"/>
      <c r="M134" s="80"/>
      <c r="N134" s="78"/>
      <c r="O134" s="188"/>
      <c r="P134" s="4"/>
      <c r="Q134" s="4"/>
      <c r="R134" s="4"/>
      <c r="S134" s="4"/>
    </row>
    <row r="135" spans="1:19" ht="16.5" thickBot="1" x14ac:dyDescent="0.3">
      <c r="A135" s="206">
        <v>20</v>
      </c>
      <c r="B135" s="251" t="s">
        <v>1210</v>
      </c>
      <c r="C135" s="208">
        <v>16</v>
      </c>
      <c r="D135" s="152">
        <v>0</v>
      </c>
      <c r="E135" s="153">
        <f>C135+(C135*D135)</f>
        <v>16</v>
      </c>
      <c r="F135" s="3" t="s">
        <v>867</v>
      </c>
      <c r="G135" s="77">
        <v>198.99</v>
      </c>
      <c r="H135" s="5" t="s">
        <v>1</v>
      </c>
      <c r="I135" s="78">
        <f t="shared" ref="I135" si="82">IF(H135="C",(G135/100)*E135,IF(H135="M",(G135/1000)*E135,G135*E135))</f>
        <v>3183.84</v>
      </c>
      <c r="J135" s="154">
        <f t="shared" ref="J135:J136" si="83">$O$4</f>
        <v>75</v>
      </c>
      <c r="K135" s="4">
        <v>0.8</v>
      </c>
      <c r="L135" s="5" t="s">
        <v>1</v>
      </c>
      <c r="M135" s="80">
        <f t="shared" ref="M135" si="84">IF(L135="C",(K135/100)*E135,IF(L135="M",(K135/1000)*E135,K135*E135))</f>
        <v>12.8</v>
      </c>
      <c r="N135" s="78">
        <f t="shared" ref="N135" si="85">M135*J135</f>
        <v>960</v>
      </c>
      <c r="O135" s="188">
        <f t="shared" ref="O135" si="86">N135+I135</f>
        <v>4143.84</v>
      </c>
      <c r="P135" s="4">
        <v>1</v>
      </c>
      <c r="Q135" s="4">
        <v>1.2</v>
      </c>
      <c r="R135" s="4">
        <v>1.5</v>
      </c>
      <c r="S135" s="4"/>
    </row>
    <row r="136" spans="1:19" s="168" customFormat="1" x14ac:dyDescent="0.25">
      <c r="A136" s="156"/>
      <c r="B136" s="213" t="s">
        <v>5</v>
      </c>
      <c r="C136" s="155">
        <f>2*C135</f>
        <v>32</v>
      </c>
      <c r="D136" s="157">
        <v>0</v>
      </c>
      <c r="E136" s="158">
        <f t="shared" ref="E136" si="87">C136+(C136*D136)</f>
        <v>32</v>
      </c>
      <c r="F136" s="159" t="s">
        <v>867</v>
      </c>
      <c r="G136" s="160">
        <v>913.25</v>
      </c>
      <c r="H136" s="161" t="s">
        <v>0</v>
      </c>
      <c r="I136" s="162">
        <f t="shared" ref="I136" si="88">IF(H136="C",(G136/100)*E136,IF(H136="M",(G136/1000)*E136,G136*E136))</f>
        <v>292.24</v>
      </c>
      <c r="J136" s="163">
        <f t="shared" si="83"/>
        <v>75</v>
      </c>
      <c r="K136" s="164">
        <v>20</v>
      </c>
      <c r="L136" s="155" t="s">
        <v>0</v>
      </c>
      <c r="M136" s="165">
        <f t="shared" ref="M136" si="89">IF(L136="C",(K136/100)*E136,IF(L136="M",(K136/1000)*E136,K136*E136))</f>
        <v>6.4</v>
      </c>
      <c r="N136" s="162">
        <f t="shared" ref="N136" si="90">M136*J136</f>
        <v>480</v>
      </c>
      <c r="O136" s="189">
        <f t="shared" ref="O136" si="91">N136+I136</f>
        <v>772.24</v>
      </c>
      <c r="P136" s="164">
        <v>30</v>
      </c>
      <c r="Q136" s="164">
        <v>37.5</v>
      </c>
      <c r="R136" s="164">
        <v>45</v>
      </c>
      <c r="S136" s="164">
        <v>137493</v>
      </c>
    </row>
    <row r="137" spans="1:19" ht="15.75" thickBot="1" x14ac:dyDescent="0.3">
      <c r="A137" s="150"/>
      <c r="B137" s="211"/>
      <c r="C137" s="151"/>
      <c r="D137" s="152"/>
      <c r="E137" s="153"/>
      <c r="F137" s="85"/>
      <c r="G137" s="77"/>
      <c r="H137" s="5"/>
      <c r="I137" s="78"/>
      <c r="J137" s="110"/>
      <c r="K137" s="4"/>
      <c r="L137" s="5"/>
      <c r="M137" s="80"/>
      <c r="N137" s="78"/>
      <c r="O137" s="188"/>
      <c r="P137" s="4"/>
      <c r="Q137" s="4"/>
      <c r="R137" s="4"/>
      <c r="S137" s="4"/>
    </row>
    <row r="138" spans="1:19" ht="16.5" thickBot="1" x14ac:dyDescent="0.3">
      <c r="A138" s="235">
        <v>23</v>
      </c>
      <c r="B138" s="251" t="s">
        <v>2629</v>
      </c>
      <c r="C138" s="151">
        <v>16</v>
      </c>
      <c r="D138" s="152">
        <v>0</v>
      </c>
      <c r="E138" s="153">
        <f>C138+(C138*D138)</f>
        <v>16</v>
      </c>
      <c r="F138" s="3" t="s">
        <v>867</v>
      </c>
      <c r="G138" s="77"/>
      <c r="H138" s="5" t="s">
        <v>1</v>
      </c>
      <c r="I138" s="78">
        <f>IF(H138="C",(G138/100)*E138,IF(H138="M",(G138/1000)*E138,G138*E138))</f>
        <v>0</v>
      </c>
      <c r="J138" s="154">
        <f t="shared" ref="J138:J140" si="92">$O$4</f>
        <v>75</v>
      </c>
      <c r="K138" s="4"/>
      <c r="L138" s="5" t="s">
        <v>1</v>
      </c>
      <c r="M138" s="80">
        <f>IF(L138="C",(K138/100)*E138,IF(L138="M",(K138/1000)*E138,K138*E138))</f>
        <v>0</v>
      </c>
      <c r="N138" s="78">
        <f>M138*J138</f>
        <v>0</v>
      </c>
      <c r="O138" s="111">
        <f>N138+I138</f>
        <v>0</v>
      </c>
      <c r="P138" s="4"/>
      <c r="Q138" s="4"/>
      <c r="R138" s="4"/>
      <c r="S138" s="4"/>
    </row>
    <row r="139" spans="1:19" s="168" customFormat="1" x14ac:dyDescent="0.25">
      <c r="A139" s="240"/>
      <c r="B139" s="249" t="s">
        <v>5</v>
      </c>
      <c r="C139" s="155">
        <f>2*C138</f>
        <v>32</v>
      </c>
      <c r="D139" s="157">
        <v>0</v>
      </c>
      <c r="E139" s="158">
        <f>C139+(C139*D139)</f>
        <v>32</v>
      </c>
      <c r="F139" s="250" t="s">
        <v>867</v>
      </c>
      <c r="G139" s="160">
        <v>913.25</v>
      </c>
      <c r="H139" s="161" t="s">
        <v>0</v>
      </c>
      <c r="I139" s="162">
        <f>IF(H139="C",(G139/100)*E139,IF(H139="M",(G139/1000)*E139,G139*E139))</f>
        <v>292.24</v>
      </c>
      <c r="J139" s="163">
        <f t="shared" si="92"/>
        <v>75</v>
      </c>
      <c r="K139" s="164">
        <v>20</v>
      </c>
      <c r="L139" s="155" t="s">
        <v>0</v>
      </c>
      <c r="M139" s="165">
        <f>IF(L139="C",(K139/100)*E139,IF(L139="M",(K139/1000)*E139,K139*E139))</f>
        <v>6.4</v>
      </c>
      <c r="N139" s="162">
        <f>M139*J139</f>
        <v>480</v>
      </c>
      <c r="O139" s="166">
        <f>N139+I139</f>
        <v>772.24</v>
      </c>
      <c r="P139" s="4">
        <v>30</v>
      </c>
      <c r="Q139" s="4">
        <v>37.5</v>
      </c>
      <c r="R139" s="4">
        <v>45</v>
      </c>
      <c r="S139" s="4">
        <v>137493</v>
      </c>
    </row>
    <row r="140" spans="1:19" x14ac:dyDescent="0.25">
      <c r="A140" s="235"/>
      <c r="B140" s="8" t="s">
        <v>1209</v>
      </c>
      <c r="C140" s="151">
        <f>C138</f>
        <v>16</v>
      </c>
      <c r="D140" s="152">
        <v>0</v>
      </c>
      <c r="E140" s="153">
        <f>C140+(C140*D140)</f>
        <v>16</v>
      </c>
      <c r="F140" s="3" t="s">
        <v>867</v>
      </c>
      <c r="G140" s="77">
        <v>248</v>
      </c>
      <c r="H140" s="5" t="s">
        <v>1</v>
      </c>
      <c r="I140" s="78">
        <f>IF(H140="C",(G140/100)*E140,IF(H140="M",(G140/1000)*E140,G140*E140))</f>
        <v>3968</v>
      </c>
      <c r="J140" s="154">
        <f t="shared" si="92"/>
        <v>75</v>
      </c>
      <c r="K140" s="4">
        <v>1</v>
      </c>
      <c r="L140" s="5" t="s">
        <v>1</v>
      </c>
      <c r="M140" s="80">
        <f>IF(L140="C",(K140/100)*E140,IF(L140="M",(K140/1000)*E140,K140*E140))</f>
        <v>16</v>
      </c>
      <c r="N140" s="78">
        <f>M140*J140</f>
        <v>1200</v>
      </c>
      <c r="O140" s="111">
        <f>N140+I140</f>
        <v>5168</v>
      </c>
      <c r="P140" s="4"/>
      <c r="Q140" s="4"/>
      <c r="R140" s="4"/>
      <c r="S140" s="4"/>
    </row>
    <row r="141" spans="1:19" ht="15.75" thickBot="1" x14ac:dyDescent="0.3">
      <c r="A141" s="235"/>
      <c r="B141" s="169"/>
      <c r="C141" s="151"/>
      <c r="D141" s="152"/>
      <c r="E141" s="153"/>
      <c r="F141" s="234"/>
      <c r="G141" s="77"/>
      <c r="H141" s="5"/>
      <c r="I141" s="78"/>
      <c r="J141" s="110"/>
      <c r="K141" s="4"/>
      <c r="L141" s="5"/>
      <c r="M141" s="80"/>
      <c r="N141" s="78"/>
      <c r="O141" s="111"/>
      <c r="P141" s="4"/>
      <c r="Q141" s="4"/>
      <c r="R141" s="4"/>
      <c r="S141" s="4"/>
    </row>
    <row r="142" spans="1:19" s="168" customFormat="1" ht="15.75" thickBot="1" x14ac:dyDescent="0.3">
      <c r="A142" s="186">
        <v>20</v>
      </c>
      <c r="B142" s="215" t="s">
        <v>1215</v>
      </c>
      <c r="C142" s="176">
        <v>10</v>
      </c>
      <c r="D142" s="157">
        <v>0</v>
      </c>
      <c r="E142" s="158">
        <f t="shared" ref="E142:E147" si="93">C142+(C142*D142)</f>
        <v>10</v>
      </c>
      <c r="F142" s="185" t="s">
        <v>867</v>
      </c>
      <c r="G142" s="160">
        <v>2512</v>
      </c>
      <c r="H142" s="161" t="s">
        <v>0</v>
      </c>
      <c r="I142" s="162">
        <f t="shared" ref="I142:I147" si="94">IF(H142="C",(G142/100)*E142,IF(H142="M",(G142/1000)*E142,G142*E142))</f>
        <v>251.20000000000002</v>
      </c>
      <c r="J142" s="163">
        <f t="shared" ref="J142:J161" si="95">$O$4</f>
        <v>75</v>
      </c>
      <c r="K142" s="164">
        <v>20</v>
      </c>
      <c r="L142" s="155" t="s">
        <v>0</v>
      </c>
      <c r="M142" s="165">
        <f t="shared" ref="M142:M147" si="96">IF(L142="C",(K142/100)*E142,IF(L142="M",(K142/1000)*E142,K142*E142))</f>
        <v>2</v>
      </c>
      <c r="N142" s="162">
        <f t="shared" ref="N142:N147" si="97">M142*J142</f>
        <v>150</v>
      </c>
      <c r="O142" s="166">
        <f t="shared" ref="O142:O147" si="98">N142+I142</f>
        <v>401.20000000000005</v>
      </c>
      <c r="P142" s="164">
        <v>30</v>
      </c>
      <c r="Q142" s="164">
        <v>37.5</v>
      </c>
      <c r="R142" s="164">
        <v>45</v>
      </c>
      <c r="S142" s="167"/>
    </row>
    <row r="143" spans="1:19" s="168" customFormat="1" x14ac:dyDescent="0.25">
      <c r="A143" s="187"/>
      <c r="B143" s="213" t="s">
        <v>860</v>
      </c>
      <c r="C143" s="5">
        <f>C142</f>
        <v>10</v>
      </c>
      <c r="D143" s="7">
        <v>0</v>
      </c>
      <c r="E143" s="3">
        <f t="shared" si="93"/>
        <v>10</v>
      </c>
      <c r="F143" s="85" t="s">
        <v>867</v>
      </c>
      <c r="G143" s="77">
        <v>404.23</v>
      </c>
      <c r="H143" s="5" t="s">
        <v>0</v>
      </c>
      <c r="I143" s="78">
        <f t="shared" si="94"/>
        <v>40.423000000000002</v>
      </c>
      <c r="J143" s="110">
        <f t="shared" si="95"/>
        <v>75</v>
      </c>
      <c r="K143" s="4">
        <v>23</v>
      </c>
      <c r="L143" s="5" t="s">
        <v>0</v>
      </c>
      <c r="M143" s="80">
        <f t="shared" si="96"/>
        <v>2.3000000000000003</v>
      </c>
      <c r="N143" s="78">
        <f t="shared" si="97"/>
        <v>172.50000000000003</v>
      </c>
      <c r="O143" s="111">
        <f t="shared" si="98"/>
        <v>212.92300000000003</v>
      </c>
      <c r="P143" s="164">
        <v>30</v>
      </c>
      <c r="Q143" s="164">
        <v>35</v>
      </c>
      <c r="R143" s="164">
        <v>40</v>
      </c>
      <c r="S143" s="167"/>
    </row>
    <row r="144" spans="1:19" s="168" customFormat="1" x14ac:dyDescent="0.25">
      <c r="A144" s="187"/>
      <c r="B144" s="24" t="s">
        <v>2</v>
      </c>
      <c r="C144" s="5">
        <f>C142</f>
        <v>10</v>
      </c>
      <c r="D144" s="7">
        <v>0</v>
      </c>
      <c r="E144" s="3">
        <f t="shared" si="93"/>
        <v>10</v>
      </c>
      <c r="F144" s="85" t="s">
        <v>867</v>
      </c>
      <c r="G144" s="77">
        <v>258.01</v>
      </c>
      <c r="H144" s="5" t="s">
        <v>0</v>
      </c>
      <c r="I144" s="78">
        <f t="shared" si="94"/>
        <v>25.800999999999998</v>
      </c>
      <c r="J144" s="110">
        <f t="shared" si="95"/>
        <v>75</v>
      </c>
      <c r="K144" s="4">
        <v>2.5</v>
      </c>
      <c r="L144" s="5" t="s">
        <v>0</v>
      </c>
      <c r="M144" s="80">
        <f t="shared" si="96"/>
        <v>0.25</v>
      </c>
      <c r="N144" s="78">
        <f t="shared" si="97"/>
        <v>18.75</v>
      </c>
      <c r="O144" s="111">
        <f t="shared" si="98"/>
        <v>44.551000000000002</v>
      </c>
      <c r="P144" s="164">
        <v>15</v>
      </c>
      <c r="Q144" s="164">
        <v>20</v>
      </c>
      <c r="R144" s="164">
        <v>25</v>
      </c>
      <c r="S144" s="167"/>
    </row>
    <row r="145" spans="1:19" s="168" customFormat="1" x14ac:dyDescent="0.25">
      <c r="A145" s="187"/>
      <c r="B145" s="24" t="s">
        <v>3</v>
      </c>
      <c r="C145" s="5">
        <f>C142</f>
        <v>10</v>
      </c>
      <c r="D145" s="7">
        <v>0</v>
      </c>
      <c r="E145" s="3">
        <f t="shared" si="93"/>
        <v>10</v>
      </c>
      <c r="F145" s="85" t="s">
        <v>867</v>
      </c>
      <c r="G145" s="77">
        <v>138.57</v>
      </c>
      <c r="H145" s="5" t="s">
        <v>0</v>
      </c>
      <c r="I145" s="78">
        <f t="shared" si="94"/>
        <v>13.856999999999999</v>
      </c>
      <c r="J145" s="110">
        <f t="shared" si="95"/>
        <v>75</v>
      </c>
      <c r="K145" s="4">
        <v>3</v>
      </c>
      <c r="L145" s="5" t="s">
        <v>0</v>
      </c>
      <c r="M145" s="80">
        <f t="shared" si="96"/>
        <v>0.3</v>
      </c>
      <c r="N145" s="78">
        <f t="shared" si="97"/>
        <v>22.5</v>
      </c>
      <c r="O145" s="111">
        <f t="shared" si="98"/>
        <v>36.356999999999999</v>
      </c>
      <c r="P145" s="164">
        <v>6</v>
      </c>
      <c r="Q145" s="164">
        <v>8</v>
      </c>
      <c r="R145" s="164">
        <v>10</v>
      </c>
      <c r="S145" s="167"/>
    </row>
    <row r="146" spans="1:19" s="168" customFormat="1" x14ac:dyDescent="0.25">
      <c r="A146" s="187"/>
      <c r="B146" s="24" t="s">
        <v>1160</v>
      </c>
      <c r="C146" s="5">
        <f>C142*2</f>
        <v>20</v>
      </c>
      <c r="D146" s="7">
        <v>0</v>
      </c>
      <c r="E146" s="3">
        <f t="shared" si="93"/>
        <v>20</v>
      </c>
      <c r="F146" s="85" t="s">
        <v>867</v>
      </c>
      <c r="G146" s="77">
        <v>10.75</v>
      </c>
      <c r="H146" s="5" t="s">
        <v>0</v>
      </c>
      <c r="I146" s="78">
        <f t="shared" si="94"/>
        <v>2.15</v>
      </c>
      <c r="J146" s="110">
        <f t="shared" si="95"/>
        <v>75</v>
      </c>
      <c r="K146" s="4">
        <v>2.8</v>
      </c>
      <c r="L146" s="5" t="s">
        <v>0</v>
      </c>
      <c r="M146" s="80">
        <f t="shared" si="96"/>
        <v>0.55999999999999994</v>
      </c>
      <c r="N146" s="78">
        <f t="shared" si="97"/>
        <v>41.999999999999993</v>
      </c>
      <c r="O146" s="111">
        <f t="shared" si="98"/>
        <v>44.149999999999991</v>
      </c>
      <c r="P146" s="164">
        <v>3.1</v>
      </c>
      <c r="Q146" s="164">
        <v>3.88</v>
      </c>
      <c r="R146" s="164">
        <v>4.84</v>
      </c>
      <c r="S146" s="167"/>
    </row>
    <row r="147" spans="1:19" s="168" customFormat="1" x14ac:dyDescent="0.25">
      <c r="A147" s="187"/>
      <c r="B147" s="24" t="s">
        <v>4</v>
      </c>
      <c r="C147" s="5">
        <f>C142</f>
        <v>10</v>
      </c>
      <c r="D147" s="7">
        <v>0</v>
      </c>
      <c r="E147" s="3">
        <f t="shared" si="93"/>
        <v>10</v>
      </c>
      <c r="F147" s="85" t="s">
        <v>867</v>
      </c>
      <c r="G147" s="77">
        <v>49.82</v>
      </c>
      <c r="H147" s="5" t="s">
        <v>0</v>
      </c>
      <c r="I147" s="78">
        <f t="shared" si="94"/>
        <v>4.9819999999999993</v>
      </c>
      <c r="J147" s="110">
        <f t="shared" si="95"/>
        <v>75</v>
      </c>
      <c r="K147" s="4">
        <v>2.7</v>
      </c>
      <c r="L147" s="5" t="s">
        <v>0</v>
      </c>
      <c r="M147" s="80">
        <f t="shared" si="96"/>
        <v>0.27</v>
      </c>
      <c r="N147" s="78">
        <f t="shared" si="97"/>
        <v>20.25</v>
      </c>
      <c r="O147" s="111">
        <f t="shared" si="98"/>
        <v>25.231999999999999</v>
      </c>
      <c r="P147" s="164">
        <v>10</v>
      </c>
      <c r="Q147" s="164">
        <v>12.5</v>
      </c>
      <c r="R147" s="164">
        <v>15</v>
      </c>
      <c r="S147" s="167"/>
    </row>
    <row r="148" spans="1:19" s="168" customFormat="1" ht="15.75" thickBot="1" x14ac:dyDescent="0.3">
      <c r="A148" s="187"/>
      <c r="B148" s="211"/>
      <c r="C148" s="155"/>
      <c r="D148" s="157"/>
      <c r="E148" s="158"/>
      <c r="F148" s="185"/>
      <c r="G148" s="147"/>
      <c r="H148" s="155"/>
      <c r="I148" s="162"/>
      <c r="J148" s="163"/>
      <c r="K148" s="164"/>
      <c r="L148" s="155"/>
      <c r="M148" s="165"/>
      <c r="N148" s="162"/>
      <c r="O148" s="166"/>
      <c r="P148" s="164"/>
      <c r="Q148" s="164"/>
      <c r="R148" s="164"/>
      <c r="S148" s="167"/>
    </row>
    <row r="149" spans="1:19" s="168" customFormat="1" ht="15.75" thickBot="1" x14ac:dyDescent="0.3">
      <c r="A149" s="186">
        <v>21</v>
      </c>
      <c r="B149" s="215" t="s">
        <v>1216</v>
      </c>
      <c r="C149" s="176">
        <v>10</v>
      </c>
      <c r="D149" s="157">
        <v>0</v>
      </c>
      <c r="E149" s="158">
        <f t="shared" ref="E149:E154" si="99">C149+(C149*D149)</f>
        <v>10</v>
      </c>
      <c r="F149" s="185" t="s">
        <v>867</v>
      </c>
      <c r="G149" s="160">
        <v>3395</v>
      </c>
      <c r="H149" s="161" t="s">
        <v>0</v>
      </c>
      <c r="I149" s="162">
        <f t="shared" ref="I149:I154" si="100">IF(H149="C",(G149/100)*E149,IF(H149="M",(G149/1000)*E149,G149*E149))</f>
        <v>339.5</v>
      </c>
      <c r="J149" s="163">
        <f t="shared" si="95"/>
        <v>75</v>
      </c>
      <c r="K149" s="164">
        <v>20</v>
      </c>
      <c r="L149" s="155" t="s">
        <v>0</v>
      </c>
      <c r="M149" s="165">
        <f t="shared" ref="M149:M154" si="101">IF(L149="C",(K149/100)*E149,IF(L149="M",(K149/1000)*E149,K149*E149))</f>
        <v>2</v>
      </c>
      <c r="N149" s="162">
        <f t="shared" ref="N149:N154" si="102">M149*J149</f>
        <v>150</v>
      </c>
      <c r="O149" s="166">
        <f t="shared" ref="O149:O154" si="103">N149+I149</f>
        <v>489.5</v>
      </c>
      <c r="P149" s="164">
        <v>30</v>
      </c>
      <c r="Q149" s="164">
        <v>37.5</v>
      </c>
      <c r="R149" s="164">
        <v>45</v>
      </c>
      <c r="S149" s="167"/>
    </row>
    <row r="150" spans="1:19" s="168" customFormat="1" x14ac:dyDescent="0.25">
      <c r="A150" s="187"/>
      <c r="B150" s="213" t="s">
        <v>860</v>
      </c>
      <c r="C150" s="5">
        <f>C149</f>
        <v>10</v>
      </c>
      <c r="D150" s="7">
        <v>0</v>
      </c>
      <c r="E150" s="3">
        <f t="shared" si="99"/>
        <v>10</v>
      </c>
      <c r="F150" s="85" t="s">
        <v>867</v>
      </c>
      <c r="G150" s="77">
        <v>404.23</v>
      </c>
      <c r="H150" s="5" t="s">
        <v>0</v>
      </c>
      <c r="I150" s="78">
        <f t="shared" si="100"/>
        <v>40.423000000000002</v>
      </c>
      <c r="J150" s="110">
        <f t="shared" si="95"/>
        <v>75</v>
      </c>
      <c r="K150" s="4">
        <v>23</v>
      </c>
      <c r="L150" s="5" t="s">
        <v>0</v>
      </c>
      <c r="M150" s="80">
        <f t="shared" si="101"/>
        <v>2.3000000000000003</v>
      </c>
      <c r="N150" s="78">
        <f t="shared" si="102"/>
        <v>172.50000000000003</v>
      </c>
      <c r="O150" s="111">
        <f t="shared" si="103"/>
        <v>212.92300000000003</v>
      </c>
      <c r="P150" s="164">
        <v>30</v>
      </c>
      <c r="Q150" s="164">
        <v>35</v>
      </c>
      <c r="R150" s="164">
        <v>40</v>
      </c>
      <c r="S150" s="167"/>
    </row>
    <row r="151" spans="1:19" s="168" customFormat="1" x14ac:dyDescent="0.25">
      <c r="A151" s="187"/>
      <c r="B151" s="24" t="s">
        <v>2</v>
      </c>
      <c r="C151" s="5">
        <f>C149</f>
        <v>10</v>
      </c>
      <c r="D151" s="7">
        <v>0</v>
      </c>
      <c r="E151" s="3">
        <f t="shared" si="99"/>
        <v>10</v>
      </c>
      <c r="F151" s="85" t="s">
        <v>867</v>
      </c>
      <c r="G151" s="77">
        <v>258.01</v>
      </c>
      <c r="H151" s="5" t="s">
        <v>0</v>
      </c>
      <c r="I151" s="78">
        <f t="shared" si="100"/>
        <v>25.800999999999998</v>
      </c>
      <c r="J151" s="110">
        <f t="shared" si="95"/>
        <v>75</v>
      </c>
      <c r="K151" s="4">
        <v>2.5</v>
      </c>
      <c r="L151" s="5" t="s">
        <v>0</v>
      </c>
      <c r="M151" s="80">
        <f t="shared" si="101"/>
        <v>0.25</v>
      </c>
      <c r="N151" s="78">
        <f t="shared" si="102"/>
        <v>18.75</v>
      </c>
      <c r="O151" s="111">
        <f t="shared" si="103"/>
        <v>44.551000000000002</v>
      </c>
      <c r="P151" s="164">
        <v>15</v>
      </c>
      <c r="Q151" s="164">
        <v>20</v>
      </c>
      <c r="R151" s="164">
        <v>25</v>
      </c>
      <c r="S151" s="167"/>
    </row>
    <row r="152" spans="1:19" s="168" customFormat="1" x14ac:dyDescent="0.25">
      <c r="A152" s="187"/>
      <c r="B152" s="24" t="s">
        <v>3</v>
      </c>
      <c r="C152" s="5">
        <f>C149</f>
        <v>10</v>
      </c>
      <c r="D152" s="7">
        <v>0</v>
      </c>
      <c r="E152" s="3">
        <f t="shared" si="99"/>
        <v>10</v>
      </c>
      <c r="F152" s="85" t="s">
        <v>867</v>
      </c>
      <c r="G152" s="77">
        <v>138.57</v>
      </c>
      <c r="H152" s="5" t="s">
        <v>0</v>
      </c>
      <c r="I152" s="78">
        <f t="shared" si="100"/>
        <v>13.856999999999999</v>
      </c>
      <c r="J152" s="110">
        <f t="shared" si="95"/>
        <v>75</v>
      </c>
      <c r="K152" s="4">
        <v>3</v>
      </c>
      <c r="L152" s="5" t="s">
        <v>0</v>
      </c>
      <c r="M152" s="80">
        <f t="shared" si="101"/>
        <v>0.3</v>
      </c>
      <c r="N152" s="78">
        <f t="shared" si="102"/>
        <v>22.5</v>
      </c>
      <c r="O152" s="111">
        <f t="shared" si="103"/>
        <v>36.356999999999999</v>
      </c>
      <c r="P152" s="164">
        <v>6</v>
      </c>
      <c r="Q152" s="164">
        <v>8</v>
      </c>
      <c r="R152" s="164">
        <v>10</v>
      </c>
      <c r="S152" s="167"/>
    </row>
    <row r="153" spans="1:19" s="168" customFormat="1" x14ac:dyDescent="0.25">
      <c r="A153" s="187"/>
      <c r="B153" s="24" t="s">
        <v>1160</v>
      </c>
      <c r="C153" s="5">
        <f>C149*2</f>
        <v>20</v>
      </c>
      <c r="D153" s="7">
        <v>0</v>
      </c>
      <c r="E153" s="3">
        <f t="shared" si="99"/>
        <v>20</v>
      </c>
      <c r="F153" s="85" t="s">
        <v>867</v>
      </c>
      <c r="G153" s="77">
        <v>10.75</v>
      </c>
      <c r="H153" s="5" t="s">
        <v>0</v>
      </c>
      <c r="I153" s="78">
        <f t="shared" si="100"/>
        <v>2.15</v>
      </c>
      <c r="J153" s="110">
        <f t="shared" si="95"/>
        <v>75</v>
      </c>
      <c r="K153" s="4">
        <v>2.8</v>
      </c>
      <c r="L153" s="5" t="s">
        <v>0</v>
      </c>
      <c r="M153" s="80">
        <f t="shared" si="101"/>
        <v>0.55999999999999994</v>
      </c>
      <c r="N153" s="78">
        <f t="shared" si="102"/>
        <v>41.999999999999993</v>
      </c>
      <c r="O153" s="111">
        <f t="shared" si="103"/>
        <v>44.149999999999991</v>
      </c>
      <c r="P153" s="164">
        <v>3.1</v>
      </c>
      <c r="Q153" s="164">
        <v>3.88</v>
      </c>
      <c r="R153" s="164">
        <v>4.84</v>
      </c>
      <c r="S153" s="167"/>
    </row>
    <row r="154" spans="1:19" s="168" customFormat="1" x14ac:dyDescent="0.25">
      <c r="A154" s="187"/>
      <c r="B154" s="24" t="s">
        <v>4</v>
      </c>
      <c r="C154" s="5">
        <f>C149</f>
        <v>10</v>
      </c>
      <c r="D154" s="7">
        <v>0</v>
      </c>
      <c r="E154" s="3">
        <f t="shared" si="99"/>
        <v>10</v>
      </c>
      <c r="F154" s="85" t="s">
        <v>867</v>
      </c>
      <c r="G154" s="77">
        <v>49.82</v>
      </c>
      <c r="H154" s="5" t="s">
        <v>0</v>
      </c>
      <c r="I154" s="78">
        <f t="shared" si="100"/>
        <v>4.9819999999999993</v>
      </c>
      <c r="J154" s="110">
        <f t="shared" si="95"/>
        <v>75</v>
      </c>
      <c r="K154" s="4">
        <v>2.7</v>
      </c>
      <c r="L154" s="5" t="s">
        <v>0</v>
      </c>
      <c r="M154" s="80">
        <f t="shared" si="101"/>
        <v>0.27</v>
      </c>
      <c r="N154" s="78">
        <f t="shared" si="102"/>
        <v>20.25</v>
      </c>
      <c r="O154" s="111">
        <f t="shared" si="103"/>
        <v>25.231999999999999</v>
      </c>
      <c r="P154" s="164">
        <v>10</v>
      </c>
      <c r="Q154" s="164">
        <v>12.5</v>
      </c>
      <c r="R154" s="164">
        <v>15</v>
      </c>
      <c r="S154" s="167"/>
    </row>
    <row r="155" spans="1:19" s="168" customFormat="1" ht="15.75" thickBot="1" x14ac:dyDescent="0.3">
      <c r="A155" s="187"/>
      <c r="B155" s="211"/>
      <c r="C155" s="155"/>
      <c r="D155" s="157"/>
      <c r="E155" s="158"/>
      <c r="F155" s="185"/>
      <c r="G155" s="147"/>
      <c r="H155" s="155"/>
      <c r="I155" s="162"/>
      <c r="J155" s="163"/>
      <c r="K155" s="164"/>
      <c r="L155" s="155"/>
      <c r="M155" s="165"/>
      <c r="N155" s="162"/>
      <c r="O155" s="166"/>
      <c r="P155" s="164"/>
      <c r="Q155" s="164"/>
      <c r="R155" s="164"/>
      <c r="S155" s="167"/>
    </row>
    <row r="156" spans="1:19" s="168" customFormat="1" ht="15.75" thickBot="1" x14ac:dyDescent="0.3">
      <c r="A156" s="186">
        <v>22</v>
      </c>
      <c r="B156" s="215" t="s">
        <v>1217</v>
      </c>
      <c r="C156" s="176">
        <v>10</v>
      </c>
      <c r="D156" s="157">
        <v>0</v>
      </c>
      <c r="E156" s="158">
        <f t="shared" ref="E156:E161" si="104">C156+(C156*D156)</f>
        <v>10</v>
      </c>
      <c r="F156" s="185" t="s">
        <v>867</v>
      </c>
      <c r="G156" s="160">
        <v>4950</v>
      </c>
      <c r="H156" s="161" t="s">
        <v>0</v>
      </c>
      <c r="I156" s="162">
        <f t="shared" ref="I156:I161" si="105">IF(H156="C",(G156/100)*E156,IF(H156="M",(G156/1000)*E156,G156*E156))</f>
        <v>495</v>
      </c>
      <c r="J156" s="163">
        <f t="shared" si="95"/>
        <v>75</v>
      </c>
      <c r="K156" s="164">
        <v>25</v>
      </c>
      <c r="L156" s="155" t="s">
        <v>0</v>
      </c>
      <c r="M156" s="165">
        <f t="shared" ref="M156:M161" si="106">IF(L156="C",(K156/100)*E156,IF(L156="M",(K156/1000)*E156,K156*E156))</f>
        <v>2.5</v>
      </c>
      <c r="N156" s="162">
        <f t="shared" ref="N156:N161" si="107">M156*J156</f>
        <v>187.5</v>
      </c>
      <c r="O156" s="166">
        <f t="shared" ref="O156:O161" si="108">N156+I156</f>
        <v>682.5</v>
      </c>
      <c r="P156" s="164">
        <v>35</v>
      </c>
      <c r="Q156" s="164">
        <v>40</v>
      </c>
      <c r="R156" s="164">
        <v>45</v>
      </c>
      <c r="S156" s="167"/>
    </row>
    <row r="157" spans="1:19" s="168" customFormat="1" x14ac:dyDescent="0.25">
      <c r="A157" s="187"/>
      <c r="B157" s="213" t="s">
        <v>860</v>
      </c>
      <c r="C157" s="5">
        <f>C156</f>
        <v>10</v>
      </c>
      <c r="D157" s="7">
        <v>0</v>
      </c>
      <c r="E157" s="3">
        <f t="shared" si="104"/>
        <v>10</v>
      </c>
      <c r="F157" s="85" t="s">
        <v>867</v>
      </c>
      <c r="G157" s="77">
        <v>404.23</v>
      </c>
      <c r="H157" s="5" t="s">
        <v>0</v>
      </c>
      <c r="I157" s="78">
        <f t="shared" si="105"/>
        <v>40.423000000000002</v>
      </c>
      <c r="J157" s="110">
        <f t="shared" si="95"/>
        <v>75</v>
      </c>
      <c r="K157" s="4">
        <v>23</v>
      </c>
      <c r="L157" s="5" t="s">
        <v>0</v>
      </c>
      <c r="M157" s="80">
        <f t="shared" si="106"/>
        <v>2.3000000000000003</v>
      </c>
      <c r="N157" s="78">
        <f t="shared" si="107"/>
        <v>172.50000000000003</v>
      </c>
      <c r="O157" s="111">
        <f t="shared" si="108"/>
        <v>212.92300000000003</v>
      </c>
      <c r="P157" s="164">
        <v>30</v>
      </c>
      <c r="Q157" s="164">
        <v>35</v>
      </c>
      <c r="R157" s="164">
        <v>40</v>
      </c>
      <c r="S157" s="167"/>
    </row>
    <row r="158" spans="1:19" s="168" customFormat="1" x14ac:dyDescent="0.25">
      <c r="A158" s="187"/>
      <c r="B158" s="24" t="s">
        <v>2</v>
      </c>
      <c r="C158" s="5">
        <f>C156</f>
        <v>10</v>
      </c>
      <c r="D158" s="7">
        <v>0</v>
      </c>
      <c r="E158" s="3">
        <f t="shared" si="104"/>
        <v>10</v>
      </c>
      <c r="F158" s="85" t="s">
        <v>867</v>
      </c>
      <c r="G158" s="77">
        <v>258.01</v>
      </c>
      <c r="H158" s="5" t="s">
        <v>0</v>
      </c>
      <c r="I158" s="78">
        <f t="shared" si="105"/>
        <v>25.800999999999998</v>
      </c>
      <c r="J158" s="110">
        <f t="shared" si="95"/>
        <v>75</v>
      </c>
      <c r="K158" s="4">
        <v>2.5</v>
      </c>
      <c r="L158" s="5" t="s">
        <v>0</v>
      </c>
      <c r="M158" s="80">
        <f t="shared" si="106"/>
        <v>0.25</v>
      </c>
      <c r="N158" s="78">
        <f t="shared" si="107"/>
        <v>18.75</v>
      </c>
      <c r="O158" s="111">
        <f t="shared" si="108"/>
        <v>44.551000000000002</v>
      </c>
      <c r="P158" s="164">
        <v>15</v>
      </c>
      <c r="Q158" s="164">
        <v>20</v>
      </c>
      <c r="R158" s="164">
        <v>25</v>
      </c>
      <c r="S158" s="167"/>
    </row>
    <row r="159" spans="1:19" s="168" customFormat="1" x14ac:dyDescent="0.25">
      <c r="A159" s="187"/>
      <c r="B159" s="24" t="s">
        <v>3</v>
      </c>
      <c r="C159" s="5">
        <f>C156</f>
        <v>10</v>
      </c>
      <c r="D159" s="7">
        <v>0</v>
      </c>
      <c r="E159" s="3">
        <f t="shared" si="104"/>
        <v>10</v>
      </c>
      <c r="F159" s="85" t="s">
        <v>867</v>
      </c>
      <c r="G159" s="77">
        <v>138.57</v>
      </c>
      <c r="H159" s="5" t="s">
        <v>0</v>
      </c>
      <c r="I159" s="78">
        <f t="shared" si="105"/>
        <v>13.856999999999999</v>
      </c>
      <c r="J159" s="110">
        <f t="shared" si="95"/>
        <v>75</v>
      </c>
      <c r="K159" s="4">
        <v>3</v>
      </c>
      <c r="L159" s="5" t="s">
        <v>0</v>
      </c>
      <c r="M159" s="80">
        <f t="shared" si="106"/>
        <v>0.3</v>
      </c>
      <c r="N159" s="78">
        <f t="shared" si="107"/>
        <v>22.5</v>
      </c>
      <c r="O159" s="111">
        <f t="shared" si="108"/>
        <v>36.356999999999999</v>
      </c>
      <c r="P159" s="164">
        <v>6</v>
      </c>
      <c r="Q159" s="164">
        <v>8</v>
      </c>
      <c r="R159" s="164">
        <v>10</v>
      </c>
      <c r="S159" s="167"/>
    </row>
    <row r="160" spans="1:19" s="168" customFormat="1" x14ac:dyDescent="0.25">
      <c r="A160" s="187"/>
      <c r="B160" s="24" t="s">
        <v>1160</v>
      </c>
      <c r="C160" s="5">
        <f>C156*2</f>
        <v>20</v>
      </c>
      <c r="D160" s="7">
        <v>0</v>
      </c>
      <c r="E160" s="3">
        <f t="shared" si="104"/>
        <v>20</v>
      </c>
      <c r="F160" s="85" t="s">
        <v>867</v>
      </c>
      <c r="G160" s="77">
        <v>10.75</v>
      </c>
      <c r="H160" s="5" t="s">
        <v>0</v>
      </c>
      <c r="I160" s="78">
        <f t="shared" si="105"/>
        <v>2.15</v>
      </c>
      <c r="J160" s="110">
        <f t="shared" si="95"/>
        <v>75</v>
      </c>
      <c r="K160" s="4">
        <v>2.8</v>
      </c>
      <c r="L160" s="5" t="s">
        <v>0</v>
      </c>
      <c r="M160" s="80">
        <f t="shared" si="106"/>
        <v>0.55999999999999994</v>
      </c>
      <c r="N160" s="78">
        <f t="shared" si="107"/>
        <v>41.999999999999993</v>
      </c>
      <c r="O160" s="111">
        <f t="shared" si="108"/>
        <v>44.149999999999991</v>
      </c>
      <c r="P160" s="164">
        <v>3.1</v>
      </c>
      <c r="Q160" s="164">
        <v>3.88</v>
      </c>
      <c r="R160" s="164">
        <v>4.84</v>
      </c>
      <c r="S160" s="167"/>
    </row>
    <row r="161" spans="1:19" s="168" customFormat="1" x14ac:dyDescent="0.25">
      <c r="A161" s="187"/>
      <c r="B161" s="24" t="s">
        <v>4</v>
      </c>
      <c r="C161" s="5">
        <f>C156</f>
        <v>10</v>
      </c>
      <c r="D161" s="7">
        <v>0</v>
      </c>
      <c r="E161" s="3">
        <f t="shared" si="104"/>
        <v>10</v>
      </c>
      <c r="F161" s="85" t="s">
        <v>867</v>
      </c>
      <c r="G161" s="77">
        <v>49.82</v>
      </c>
      <c r="H161" s="5" t="s">
        <v>0</v>
      </c>
      <c r="I161" s="78">
        <f t="shared" si="105"/>
        <v>4.9819999999999993</v>
      </c>
      <c r="J161" s="110">
        <f t="shared" si="95"/>
        <v>75</v>
      </c>
      <c r="K161" s="4">
        <v>2.7</v>
      </c>
      <c r="L161" s="5" t="s">
        <v>0</v>
      </c>
      <c r="M161" s="80">
        <f t="shared" si="106"/>
        <v>0.27</v>
      </c>
      <c r="N161" s="78">
        <f t="shared" si="107"/>
        <v>20.25</v>
      </c>
      <c r="O161" s="111">
        <f t="shared" si="108"/>
        <v>25.231999999999999</v>
      </c>
      <c r="P161" s="164">
        <v>10</v>
      </c>
      <c r="Q161" s="164">
        <v>12.5</v>
      </c>
      <c r="R161" s="164">
        <v>15</v>
      </c>
      <c r="S161" s="167"/>
    </row>
    <row r="162" spans="1:19" s="168" customFormat="1" ht="15.75" thickBot="1" x14ac:dyDescent="0.3">
      <c r="A162" s="187"/>
      <c r="B162" s="211"/>
      <c r="C162" s="155"/>
      <c r="D162" s="157"/>
      <c r="E162" s="158"/>
      <c r="F162" s="185"/>
      <c r="G162" s="147"/>
      <c r="H162" s="155"/>
      <c r="I162" s="162"/>
      <c r="J162" s="163"/>
      <c r="K162" s="164"/>
      <c r="L162" s="155"/>
      <c r="M162" s="165"/>
      <c r="N162" s="162"/>
      <c r="O162" s="166"/>
      <c r="P162" s="164"/>
      <c r="Q162" s="164"/>
      <c r="R162" s="164"/>
      <c r="S162" s="167"/>
    </row>
    <row r="163" spans="1:19" s="168" customFormat="1" ht="15.75" thickBot="1" x14ac:dyDescent="0.3">
      <c r="A163" s="186">
        <v>23</v>
      </c>
      <c r="B163" s="215" t="s">
        <v>1218</v>
      </c>
      <c r="C163" s="176">
        <v>10</v>
      </c>
      <c r="D163" s="157">
        <v>0</v>
      </c>
      <c r="E163" s="158">
        <f t="shared" ref="E163:E168" si="109">C163+(C163*D163)</f>
        <v>10</v>
      </c>
      <c r="F163" s="185" t="s">
        <v>867</v>
      </c>
      <c r="G163" s="160">
        <v>1336.52</v>
      </c>
      <c r="H163" s="161" t="s">
        <v>0</v>
      </c>
      <c r="I163" s="162">
        <f t="shared" ref="I163:I168" si="110">IF(H163="C",(G163/100)*E163,IF(H163="M",(G163/1000)*E163,G163*E163))</f>
        <v>133.65199999999999</v>
      </c>
      <c r="J163" s="163">
        <f t="shared" ref="J163:J175" si="111">$O$4</f>
        <v>75</v>
      </c>
      <c r="K163" s="164">
        <v>20</v>
      </c>
      <c r="L163" s="155" t="s">
        <v>0</v>
      </c>
      <c r="M163" s="165">
        <f t="shared" ref="M163:M168" si="112">IF(L163="C",(K163/100)*E163,IF(L163="M",(K163/1000)*E163,K163*E163))</f>
        <v>2</v>
      </c>
      <c r="N163" s="162">
        <f t="shared" ref="N163:N168" si="113">M163*J163</f>
        <v>150</v>
      </c>
      <c r="O163" s="166">
        <f t="shared" ref="O163:O168" si="114">N163+I163</f>
        <v>283.65199999999999</v>
      </c>
      <c r="P163" s="164">
        <v>30</v>
      </c>
      <c r="Q163" s="164">
        <v>37.5</v>
      </c>
      <c r="R163" s="164">
        <v>45</v>
      </c>
      <c r="S163" s="167"/>
    </row>
    <row r="164" spans="1:19" s="168" customFormat="1" x14ac:dyDescent="0.25">
      <c r="A164" s="187"/>
      <c r="B164" s="213" t="s">
        <v>860</v>
      </c>
      <c r="C164" s="5">
        <f>C163</f>
        <v>10</v>
      </c>
      <c r="D164" s="7">
        <v>0</v>
      </c>
      <c r="E164" s="3">
        <f t="shared" si="109"/>
        <v>10</v>
      </c>
      <c r="F164" s="85" t="s">
        <v>867</v>
      </c>
      <c r="G164" s="77">
        <v>404.23</v>
      </c>
      <c r="H164" s="5" t="s">
        <v>0</v>
      </c>
      <c r="I164" s="78">
        <f t="shared" si="110"/>
        <v>40.423000000000002</v>
      </c>
      <c r="J164" s="110">
        <f t="shared" si="111"/>
        <v>75</v>
      </c>
      <c r="K164" s="4">
        <v>23</v>
      </c>
      <c r="L164" s="5" t="s">
        <v>0</v>
      </c>
      <c r="M164" s="80">
        <f t="shared" si="112"/>
        <v>2.3000000000000003</v>
      </c>
      <c r="N164" s="78">
        <f t="shared" si="113"/>
        <v>172.50000000000003</v>
      </c>
      <c r="O164" s="111">
        <f t="shared" si="114"/>
        <v>212.92300000000003</v>
      </c>
      <c r="P164" s="164">
        <v>30</v>
      </c>
      <c r="Q164" s="164">
        <v>35</v>
      </c>
      <c r="R164" s="164">
        <v>40</v>
      </c>
      <c r="S164" s="167"/>
    </row>
    <row r="165" spans="1:19" s="168" customFormat="1" x14ac:dyDescent="0.25">
      <c r="A165" s="187"/>
      <c r="B165" s="24" t="s">
        <v>2</v>
      </c>
      <c r="C165" s="5">
        <f>C163</f>
        <v>10</v>
      </c>
      <c r="D165" s="7">
        <v>0</v>
      </c>
      <c r="E165" s="3">
        <f t="shared" si="109"/>
        <v>10</v>
      </c>
      <c r="F165" s="85" t="s">
        <v>867</v>
      </c>
      <c r="G165" s="77">
        <v>258.01</v>
      </c>
      <c r="H165" s="5" t="s">
        <v>0</v>
      </c>
      <c r="I165" s="78">
        <f t="shared" si="110"/>
        <v>25.800999999999998</v>
      </c>
      <c r="J165" s="110">
        <f t="shared" si="111"/>
        <v>75</v>
      </c>
      <c r="K165" s="4">
        <v>2.5</v>
      </c>
      <c r="L165" s="5" t="s">
        <v>0</v>
      </c>
      <c r="M165" s="80">
        <f t="shared" si="112"/>
        <v>0.25</v>
      </c>
      <c r="N165" s="78">
        <f t="shared" si="113"/>
        <v>18.75</v>
      </c>
      <c r="O165" s="111">
        <f t="shared" si="114"/>
        <v>44.551000000000002</v>
      </c>
      <c r="P165" s="164">
        <v>15</v>
      </c>
      <c r="Q165" s="164">
        <v>20</v>
      </c>
      <c r="R165" s="164">
        <v>25</v>
      </c>
      <c r="S165" s="167"/>
    </row>
    <row r="166" spans="1:19" s="168" customFormat="1" x14ac:dyDescent="0.25">
      <c r="A166" s="187"/>
      <c r="B166" s="24" t="s">
        <v>3</v>
      </c>
      <c r="C166" s="5">
        <f>C163</f>
        <v>10</v>
      </c>
      <c r="D166" s="7">
        <v>0</v>
      </c>
      <c r="E166" s="3">
        <f t="shared" si="109"/>
        <v>10</v>
      </c>
      <c r="F166" s="85" t="s">
        <v>867</v>
      </c>
      <c r="G166" s="77">
        <v>138.57</v>
      </c>
      <c r="H166" s="5" t="s">
        <v>0</v>
      </c>
      <c r="I166" s="78">
        <f t="shared" si="110"/>
        <v>13.856999999999999</v>
      </c>
      <c r="J166" s="110">
        <f t="shared" si="111"/>
        <v>75</v>
      </c>
      <c r="K166" s="4">
        <v>3</v>
      </c>
      <c r="L166" s="5" t="s">
        <v>0</v>
      </c>
      <c r="M166" s="80">
        <f t="shared" si="112"/>
        <v>0.3</v>
      </c>
      <c r="N166" s="78">
        <f t="shared" si="113"/>
        <v>22.5</v>
      </c>
      <c r="O166" s="111">
        <f t="shared" si="114"/>
        <v>36.356999999999999</v>
      </c>
      <c r="P166" s="164">
        <v>6</v>
      </c>
      <c r="Q166" s="164">
        <v>8</v>
      </c>
      <c r="R166" s="164">
        <v>10</v>
      </c>
      <c r="S166" s="167"/>
    </row>
    <row r="167" spans="1:19" s="168" customFormat="1" x14ac:dyDescent="0.25">
      <c r="A167" s="187"/>
      <c r="B167" s="24" t="s">
        <v>1160</v>
      </c>
      <c r="C167" s="5">
        <f>C163*2</f>
        <v>20</v>
      </c>
      <c r="D167" s="7">
        <v>0</v>
      </c>
      <c r="E167" s="3">
        <f t="shared" si="109"/>
        <v>20</v>
      </c>
      <c r="F167" s="85" t="s">
        <v>867</v>
      </c>
      <c r="G167" s="77">
        <v>10.75</v>
      </c>
      <c r="H167" s="5" t="s">
        <v>0</v>
      </c>
      <c r="I167" s="78">
        <f t="shared" si="110"/>
        <v>2.15</v>
      </c>
      <c r="J167" s="110">
        <f t="shared" si="111"/>
        <v>75</v>
      </c>
      <c r="K167" s="4">
        <v>2.8</v>
      </c>
      <c r="L167" s="5" t="s">
        <v>0</v>
      </c>
      <c r="M167" s="80">
        <f t="shared" si="112"/>
        <v>0.55999999999999994</v>
      </c>
      <c r="N167" s="78">
        <f t="shared" si="113"/>
        <v>41.999999999999993</v>
      </c>
      <c r="O167" s="111">
        <f t="shared" si="114"/>
        <v>44.149999999999991</v>
      </c>
      <c r="P167" s="164">
        <v>3.1</v>
      </c>
      <c r="Q167" s="164">
        <v>3.88</v>
      </c>
      <c r="R167" s="164">
        <v>4.84</v>
      </c>
      <c r="S167" s="167"/>
    </row>
    <row r="168" spans="1:19" s="168" customFormat="1" x14ac:dyDescent="0.25">
      <c r="A168" s="187"/>
      <c r="B168" s="24" t="s">
        <v>4</v>
      </c>
      <c r="C168" s="5">
        <f>C163</f>
        <v>10</v>
      </c>
      <c r="D168" s="7">
        <v>0</v>
      </c>
      <c r="E168" s="3">
        <f t="shared" si="109"/>
        <v>10</v>
      </c>
      <c r="F168" s="85" t="s">
        <v>867</v>
      </c>
      <c r="G168" s="77">
        <v>49.82</v>
      </c>
      <c r="H168" s="5" t="s">
        <v>0</v>
      </c>
      <c r="I168" s="78">
        <f t="shared" si="110"/>
        <v>4.9819999999999993</v>
      </c>
      <c r="J168" s="110">
        <f t="shared" si="111"/>
        <v>75</v>
      </c>
      <c r="K168" s="4">
        <v>2.7</v>
      </c>
      <c r="L168" s="5" t="s">
        <v>0</v>
      </c>
      <c r="M168" s="80">
        <f t="shared" si="112"/>
        <v>0.27</v>
      </c>
      <c r="N168" s="78">
        <f t="shared" si="113"/>
        <v>20.25</v>
      </c>
      <c r="O168" s="111">
        <f t="shared" si="114"/>
        <v>25.231999999999999</v>
      </c>
      <c r="P168" s="164">
        <v>10</v>
      </c>
      <c r="Q168" s="164">
        <v>12.5</v>
      </c>
      <c r="R168" s="164">
        <v>15</v>
      </c>
      <c r="S168" s="167"/>
    </row>
    <row r="169" spans="1:19" s="168" customFormat="1" ht="15.75" thickBot="1" x14ac:dyDescent="0.3">
      <c r="A169" s="187"/>
      <c r="B169" s="211"/>
      <c r="C169" s="155"/>
      <c r="D169" s="157"/>
      <c r="E169" s="158"/>
      <c r="F169" s="185"/>
      <c r="G169" s="147"/>
      <c r="H169" s="155"/>
      <c r="I169" s="162"/>
      <c r="J169" s="163"/>
      <c r="K169" s="164"/>
      <c r="L169" s="155"/>
      <c r="M169" s="165"/>
      <c r="N169" s="162"/>
      <c r="O169" s="166"/>
      <c r="P169" s="164"/>
      <c r="Q169" s="164"/>
      <c r="R169" s="164"/>
      <c r="S169" s="167"/>
    </row>
    <row r="170" spans="1:19" s="168" customFormat="1" ht="15.75" thickBot="1" x14ac:dyDescent="0.3">
      <c r="A170" s="186">
        <v>24</v>
      </c>
      <c r="B170" s="215" t="s">
        <v>1219</v>
      </c>
      <c r="C170" s="176">
        <v>10</v>
      </c>
      <c r="D170" s="157">
        <v>0</v>
      </c>
      <c r="E170" s="158">
        <f t="shared" ref="E170:E175" si="115">C170+(C170*D170)</f>
        <v>10</v>
      </c>
      <c r="F170" s="185" t="s">
        <v>867</v>
      </c>
      <c r="G170" s="160">
        <v>1971.63</v>
      </c>
      <c r="H170" s="161" t="s">
        <v>0</v>
      </c>
      <c r="I170" s="162">
        <f t="shared" ref="I170:I175" si="116">IF(H170="C",(G170/100)*E170,IF(H170="M",(G170/1000)*E170,G170*E170))</f>
        <v>197.16300000000001</v>
      </c>
      <c r="J170" s="163">
        <f t="shared" si="111"/>
        <v>75</v>
      </c>
      <c r="K170" s="164">
        <v>25</v>
      </c>
      <c r="L170" s="155" t="s">
        <v>0</v>
      </c>
      <c r="M170" s="165">
        <f t="shared" ref="M170:M175" si="117">IF(L170="C",(K170/100)*E170,IF(L170="M",(K170/1000)*E170,K170*E170))</f>
        <v>2.5</v>
      </c>
      <c r="N170" s="162">
        <f t="shared" ref="N170:N175" si="118">M170*J170</f>
        <v>187.5</v>
      </c>
      <c r="O170" s="166">
        <f t="shared" ref="O170:O175" si="119">N170+I170</f>
        <v>384.66300000000001</v>
      </c>
      <c r="P170" s="164">
        <v>35</v>
      </c>
      <c r="Q170" s="164">
        <v>40</v>
      </c>
      <c r="R170" s="164">
        <v>45</v>
      </c>
      <c r="S170" s="167"/>
    </row>
    <row r="171" spans="1:19" s="168" customFormat="1" x14ac:dyDescent="0.25">
      <c r="A171" s="187"/>
      <c r="B171" s="213" t="s">
        <v>860</v>
      </c>
      <c r="C171" s="5">
        <f>C170</f>
        <v>10</v>
      </c>
      <c r="D171" s="7">
        <v>0</v>
      </c>
      <c r="E171" s="3">
        <f t="shared" si="115"/>
        <v>10</v>
      </c>
      <c r="F171" s="85" t="s">
        <v>867</v>
      </c>
      <c r="G171" s="77">
        <v>404.23</v>
      </c>
      <c r="H171" s="5" t="s">
        <v>0</v>
      </c>
      <c r="I171" s="78">
        <f t="shared" si="116"/>
        <v>40.423000000000002</v>
      </c>
      <c r="J171" s="110">
        <f t="shared" si="111"/>
        <v>75</v>
      </c>
      <c r="K171" s="4">
        <v>23</v>
      </c>
      <c r="L171" s="5" t="s">
        <v>0</v>
      </c>
      <c r="M171" s="80">
        <f t="shared" si="117"/>
        <v>2.3000000000000003</v>
      </c>
      <c r="N171" s="78">
        <f t="shared" si="118"/>
        <v>172.50000000000003</v>
      </c>
      <c r="O171" s="111">
        <f t="shared" si="119"/>
        <v>212.92300000000003</v>
      </c>
      <c r="P171" s="164">
        <v>30</v>
      </c>
      <c r="Q171" s="164">
        <v>35</v>
      </c>
      <c r="R171" s="164">
        <v>40</v>
      </c>
      <c r="S171" s="167"/>
    </row>
    <row r="172" spans="1:19" s="168" customFormat="1" x14ac:dyDescent="0.25">
      <c r="A172" s="187"/>
      <c r="B172" s="24" t="s">
        <v>2</v>
      </c>
      <c r="C172" s="5">
        <f>C170</f>
        <v>10</v>
      </c>
      <c r="D172" s="7">
        <v>0</v>
      </c>
      <c r="E172" s="3">
        <f t="shared" si="115"/>
        <v>10</v>
      </c>
      <c r="F172" s="85" t="s">
        <v>867</v>
      </c>
      <c r="G172" s="77">
        <v>258.01</v>
      </c>
      <c r="H172" s="5" t="s">
        <v>0</v>
      </c>
      <c r="I172" s="78">
        <f t="shared" si="116"/>
        <v>25.800999999999998</v>
      </c>
      <c r="J172" s="110">
        <f t="shared" si="111"/>
        <v>75</v>
      </c>
      <c r="K172" s="4">
        <v>2.5</v>
      </c>
      <c r="L172" s="5" t="s">
        <v>0</v>
      </c>
      <c r="M172" s="80">
        <f t="shared" si="117"/>
        <v>0.25</v>
      </c>
      <c r="N172" s="78">
        <f t="shared" si="118"/>
        <v>18.75</v>
      </c>
      <c r="O172" s="111">
        <f t="shared" si="119"/>
        <v>44.551000000000002</v>
      </c>
      <c r="P172" s="164">
        <v>15</v>
      </c>
      <c r="Q172" s="164">
        <v>20</v>
      </c>
      <c r="R172" s="164">
        <v>25</v>
      </c>
      <c r="S172" s="167"/>
    </row>
    <row r="173" spans="1:19" s="168" customFormat="1" x14ac:dyDescent="0.25">
      <c r="A173" s="187"/>
      <c r="B173" s="24" t="s">
        <v>3</v>
      </c>
      <c r="C173" s="5">
        <f>C170</f>
        <v>10</v>
      </c>
      <c r="D173" s="7">
        <v>0</v>
      </c>
      <c r="E173" s="3">
        <f t="shared" si="115"/>
        <v>10</v>
      </c>
      <c r="F173" s="85" t="s">
        <v>867</v>
      </c>
      <c r="G173" s="77">
        <v>138.57</v>
      </c>
      <c r="H173" s="5" t="s">
        <v>0</v>
      </c>
      <c r="I173" s="78">
        <f t="shared" si="116"/>
        <v>13.856999999999999</v>
      </c>
      <c r="J173" s="110">
        <f t="shared" si="111"/>
        <v>75</v>
      </c>
      <c r="K173" s="4">
        <v>3</v>
      </c>
      <c r="L173" s="5" t="s">
        <v>0</v>
      </c>
      <c r="M173" s="80">
        <f t="shared" si="117"/>
        <v>0.3</v>
      </c>
      <c r="N173" s="78">
        <f t="shared" si="118"/>
        <v>22.5</v>
      </c>
      <c r="O173" s="111">
        <f t="shared" si="119"/>
        <v>36.356999999999999</v>
      </c>
      <c r="P173" s="164">
        <v>6</v>
      </c>
      <c r="Q173" s="164">
        <v>8</v>
      </c>
      <c r="R173" s="164">
        <v>10</v>
      </c>
      <c r="S173" s="167"/>
    </row>
    <row r="174" spans="1:19" s="168" customFormat="1" x14ac:dyDescent="0.25">
      <c r="A174" s="187"/>
      <c r="B174" s="24" t="s">
        <v>1160</v>
      </c>
      <c r="C174" s="5">
        <f>C170*2</f>
        <v>20</v>
      </c>
      <c r="D174" s="7">
        <v>0</v>
      </c>
      <c r="E174" s="3">
        <f t="shared" si="115"/>
        <v>20</v>
      </c>
      <c r="F174" s="85" t="s">
        <v>867</v>
      </c>
      <c r="G174" s="77">
        <v>10.75</v>
      </c>
      <c r="H174" s="5" t="s">
        <v>0</v>
      </c>
      <c r="I174" s="78">
        <f t="shared" si="116"/>
        <v>2.15</v>
      </c>
      <c r="J174" s="110">
        <f t="shared" si="111"/>
        <v>75</v>
      </c>
      <c r="K174" s="4">
        <v>2.8</v>
      </c>
      <c r="L174" s="5" t="s">
        <v>0</v>
      </c>
      <c r="M174" s="80">
        <f t="shared" si="117"/>
        <v>0.55999999999999994</v>
      </c>
      <c r="N174" s="78">
        <f t="shared" si="118"/>
        <v>41.999999999999993</v>
      </c>
      <c r="O174" s="111">
        <f t="shared" si="119"/>
        <v>44.149999999999991</v>
      </c>
      <c r="P174" s="164">
        <v>3.1</v>
      </c>
      <c r="Q174" s="164">
        <v>3.88</v>
      </c>
      <c r="R174" s="164">
        <v>4.84</v>
      </c>
      <c r="S174" s="167"/>
    </row>
    <row r="175" spans="1:19" s="168" customFormat="1" x14ac:dyDescent="0.25">
      <c r="A175" s="187"/>
      <c r="B175" s="24" t="s">
        <v>4</v>
      </c>
      <c r="C175" s="5">
        <f>C170</f>
        <v>10</v>
      </c>
      <c r="D175" s="7">
        <v>0</v>
      </c>
      <c r="E175" s="3">
        <f t="shared" si="115"/>
        <v>10</v>
      </c>
      <c r="F175" s="85" t="s">
        <v>867</v>
      </c>
      <c r="G175" s="77">
        <v>49.82</v>
      </c>
      <c r="H175" s="5" t="s">
        <v>0</v>
      </c>
      <c r="I175" s="78">
        <f t="shared" si="116"/>
        <v>4.9819999999999993</v>
      </c>
      <c r="J175" s="110">
        <f t="shared" si="111"/>
        <v>75</v>
      </c>
      <c r="K175" s="4">
        <v>2.7</v>
      </c>
      <c r="L175" s="5" t="s">
        <v>0</v>
      </c>
      <c r="M175" s="80">
        <f t="shared" si="117"/>
        <v>0.27</v>
      </c>
      <c r="N175" s="78">
        <f t="shared" si="118"/>
        <v>20.25</v>
      </c>
      <c r="O175" s="111">
        <f t="shared" si="119"/>
        <v>25.231999999999999</v>
      </c>
      <c r="P175" s="164">
        <v>10</v>
      </c>
      <c r="Q175" s="164">
        <v>12.5</v>
      </c>
      <c r="R175" s="164">
        <v>15</v>
      </c>
      <c r="S175" s="167"/>
    </row>
    <row r="176" spans="1:19" s="168" customFormat="1" ht="15.75" thickBot="1" x14ac:dyDescent="0.3">
      <c r="A176" s="187"/>
      <c r="B176" s="211"/>
      <c r="C176" s="155"/>
      <c r="D176" s="157"/>
      <c r="E176" s="158"/>
      <c r="F176" s="185"/>
      <c r="G176" s="147"/>
      <c r="H176" s="155"/>
      <c r="I176" s="162"/>
      <c r="J176" s="163"/>
      <c r="K176" s="164"/>
      <c r="L176" s="155"/>
      <c r="M176" s="165"/>
      <c r="N176" s="162"/>
      <c r="O176" s="166"/>
      <c r="P176" s="164"/>
      <c r="Q176" s="164"/>
      <c r="R176" s="164"/>
      <c r="S176" s="167"/>
    </row>
    <row r="177" spans="1:19" s="168" customFormat="1" ht="15.75" thickBot="1" x14ac:dyDescent="0.3">
      <c r="A177" s="186">
        <v>25</v>
      </c>
      <c r="B177" s="215" t="s">
        <v>1220</v>
      </c>
      <c r="C177" s="176">
        <v>10</v>
      </c>
      <c r="D177" s="157">
        <v>0</v>
      </c>
      <c r="E177" s="158">
        <f t="shared" ref="E177:E182" si="120">C177+(C177*D177)</f>
        <v>10</v>
      </c>
      <c r="F177" s="185" t="s">
        <v>867</v>
      </c>
      <c r="G177" s="147">
        <v>1836.32</v>
      </c>
      <c r="H177" s="155" t="s">
        <v>0</v>
      </c>
      <c r="I177" s="162">
        <f t="shared" ref="I177:I182" si="121">IF(H177="C",(G177/100)*E177,IF(H177="M",(G177/1000)*E177,G177*E177))</f>
        <v>183.63200000000001</v>
      </c>
      <c r="J177" s="163">
        <f t="shared" ref="J177:J182" si="122">$O$4</f>
        <v>75</v>
      </c>
      <c r="K177" s="164">
        <v>20</v>
      </c>
      <c r="L177" s="155" t="s">
        <v>0</v>
      </c>
      <c r="M177" s="165">
        <f t="shared" ref="M177:M182" si="123">IF(L177="C",(K177/100)*E177,IF(L177="M",(K177/1000)*E177,K177*E177))</f>
        <v>2</v>
      </c>
      <c r="N177" s="162">
        <f t="shared" ref="N177:N182" si="124">M177*J177</f>
        <v>150</v>
      </c>
      <c r="O177" s="166">
        <f t="shared" ref="O177:O182" si="125">N177+I177</f>
        <v>333.63200000000001</v>
      </c>
      <c r="P177" s="164">
        <v>30</v>
      </c>
      <c r="Q177" s="164">
        <v>37.5</v>
      </c>
      <c r="R177" s="164">
        <v>45</v>
      </c>
      <c r="S177" s="167"/>
    </row>
    <row r="178" spans="1:19" s="168" customFormat="1" x14ac:dyDescent="0.25">
      <c r="A178" s="187"/>
      <c r="B178" s="213" t="s">
        <v>860</v>
      </c>
      <c r="C178" s="5">
        <f>C177</f>
        <v>10</v>
      </c>
      <c r="D178" s="7">
        <v>0</v>
      </c>
      <c r="E178" s="3">
        <f t="shared" si="120"/>
        <v>10</v>
      </c>
      <c r="F178" s="85" t="s">
        <v>867</v>
      </c>
      <c r="G178" s="77">
        <v>404.23</v>
      </c>
      <c r="H178" s="5" t="s">
        <v>0</v>
      </c>
      <c r="I178" s="78">
        <f t="shared" si="121"/>
        <v>40.423000000000002</v>
      </c>
      <c r="J178" s="110">
        <f t="shared" si="122"/>
        <v>75</v>
      </c>
      <c r="K178" s="4">
        <v>23</v>
      </c>
      <c r="L178" s="5" t="s">
        <v>0</v>
      </c>
      <c r="M178" s="80">
        <f t="shared" si="123"/>
        <v>2.3000000000000003</v>
      </c>
      <c r="N178" s="78">
        <f t="shared" si="124"/>
        <v>172.50000000000003</v>
      </c>
      <c r="O178" s="111">
        <f t="shared" si="125"/>
        <v>212.92300000000003</v>
      </c>
      <c r="P178" s="164">
        <v>30</v>
      </c>
      <c r="Q178" s="164">
        <v>35</v>
      </c>
      <c r="R178" s="164">
        <v>40</v>
      </c>
      <c r="S178" s="167"/>
    </row>
    <row r="179" spans="1:19" s="168" customFormat="1" x14ac:dyDescent="0.25">
      <c r="A179" s="187"/>
      <c r="B179" s="24" t="s">
        <v>2</v>
      </c>
      <c r="C179" s="5">
        <f>C177</f>
        <v>10</v>
      </c>
      <c r="D179" s="7">
        <v>0</v>
      </c>
      <c r="E179" s="3">
        <f t="shared" si="120"/>
        <v>10</v>
      </c>
      <c r="F179" s="85" t="s">
        <v>867</v>
      </c>
      <c r="G179" s="77">
        <v>258.01</v>
      </c>
      <c r="H179" s="5" t="s">
        <v>0</v>
      </c>
      <c r="I179" s="78">
        <f t="shared" si="121"/>
        <v>25.800999999999998</v>
      </c>
      <c r="J179" s="110">
        <f t="shared" si="122"/>
        <v>75</v>
      </c>
      <c r="K179" s="4">
        <v>2.5</v>
      </c>
      <c r="L179" s="5" t="s">
        <v>0</v>
      </c>
      <c r="M179" s="80">
        <f t="shared" si="123"/>
        <v>0.25</v>
      </c>
      <c r="N179" s="78">
        <f t="shared" si="124"/>
        <v>18.75</v>
      </c>
      <c r="O179" s="111">
        <f t="shared" si="125"/>
        <v>44.551000000000002</v>
      </c>
      <c r="P179" s="164">
        <v>15</v>
      </c>
      <c r="Q179" s="164">
        <v>20</v>
      </c>
      <c r="R179" s="164">
        <v>25</v>
      </c>
      <c r="S179" s="167"/>
    </row>
    <row r="180" spans="1:19" s="168" customFormat="1" x14ac:dyDescent="0.25">
      <c r="A180" s="187"/>
      <c r="B180" s="24" t="s">
        <v>3</v>
      </c>
      <c r="C180" s="5">
        <f>C177</f>
        <v>10</v>
      </c>
      <c r="D180" s="7">
        <v>0</v>
      </c>
      <c r="E180" s="3">
        <f t="shared" si="120"/>
        <v>10</v>
      </c>
      <c r="F180" s="85" t="s">
        <v>867</v>
      </c>
      <c r="G180" s="77">
        <v>138.57</v>
      </c>
      <c r="H180" s="5" t="s">
        <v>0</v>
      </c>
      <c r="I180" s="78">
        <f t="shared" si="121"/>
        <v>13.856999999999999</v>
      </c>
      <c r="J180" s="110">
        <f t="shared" si="122"/>
        <v>75</v>
      </c>
      <c r="K180" s="4">
        <v>3</v>
      </c>
      <c r="L180" s="5" t="s">
        <v>0</v>
      </c>
      <c r="M180" s="80">
        <f t="shared" si="123"/>
        <v>0.3</v>
      </c>
      <c r="N180" s="78">
        <f t="shared" si="124"/>
        <v>22.5</v>
      </c>
      <c r="O180" s="111">
        <f t="shared" si="125"/>
        <v>36.356999999999999</v>
      </c>
      <c r="P180" s="164">
        <v>6</v>
      </c>
      <c r="Q180" s="164">
        <v>8</v>
      </c>
      <c r="R180" s="164">
        <v>10</v>
      </c>
      <c r="S180" s="167"/>
    </row>
    <row r="181" spans="1:19" s="168" customFormat="1" x14ac:dyDescent="0.25">
      <c r="A181" s="187"/>
      <c r="B181" s="24" t="s">
        <v>1160</v>
      </c>
      <c r="C181" s="5">
        <f>C177*2</f>
        <v>20</v>
      </c>
      <c r="D181" s="7">
        <v>0</v>
      </c>
      <c r="E181" s="3">
        <f t="shared" si="120"/>
        <v>20</v>
      </c>
      <c r="F181" s="85" t="s">
        <v>867</v>
      </c>
      <c r="G181" s="77">
        <v>10.75</v>
      </c>
      <c r="H181" s="5" t="s">
        <v>0</v>
      </c>
      <c r="I181" s="78">
        <f t="shared" si="121"/>
        <v>2.15</v>
      </c>
      <c r="J181" s="110">
        <f t="shared" si="122"/>
        <v>75</v>
      </c>
      <c r="K181" s="4">
        <v>2.8</v>
      </c>
      <c r="L181" s="5" t="s">
        <v>0</v>
      </c>
      <c r="M181" s="80">
        <f t="shared" si="123"/>
        <v>0.55999999999999994</v>
      </c>
      <c r="N181" s="78">
        <f t="shared" si="124"/>
        <v>41.999999999999993</v>
      </c>
      <c r="O181" s="111">
        <f t="shared" si="125"/>
        <v>44.149999999999991</v>
      </c>
      <c r="P181" s="164">
        <v>3.1</v>
      </c>
      <c r="Q181" s="164">
        <v>3.88</v>
      </c>
      <c r="R181" s="164">
        <v>4.84</v>
      </c>
      <c r="S181" s="167"/>
    </row>
    <row r="182" spans="1:19" s="168" customFormat="1" x14ac:dyDescent="0.25">
      <c r="A182" s="187"/>
      <c r="B182" s="24" t="s">
        <v>4</v>
      </c>
      <c r="C182" s="5">
        <f>C177</f>
        <v>10</v>
      </c>
      <c r="D182" s="7">
        <v>0</v>
      </c>
      <c r="E182" s="3">
        <f t="shared" si="120"/>
        <v>10</v>
      </c>
      <c r="F182" s="85" t="s">
        <v>867</v>
      </c>
      <c r="G182" s="77">
        <v>49.82</v>
      </c>
      <c r="H182" s="5" t="s">
        <v>0</v>
      </c>
      <c r="I182" s="78">
        <f t="shared" si="121"/>
        <v>4.9819999999999993</v>
      </c>
      <c r="J182" s="110">
        <f t="shared" si="122"/>
        <v>75</v>
      </c>
      <c r="K182" s="4">
        <v>2.7</v>
      </c>
      <c r="L182" s="5" t="s">
        <v>0</v>
      </c>
      <c r="M182" s="80">
        <f t="shared" si="123"/>
        <v>0.27</v>
      </c>
      <c r="N182" s="78">
        <f t="shared" si="124"/>
        <v>20.25</v>
      </c>
      <c r="O182" s="111">
        <f t="shared" si="125"/>
        <v>25.231999999999999</v>
      </c>
      <c r="P182" s="164">
        <v>10</v>
      </c>
      <c r="Q182" s="164">
        <v>12.5</v>
      </c>
      <c r="R182" s="164">
        <v>15</v>
      </c>
      <c r="S182" s="167"/>
    </row>
    <row r="183" spans="1:19" s="168" customFormat="1" ht="15.75" thickBot="1" x14ac:dyDescent="0.3">
      <c r="A183" s="186"/>
      <c r="B183" s="211"/>
      <c r="C183" s="176"/>
      <c r="D183" s="157"/>
      <c r="E183" s="158"/>
      <c r="F183" s="185"/>
      <c r="G183" s="147"/>
      <c r="H183" s="155"/>
      <c r="I183" s="162"/>
      <c r="J183" s="163"/>
      <c r="K183" s="164"/>
      <c r="L183" s="155"/>
      <c r="M183" s="165"/>
      <c r="N183" s="162"/>
      <c r="O183" s="166"/>
      <c r="P183" s="164"/>
      <c r="Q183" s="164"/>
      <c r="R183" s="164"/>
      <c r="S183" s="167"/>
    </row>
    <row r="184" spans="1:19" s="168" customFormat="1" ht="15.75" thickBot="1" x14ac:dyDescent="0.3">
      <c r="A184" s="186">
        <v>26</v>
      </c>
      <c r="B184" s="215" t="s">
        <v>1221</v>
      </c>
      <c r="C184" s="176">
        <v>10</v>
      </c>
      <c r="D184" s="157">
        <v>0</v>
      </c>
      <c r="E184" s="158">
        <f t="shared" ref="E184:E189" si="126">C184+(C184*D184)</f>
        <v>10</v>
      </c>
      <c r="F184" s="185" t="s">
        <v>867</v>
      </c>
      <c r="G184" s="147">
        <v>1248.4100000000001</v>
      </c>
      <c r="H184" s="155" t="s">
        <v>0</v>
      </c>
      <c r="I184" s="162">
        <f t="shared" ref="I184:I189" si="127">IF(H184="C",(G184/100)*E184,IF(H184="M",(G184/1000)*E184,G184*E184))</f>
        <v>124.84100000000001</v>
      </c>
      <c r="J184" s="163">
        <f t="shared" ref="J184:J196" si="128">$O$4</f>
        <v>75</v>
      </c>
      <c r="K184" s="164">
        <v>20</v>
      </c>
      <c r="L184" s="155" t="s">
        <v>0</v>
      </c>
      <c r="M184" s="165">
        <f t="shared" ref="M184:M189" si="129">IF(L184="C",(K184/100)*E184,IF(L184="M",(K184/1000)*E184,K184*E184))</f>
        <v>2</v>
      </c>
      <c r="N184" s="162">
        <f t="shared" ref="N184:N189" si="130">M184*J184</f>
        <v>150</v>
      </c>
      <c r="O184" s="166">
        <f t="shared" ref="O184:O189" si="131">N184+I184</f>
        <v>274.84100000000001</v>
      </c>
      <c r="P184" s="164">
        <v>30</v>
      </c>
      <c r="Q184" s="164">
        <v>37.5</v>
      </c>
      <c r="R184" s="164">
        <v>45</v>
      </c>
      <c r="S184" s="167"/>
    </row>
    <row r="185" spans="1:19" s="168" customFormat="1" x14ac:dyDescent="0.25">
      <c r="A185" s="187"/>
      <c r="B185" s="213" t="s">
        <v>860</v>
      </c>
      <c r="C185" s="5">
        <f>C184</f>
        <v>10</v>
      </c>
      <c r="D185" s="7">
        <v>0</v>
      </c>
      <c r="E185" s="3">
        <f t="shared" si="126"/>
        <v>10</v>
      </c>
      <c r="F185" s="85" t="s">
        <v>867</v>
      </c>
      <c r="G185" s="77">
        <v>404.23</v>
      </c>
      <c r="H185" s="5" t="s">
        <v>0</v>
      </c>
      <c r="I185" s="78">
        <f t="shared" si="127"/>
        <v>40.423000000000002</v>
      </c>
      <c r="J185" s="110">
        <f t="shared" si="128"/>
        <v>75</v>
      </c>
      <c r="K185" s="4">
        <v>23</v>
      </c>
      <c r="L185" s="5" t="s">
        <v>0</v>
      </c>
      <c r="M185" s="80">
        <f t="shared" si="129"/>
        <v>2.3000000000000003</v>
      </c>
      <c r="N185" s="78">
        <f t="shared" si="130"/>
        <v>172.50000000000003</v>
      </c>
      <c r="O185" s="111">
        <f t="shared" si="131"/>
        <v>212.92300000000003</v>
      </c>
      <c r="P185" s="164">
        <v>30</v>
      </c>
      <c r="Q185" s="164">
        <v>35</v>
      </c>
      <c r="R185" s="164">
        <v>40</v>
      </c>
      <c r="S185" s="167"/>
    </row>
    <row r="186" spans="1:19" s="168" customFormat="1" x14ac:dyDescent="0.25">
      <c r="A186" s="187"/>
      <c r="B186" s="24" t="s">
        <v>2</v>
      </c>
      <c r="C186" s="5">
        <f>C184</f>
        <v>10</v>
      </c>
      <c r="D186" s="7">
        <v>0</v>
      </c>
      <c r="E186" s="3">
        <f t="shared" si="126"/>
        <v>10</v>
      </c>
      <c r="F186" s="85" t="s">
        <v>867</v>
      </c>
      <c r="G186" s="77">
        <v>258.01</v>
      </c>
      <c r="H186" s="5" t="s">
        <v>0</v>
      </c>
      <c r="I186" s="78">
        <f t="shared" si="127"/>
        <v>25.800999999999998</v>
      </c>
      <c r="J186" s="110">
        <f t="shared" si="128"/>
        <v>75</v>
      </c>
      <c r="K186" s="4">
        <v>2.5</v>
      </c>
      <c r="L186" s="5" t="s">
        <v>0</v>
      </c>
      <c r="M186" s="80">
        <f t="shared" si="129"/>
        <v>0.25</v>
      </c>
      <c r="N186" s="78">
        <f t="shared" si="130"/>
        <v>18.75</v>
      </c>
      <c r="O186" s="111">
        <f t="shared" si="131"/>
        <v>44.551000000000002</v>
      </c>
      <c r="P186" s="164">
        <v>15</v>
      </c>
      <c r="Q186" s="164">
        <v>20</v>
      </c>
      <c r="R186" s="164">
        <v>25</v>
      </c>
      <c r="S186" s="167"/>
    </row>
    <row r="187" spans="1:19" s="168" customFormat="1" x14ac:dyDescent="0.25">
      <c r="A187" s="187"/>
      <c r="B187" s="24" t="s">
        <v>3</v>
      </c>
      <c r="C187" s="5">
        <f>C184</f>
        <v>10</v>
      </c>
      <c r="D187" s="7">
        <v>0</v>
      </c>
      <c r="E187" s="3">
        <f t="shared" si="126"/>
        <v>10</v>
      </c>
      <c r="F187" s="85" t="s">
        <v>867</v>
      </c>
      <c r="G187" s="77">
        <v>138.57</v>
      </c>
      <c r="H187" s="5" t="s">
        <v>0</v>
      </c>
      <c r="I187" s="78">
        <f t="shared" si="127"/>
        <v>13.856999999999999</v>
      </c>
      <c r="J187" s="110">
        <f t="shared" si="128"/>
        <v>75</v>
      </c>
      <c r="K187" s="4">
        <v>3</v>
      </c>
      <c r="L187" s="5" t="s">
        <v>0</v>
      </c>
      <c r="M187" s="80">
        <f t="shared" si="129"/>
        <v>0.3</v>
      </c>
      <c r="N187" s="78">
        <f t="shared" si="130"/>
        <v>22.5</v>
      </c>
      <c r="O187" s="111">
        <f t="shared" si="131"/>
        <v>36.356999999999999</v>
      </c>
      <c r="P187" s="164">
        <v>6</v>
      </c>
      <c r="Q187" s="164">
        <v>8</v>
      </c>
      <c r="R187" s="164">
        <v>10</v>
      </c>
      <c r="S187" s="167"/>
    </row>
    <row r="188" spans="1:19" s="168" customFormat="1" x14ac:dyDescent="0.25">
      <c r="A188" s="187"/>
      <c r="B188" s="24" t="s">
        <v>1160</v>
      </c>
      <c r="C188" s="5">
        <f>C184*2</f>
        <v>20</v>
      </c>
      <c r="D188" s="7">
        <v>0</v>
      </c>
      <c r="E188" s="3">
        <f t="shared" si="126"/>
        <v>20</v>
      </c>
      <c r="F188" s="85" t="s">
        <v>867</v>
      </c>
      <c r="G188" s="77">
        <v>10.75</v>
      </c>
      <c r="H188" s="5" t="s">
        <v>0</v>
      </c>
      <c r="I188" s="78">
        <f t="shared" si="127"/>
        <v>2.15</v>
      </c>
      <c r="J188" s="110">
        <f t="shared" si="128"/>
        <v>75</v>
      </c>
      <c r="K188" s="4">
        <v>2.8</v>
      </c>
      <c r="L188" s="5" t="s">
        <v>0</v>
      </c>
      <c r="M188" s="80">
        <f t="shared" si="129"/>
        <v>0.55999999999999994</v>
      </c>
      <c r="N188" s="78">
        <f t="shared" si="130"/>
        <v>41.999999999999993</v>
      </c>
      <c r="O188" s="111">
        <f t="shared" si="131"/>
        <v>44.149999999999991</v>
      </c>
      <c r="P188" s="164">
        <v>3.1</v>
      </c>
      <c r="Q188" s="164">
        <v>3.88</v>
      </c>
      <c r="R188" s="164">
        <v>4.84</v>
      </c>
      <c r="S188" s="167"/>
    </row>
    <row r="189" spans="1:19" s="168" customFormat="1" x14ac:dyDescent="0.25">
      <c r="A189" s="187"/>
      <c r="B189" s="24" t="s">
        <v>4</v>
      </c>
      <c r="C189" s="5">
        <f>C184</f>
        <v>10</v>
      </c>
      <c r="D189" s="7">
        <v>0</v>
      </c>
      <c r="E189" s="3">
        <f t="shared" si="126"/>
        <v>10</v>
      </c>
      <c r="F189" s="85" t="s">
        <v>867</v>
      </c>
      <c r="G189" s="77">
        <v>49.82</v>
      </c>
      <c r="H189" s="5" t="s">
        <v>0</v>
      </c>
      <c r="I189" s="78">
        <f t="shared" si="127"/>
        <v>4.9819999999999993</v>
      </c>
      <c r="J189" s="110">
        <f t="shared" si="128"/>
        <v>75</v>
      </c>
      <c r="K189" s="4">
        <v>2.7</v>
      </c>
      <c r="L189" s="5" t="s">
        <v>0</v>
      </c>
      <c r="M189" s="80">
        <f t="shared" si="129"/>
        <v>0.27</v>
      </c>
      <c r="N189" s="78">
        <f t="shared" si="130"/>
        <v>20.25</v>
      </c>
      <c r="O189" s="111">
        <f t="shared" si="131"/>
        <v>25.231999999999999</v>
      </c>
      <c r="P189" s="164">
        <v>10</v>
      </c>
      <c r="Q189" s="164">
        <v>12.5</v>
      </c>
      <c r="R189" s="164">
        <v>15</v>
      </c>
      <c r="S189" s="167"/>
    </row>
    <row r="190" spans="1:19" s="168" customFormat="1" ht="15.75" thickBot="1" x14ac:dyDescent="0.3">
      <c r="A190" s="187"/>
      <c r="B190" s="211"/>
      <c r="C190" s="155"/>
      <c r="D190" s="157"/>
      <c r="E190" s="158"/>
      <c r="F190" s="158"/>
      <c r="G190" s="147" t="s">
        <v>1202</v>
      </c>
      <c r="H190" s="155"/>
      <c r="I190" s="162"/>
      <c r="J190" s="164"/>
      <c r="K190" s="164"/>
      <c r="L190" s="155"/>
      <c r="M190" s="165"/>
      <c r="N190" s="162"/>
      <c r="O190" s="166"/>
      <c r="P190" s="164"/>
      <c r="Q190" s="164"/>
      <c r="R190" s="164"/>
      <c r="S190" s="167"/>
    </row>
    <row r="191" spans="1:19" s="168" customFormat="1" ht="15.75" thickBot="1" x14ac:dyDescent="0.3">
      <c r="A191" s="186">
        <v>27</v>
      </c>
      <c r="B191" s="215" t="s">
        <v>1222</v>
      </c>
      <c r="C191" s="176">
        <v>10</v>
      </c>
      <c r="D191" s="157">
        <v>0</v>
      </c>
      <c r="E191" s="158">
        <f t="shared" ref="E191:E196" si="132">C191+(C191*D191)</f>
        <v>10</v>
      </c>
      <c r="F191" s="185" t="s">
        <v>867</v>
      </c>
      <c r="G191" s="147">
        <v>1854.68</v>
      </c>
      <c r="H191" s="155" t="s">
        <v>0</v>
      </c>
      <c r="I191" s="162">
        <f t="shared" ref="I191:I196" si="133">IF(H191="C",(G191/100)*E191,IF(H191="M",(G191/1000)*E191,G191*E191))</f>
        <v>185.46800000000002</v>
      </c>
      <c r="J191" s="163">
        <f t="shared" si="128"/>
        <v>75</v>
      </c>
      <c r="K191" s="164">
        <v>20</v>
      </c>
      <c r="L191" s="155" t="s">
        <v>0</v>
      </c>
      <c r="M191" s="165">
        <f t="shared" ref="M191:M196" si="134">IF(L191="C",(K191/100)*E191,IF(L191="M",(K191/1000)*E191,K191*E191))</f>
        <v>2</v>
      </c>
      <c r="N191" s="162">
        <f t="shared" ref="N191:N196" si="135">M191*J191</f>
        <v>150</v>
      </c>
      <c r="O191" s="166">
        <f t="shared" ref="O191:O196" si="136">N191+I191</f>
        <v>335.46800000000002</v>
      </c>
      <c r="P191" s="164">
        <v>30</v>
      </c>
      <c r="Q191" s="164">
        <v>37.5</v>
      </c>
      <c r="R191" s="164">
        <v>45</v>
      </c>
      <c r="S191" s="167"/>
    </row>
    <row r="192" spans="1:19" s="168" customFormat="1" x14ac:dyDescent="0.25">
      <c r="A192" s="187"/>
      <c r="B192" s="213" t="s">
        <v>860</v>
      </c>
      <c r="C192" s="5">
        <f>C191</f>
        <v>10</v>
      </c>
      <c r="D192" s="7">
        <v>0</v>
      </c>
      <c r="E192" s="3">
        <f t="shared" si="132"/>
        <v>10</v>
      </c>
      <c r="F192" s="85" t="s">
        <v>867</v>
      </c>
      <c r="G192" s="77">
        <v>404.23</v>
      </c>
      <c r="H192" s="5" t="s">
        <v>0</v>
      </c>
      <c r="I192" s="78">
        <f t="shared" si="133"/>
        <v>40.423000000000002</v>
      </c>
      <c r="J192" s="110">
        <f t="shared" si="128"/>
        <v>75</v>
      </c>
      <c r="K192" s="4">
        <v>23</v>
      </c>
      <c r="L192" s="5" t="s">
        <v>0</v>
      </c>
      <c r="M192" s="80">
        <f t="shared" si="134"/>
        <v>2.3000000000000003</v>
      </c>
      <c r="N192" s="78">
        <f t="shared" si="135"/>
        <v>172.50000000000003</v>
      </c>
      <c r="O192" s="111">
        <f t="shared" si="136"/>
        <v>212.92300000000003</v>
      </c>
      <c r="P192" s="164">
        <v>30</v>
      </c>
      <c r="Q192" s="164">
        <v>35</v>
      </c>
      <c r="R192" s="164">
        <v>40</v>
      </c>
      <c r="S192" s="167"/>
    </row>
    <row r="193" spans="1:19" s="168" customFormat="1" x14ac:dyDescent="0.25">
      <c r="A193" s="187"/>
      <c r="B193" s="24" t="s">
        <v>2</v>
      </c>
      <c r="C193" s="5">
        <f>C191</f>
        <v>10</v>
      </c>
      <c r="D193" s="7">
        <v>0</v>
      </c>
      <c r="E193" s="3">
        <f t="shared" si="132"/>
        <v>10</v>
      </c>
      <c r="F193" s="85" t="s">
        <v>867</v>
      </c>
      <c r="G193" s="77">
        <v>258.01</v>
      </c>
      <c r="H193" s="5" t="s">
        <v>0</v>
      </c>
      <c r="I193" s="78">
        <f t="shared" si="133"/>
        <v>25.800999999999998</v>
      </c>
      <c r="J193" s="110">
        <f t="shared" si="128"/>
        <v>75</v>
      </c>
      <c r="K193" s="4">
        <v>2.5</v>
      </c>
      <c r="L193" s="5" t="s">
        <v>0</v>
      </c>
      <c r="M193" s="80">
        <f t="shared" si="134"/>
        <v>0.25</v>
      </c>
      <c r="N193" s="78">
        <f t="shared" si="135"/>
        <v>18.75</v>
      </c>
      <c r="O193" s="111">
        <f t="shared" si="136"/>
        <v>44.551000000000002</v>
      </c>
      <c r="P193" s="164">
        <v>15</v>
      </c>
      <c r="Q193" s="164">
        <v>20</v>
      </c>
      <c r="R193" s="164">
        <v>25</v>
      </c>
      <c r="S193" s="167"/>
    </row>
    <row r="194" spans="1:19" s="168" customFormat="1" x14ac:dyDescent="0.25">
      <c r="A194" s="187"/>
      <c r="B194" s="24" t="s">
        <v>3</v>
      </c>
      <c r="C194" s="5">
        <f>C191</f>
        <v>10</v>
      </c>
      <c r="D194" s="7">
        <v>0</v>
      </c>
      <c r="E194" s="3">
        <f t="shared" si="132"/>
        <v>10</v>
      </c>
      <c r="F194" s="85" t="s">
        <v>867</v>
      </c>
      <c r="G194" s="77">
        <v>138.57</v>
      </c>
      <c r="H194" s="5" t="s">
        <v>0</v>
      </c>
      <c r="I194" s="78">
        <f t="shared" si="133"/>
        <v>13.856999999999999</v>
      </c>
      <c r="J194" s="110">
        <f t="shared" si="128"/>
        <v>75</v>
      </c>
      <c r="K194" s="4">
        <v>3</v>
      </c>
      <c r="L194" s="5" t="s">
        <v>0</v>
      </c>
      <c r="M194" s="80">
        <f t="shared" si="134"/>
        <v>0.3</v>
      </c>
      <c r="N194" s="78">
        <f t="shared" si="135"/>
        <v>22.5</v>
      </c>
      <c r="O194" s="111">
        <f t="shared" si="136"/>
        <v>36.356999999999999</v>
      </c>
      <c r="P194" s="164">
        <v>6</v>
      </c>
      <c r="Q194" s="164">
        <v>8</v>
      </c>
      <c r="R194" s="164">
        <v>10</v>
      </c>
      <c r="S194" s="167"/>
    </row>
    <row r="195" spans="1:19" s="168" customFormat="1" x14ac:dyDescent="0.25">
      <c r="A195" s="187"/>
      <c r="B195" s="24" t="s">
        <v>1160</v>
      </c>
      <c r="C195" s="5">
        <f>C191*2</f>
        <v>20</v>
      </c>
      <c r="D195" s="7">
        <v>0</v>
      </c>
      <c r="E195" s="3">
        <f t="shared" si="132"/>
        <v>20</v>
      </c>
      <c r="F195" s="85" t="s">
        <v>867</v>
      </c>
      <c r="G195" s="77">
        <v>10.75</v>
      </c>
      <c r="H195" s="5" t="s">
        <v>0</v>
      </c>
      <c r="I195" s="78">
        <f t="shared" si="133"/>
        <v>2.15</v>
      </c>
      <c r="J195" s="110">
        <f t="shared" si="128"/>
        <v>75</v>
      </c>
      <c r="K195" s="4">
        <v>2.8</v>
      </c>
      <c r="L195" s="5" t="s">
        <v>0</v>
      </c>
      <c r="M195" s="80">
        <f t="shared" si="134"/>
        <v>0.55999999999999994</v>
      </c>
      <c r="N195" s="78">
        <f t="shared" si="135"/>
        <v>41.999999999999993</v>
      </c>
      <c r="O195" s="111">
        <f t="shared" si="136"/>
        <v>44.149999999999991</v>
      </c>
      <c r="P195" s="164">
        <v>3.1</v>
      </c>
      <c r="Q195" s="164">
        <v>3.88</v>
      </c>
      <c r="R195" s="164">
        <v>4.84</v>
      </c>
      <c r="S195" s="167"/>
    </row>
    <row r="196" spans="1:19" s="168" customFormat="1" x14ac:dyDescent="0.25">
      <c r="A196" s="187"/>
      <c r="B196" s="24" t="s">
        <v>4</v>
      </c>
      <c r="C196" s="5">
        <f>C191</f>
        <v>10</v>
      </c>
      <c r="D196" s="7">
        <v>0</v>
      </c>
      <c r="E196" s="3">
        <f t="shared" si="132"/>
        <v>10</v>
      </c>
      <c r="F196" s="85" t="s">
        <v>867</v>
      </c>
      <c r="G196" s="77">
        <v>49.82</v>
      </c>
      <c r="H196" s="5" t="s">
        <v>0</v>
      </c>
      <c r="I196" s="78">
        <f t="shared" si="133"/>
        <v>4.9819999999999993</v>
      </c>
      <c r="J196" s="110">
        <f t="shared" si="128"/>
        <v>75</v>
      </c>
      <c r="K196" s="4">
        <v>2.7</v>
      </c>
      <c r="L196" s="5" t="s">
        <v>0</v>
      </c>
      <c r="M196" s="80">
        <f t="shared" si="134"/>
        <v>0.27</v>
      </c>
      <c r="N196" s="78">
        <f t="shared" si="135"/>
        <v>20.25</v>
      </c>
      <c r="O196" s="111">
        <f t="shared" si="136"/>
        <v>25.231999999999999</v>
      </c>
      <c r="P196" s="164">
        <v>10</v>
      </c>
      <c r="Q196" s="164">
        <v>12.5</v>
      </c>
      <c r="R196" s="164">
        <v>15</v>
      </c>
      <c r="S196" s="167"/>
    </row>
    <row r="197" spans="1:19" s="168" customFormat="1" ht="15.75" thickBot="1" x14ac:dyDescent="0.3">
      <c r="A197" s="187"/>
      <c r="B197" s="179"/>
      <c r="C197" s="155"/>
      <c r="D197" s="157"/>
      <c r="E197" s="158"/>
      <c r="F197" s="158"/>
      <c r="G197" s="147" t="s">
        <v>1202</v>
      </c>
      <c r="H197" s="155"/>
      <c r="I197" s="162"/>
      <c r="J197" s="164"/>
      <c r="K197" s="164"/>
      <c r="L197" s="155"/>
      <c r="M197" s="165"/>
      <c r="N197" s="162"/>
      <c r="O197" s="166"/>
      <c r="P197" s="164"/>
      <c r="Q197" s="164"/>
      <c r="R197" s="164"/>
      <c r="S197" s="167"/>
    </row>
    <row r="198" spans="1:19" s="168" customFormat="1" ht="16.5" thickBot="1" x14ac:dyDescent="0.3">
      <c r="A198" s="232">
        <v>28</v>
      </c>
      <c r="B198" s="233" t="s">
        <v>2607</v>
      </c>
      <c r="C198" s="5"/>
      <c r="D198" s="7"/>
      <c r="E198" s="3"/>
      <c r="F198" s="234"/>
      <c r="G198" s="77"/>
      <c r="H198" s="5"/>
      <c r="I198" s="78"/>
      <c r="J198" s="110"/>
      <c r="K198" s="4"/>
      <c r="L198" s="5"/>
      <c r="M198" s="80"/>
      <c r="N198" s="78"/>
      <c r="O198" s="111"/>
      <c r="P198" s="164"/>
      <c r="Q198" s="164"/>
      <c r="R198" s="164"/>
      <c r="S198" s="164"/>
    </row>
    <row r="199" spans="1:19" x14ac:dyDescent="0.25">
      <c r="A199" s="235">
        <v>1</v>
      </c>
      <c r="B199" s="236" t="s">
        <v>2608</v>
      </c>
      <c r="C199" s="151">
        <v>1</v>
      </c>
      <c r="D199" s="152">
        <v>0</v>
      </c>
      <c r="E199" s="153">
        <f t="shared" ref="E199:E216" si="137">C199+(C199*D199)</f>
        <v>1</v>
      </c>
      <c r="F199" s="234" t="s">
        <v>867</v>
      </c>
      <c r="G199" s="77">
        <v>1336.52</v>
      </c>
      <c r="H199" s="5" t="s">
        <v>0</v>
      </c>
      <c r="I199" s="78">
        <f t="shared" ref="I199:I216" si="138">IF(H199="C",(G199/100)*E199,IF(H199="M",(G199/1000)*E199,G199*E199))</f>
        <v>13.3652</v>
      </c>
      <c r="J199" s="110">
        <f t="shared" ref="J199:J216" si="139">$O$4</f>
        <v>75</v>
      </c>
      <c r="K199" s="4">
        <v>20</v>
      </c>
      <c r="L199" s="5" t="s">
        <v>0</v>
      </c>
      <c r="M199" s="80">
        <f t="shared" ref="M199:M216" si="140">IF(L199="C",(K199/100)*E199,IF(L199="M",(K199/1000)*E199,K199*E199))</f>
        <v>0.2</v>
      </c>
      <c r="N199" s="78">
        <f t="shared" ref="N199:N216" si="141">M199*J199</f>
        <v>15</v>
      </c>
      <c r="O199" s="111">
        <f t="shared" ref="O199:O216" si="142">N199+I199</f>
        <v>28.365200000000002</v>
      </c>
      <c r="P199" s="164"/>
      <c r="Q199" s="164"/>
      <c r="R199" s="164"/>
      <c r="S199" s="164"/>
    </row>
    <row r="200" spans="1:19" x14ac:dyDescent="0.25">
      <c r="A200" s="235">
        <v>2</v>
      </c>
      <c r="B200" s="236" t="s">
        <v>2609</v>
      </c>
      <c r="C200" s="151">
        <v>1</v>
      </c>
      <c r="D200" s="152">
        <v>0</v>
      </c>
      <c r="E200" s="153">
        <f t="shared" si="137"/>
        <v>1</v>
      </c>
      <c r="F200" s="234" t="s">
        <v>867</v>
      </c>
      <c r="G200" s="77">
        <v>1971.63</v>
      </c>
      <c r="H200" s="5" t="s">
        <v>0</v>
      </c>
      <c r="I200" s="78">
        <f t="shared" si="138"/>
        <v>19.7163</v>
      </c>
      <c r="J200" s="110">
        <f t="shared" si="139"/>
        <v>75</v>
      </c>
      <c r="K200" s="4">
        <v>25</v>
      </c>
      <c r="L200" s="5" t="s">
        <v>0</v>
      </c>
      <c r="M200" s="80">
        <f t="shared" si="140"/>
        <v>0.25</v>
      </c>
      <c r="N200" s="78">
        <f t="shared" si="141"/>
        <v>18.75</v>
      </c>
      <c r="O200" s="111">
        <f t="shared" si="142"/>
        <v>38.466300000000004</v>
      </c>
      <c r="P200" s="164"/>
      <c r="Q200" s="164"/>
      <c r="R200" s="164"/>
      <c r="S200" s="164"/>
    </row>
    <row r="201" spans="1:19" x14ac:dyDescent="0.25">
      <c r="A201" s="235">
        <v>3</v>
      </c>
      <c r="B201" s="236" t="s">
        <v>2610</v>
      </c>
      <c r="C201" s="151">
        <v>1</v>
      </c>
      <c r="D201" s="152">
        <v>0</v>
      </c>
      <c r="E201" s="153">
        <f t="shared" si="137"/>
        <v>1</v>
      </c>
      <c r="F201" s="3" t="s">
        <v>867</v>
      </c>
      <c r="G201" s="77">
        <v>1836.32</v>
      </c>
      <c r="H201" s="5" t="s">
        <v>0</v>
      </c>
      <c r="I201" s="78">
        <f t="shared" si="138"/>
        <v>18.363199999999999</v>
      </c>
      <c r="J201" s="110">
        <f t="shared" si="139"/>
        <v>75</v>
      </c>
      <c r="K201" s="4">
        <v>25</v>
      </c>
      <c r="L201" s="5" t="s">
        <v>0</v>
      </c>
      <c r="M201" s="80">
        <f t="shared" si="140"/>
        <v>0.25</v>
      </c>
      <c r="N201" s="78">
        <f t="shared" si="141"/>
        <v>18.75</v>
      </c>
      <c r="O201" s="111">
        <f t="shared" si="142"/>
        <v>37.113199999999999</v>
      </c>
      <c r="P201" s="164"/>
      <c r="Q201" s="164"/>
      <c r="R201" s="164"/>
      <c r="S201" s="164"/>
    </row>
    <row r="202" spans="1:19" x14ac:dyDescent="0.25">
      <c r="A202" s="235">
        <v>4</v>
      </c>
      <c r="B202" s="236" t="s">
        <v>2611</v>
      </c>
      <c r="C202" s="151">
        <v>1</v>
      </c>
      <c r="D202" s="152">
        <v>0</v>
      </c>
      <c r="E202" s="153">
        <f t="shared" si="137"/>
        <v>1</v>
      </c>
      <c r="F202" s="3" t="s">
        <v>867</v>
      </c>
      <c r="G202" s="77">
        <v>3395</v>
      </c>
      <c r="H202" s="5" t="s">
        <v>0</v>
      </c>
      <c r="I202" s="78">
        <f t="shared" si="138"/>
        <v>33.950000000000003</v>
      </c>
      <c r="J202" s="110">
        <f t="shared" si="139"/>
        <v>75</v>
      </c>
      <c r="K202" s="4">
        <v>20</v>
      </c>
      <c r="L202" s="5" t="s">
        <v>0</v>
      </c>
      <c r="M202" s="80">
        <f t="shared" si="140"/>
        <v>0.2</v>
      </c>
      <c r="N202" s="78">
        <f t="shared" si="141"/>
        <v>15</v>
      </c>
      <c r="O202" s="111">
        <f t="shared" si="142"/>
        <v>48.95</v>
      </c>
      <c r="P202" s="164"/>
      <c r="Q202" s="164"/>
      <c r="R202" s="164"/>
      <c r="S202" s="164"/>
    </row>
    <row r="203" spans="1:19" x14ac:dyDescent="0.25">
      <c r="A203" s="235">
        <v>5</v>
      </c>
      <c r="B203" s="236" t="s">
        <v>1221</v>
      </c>
      <c r="C203" s="151">
        <v>1</v>
      </c>
      <c r="D203" s="152">
        <v>0</v>
      </c>
      <c r="E203" s="153">
        <f t="shared" si="137"/>
        <v>1</v>
      </c>
      <c r="F203" s="234" t="s">
        <v>867</v>
      </c>
      <c r="G203" s="77">
        <v>1248.4100000000001</v>
      </c>
      <c r="H203" s="5" t="s">
        <v>0</v>
      </c>
      <c r="I203" s="78">
        <f t="shared" si="138"/>
        <v>12.484100000000002</v>
      </c>
      <c r="J203" s="110">
        <f t="shared" si="139"/>
        <v>75</v>
      </c>
      <c r="K203" s="4">
        <v>20</v>
      </c>
      <c r="L203" s="5" t="s">
        <v>0</v>
      </c>
      <c r="M203" s="80">
        <f t="shared" si="140"/>
        <v>0.2</v>
      </c>
      <c r="N203" s="78">
        <f t="shared" si="141"/>
        <v>15</v>
      </c>
      <c r="O203" s="111">
        <f t="shared" si="142"/>
        <v>27.484100000000002</v>
      </c>
      <c r="P203" s="164">
        <v>30</v>
      </c>
      <c r="Q203" s="164">
        <v>37.5</v>
      </c>
      <c r="R203" s="164">
        <v>45</v>
      </c>
      <c r="S203" s="164"/>
    </row>
    <row r="204" spans="1:19" x14ac:dyDescent="0.25">
      <c r="A204" s="235">
        <v>6</v>
      </c>
      <c r="B204" s="236" t="s">
        <v>2612</v>
      </c>
      <c r="C204" s="151">
        <v>1</v>
      </c>
      <c r="D204" s="152">
        <v>0</v>
      </c>
      <c r="E204" s="153">
        <f t="shared" si="137"/>
        <v>1</v>
      </c>
      <c r="F204" s="234" t="s">
        <v>867</v>
      </c>
      <c r="G204" s="77">
        <v>2512</v>
      </c>
      <c r="H204" s="5" t="s">
        <v>0</v>
      </c>
      <c r="I204" s="78">
        <f t="shared" si="138"/>
        <v>25.12</v>
      </c>
      <c r="J204" s="110">
        <f t="shared" si="139"/>
        <v>75</v>
      </c>
      <c r="K204" s="4">
        <v>20</v>
      </c>
      <c r="L204" s="5" t="s">
        <v>0</v>
      </c>
      <c r="M204" s="80">
        <f t="shared" si="140"/>
        <v>0.2</v>
      </c>
      <c r="N204" s="78">
        <f t="shared" si="141"/>
        <v>15</v>
      </c>
      <c r="O204" s="111">
        <f t="shared" si="142"/>
        <v>40.120000000000005</v>
      </c>
      <c r="P204" s="164"/>
      <c r="Q204" s="164"/>
      <c r="R204" s="164"/>
      <c r="S204" s="164"/>
    </row>
    <row r="205" spans="1:19" x14ac:dyDescent="0.25">
      <c r="A205" s="235">
        <v>7</v>
      </c>
      <c r="B205" s="236" t="s">
        <v>2613</v>
      </c>
      <c r="C205" s="151">
        <v>1</v>
      </c>
      <c r="D205" s="152">
        <v>0</v>
      </c>
      <c r="E205" s="153">
        <f t="shared" si="137"/>
        <v>1</v>
      </c>
      <c r="F205" s="234" t="s">
        <v>867</v>
      </c>
      <c r="G205" s="77">
        <v>4950</v>
      </c>
      <c r="H205" s="5" t="s">
        <v>0</v>
      </c>
      <c r="I205" s="78">
        <f t="shared" si="138"/>
        <v>49.5</v>
      </c>
      <c r="J205" s="110">
        <f t="shared" si="139"/>
        <v>75</v>
      </c>
      <c r="K205" s="4">
        <v>25</v>
      </c>
      <c r="L205" s="5" t="s">
        <v>0</v>
      </c>
      <c r="M205" s="80">
        <f t="shared" si="140"/>
        <v>0.25</v>
      </c>
      <c r="N205" s="78">
        <f t="shared" si="141"/>
        <v>18.75</v>
      </c>
      <c r="O205" s="111">
        <f t="shared" si="142"/>
        <v>68.25</v>
      </c>
      <c r="P205" s="164"/>
      <c r="Q205" s="164"/>
      <c r="R205" s="164"/>
      <c r="S205" s="164"/>
    </row>
    <row r="206" spans="1:19" x14ac:dyDescent="0.25">
      <c r="A206" s="235">
        <v>8</v>
      </c>
      <c r="B206" s="236" t="s">
        <v>2614</v>
      </c>
      <c r="C206" s="151">
        <v>1</v>
      </c>
      <c r="D206" s="152">
        <v>0</v>
      </c>
      <c r="E206" s="153">
        <f t="shared" si="137"/>
        <v>1</v>
      </c>
      <c r="F206" s="234" t="s">
        <v>867</v>
      </c>
      <c r="G206" s="77">
        <v>2145</v>
      </c>
      <c r="H206" s="5" t="s">
        <v>0</v>
      </c>
      <c r="I206" s="78">
        <f t="shared" si="138"/>
        <v>21.45</v>
      </c>
      <c r="J206" s="110">
        <f t="shared" si="139"/>
        <v>75</v>
      </c>
      <c r="K206" s="4">
        <v>20</v>
      </c>
      <c r="L206" s="5" t="s">
        <v>0</v>
      </c>
      <c r="M206" s="80">
        <f t="shared" si="140"/>
        <v>0.2</v>
      </c>
      <c r="N206" s="78">
        <f t="shared" si="141"/>
        <v>15</v>
      </c>
      <c r="O206" s="111">
        <f t="shared" si="142"/>
        <v>36.450000000000003</v>
      </c>
      <c r="P206" s="164"/>
      <c r="Q206" s="164"/>
      <c r="R206" s="164"/>
      <c r="S206" s="164"/>
    </row>
    <row r="207" spans="1:19" x14ac:dyDescent="0.25">
      <c r="A207" s="235">
        <v>9</v>
      </c>
      <c r="B207" s="236" t="s">
        <v>2615</v>
      </c>
      <c r="C207" s="151">
        <v>1</v>
      </c>
      <c r="D207" s="152">
        <v>0</v>
      </c>
      <c r="E207" s="153">
        <f t="shared" si="137"/>
        <v>1</v>
      </c>
      <c r="F207" s="234" t="s">
        <v>867</v>
      </c>
      <c r="G207" s="77">
        <v>498.78</v>
      </c>
      <c r="H207" s="5" t="s">
        <v>0</v>
      </c>
      <c r="I207" s="78">
        <f t="shared" si="138"/>
        <v>4.9878</v>
      </c>
      <c r="J207" s="110">
        <f t="shared" si="139"/>
        <v>75</v>
      </c>
      <c r="K207" s="4">
        <v>20</v>
      </c>
      <c r="L207" s="5" t="s">
        <v>0</v>
      </c>
      <c r="M207" s="80">
        <f t="shared" si="140"/>
        <v>0.2</v>
      </c>
      <c r="N207" s="78">
        <f t="shared" si="141"/>
        <v>15</v>
      </c>
      <c r="O207" s="111">
        <f t="shared" si="142"/>
        <v>19.9878</v>
      </c>
      <c r="P207" s="164"/>
      <c r="Q207" s="164"/>
      <c r="R207" s="164"/>
      <c r="S207" s="164"/>
    </row>
    <row r="208" spans="1:19" x14ac:dyDescent="0.25">
      <c r="A208" s="235">
        <v>10</v>
      </c>
      <c r="B208" s="236" t="s">
        <v>2616</v>
      </c>
      <c r="C208" s="151">
        <v>1</v>
      </c>
      <c r="D208" s="152">
        <v>0</v>
      </c>
      <c r="E208" s="153">
        <f t="shared" si="137"/>
        <v>1</v>
      </c>
      <c r="F208" s="234" t="s">
        <v>867</v>
      </c>
      <c r="G208" s="77">
        <v>1777</v>
      </c>
      <c r="H208" s="5" t="s">
        <v>0</v>
      </c>
      <c r="I208" s="78">
        <f t="shared" si="138"/>
        <v>17.77</v>
      </c>
      <c r="J208" s="110">
        <f t="shared" si="139"/>
        <v>75</v>
      </c>
      <c r="K208" s="4">
        <v>25</v>
      </c>
      <c r="L208" s="5" t="s">
        <v>0</v>
      </c>
      <c r="M208" s="80">
        <f t="shared" si="140"/>
        <v>0.25</v>
      </c>
      <c r="N208" s="78">
        <f t="shared" si="141"/>
        <v>18.75</v>
      </c>
      <c r="O208" s="111">
        <f t="shared" si="142"/>
        <v>36.519999999999996</v>
      </c>
      <c r="P208" s="164"/>
      <c r="Q208" s="164"/>
      <c r="R208" s="164"/>
      <c r="S208" s="164"/>
    </row>
    <row r="209" spans="1:19" x14ac:dyDescent="0.25">
      <c r="A209" s="235">
        <v>11</v>
      </c>
      <c r="B209" s="236" t="s">
        <v>2617</v>
      </c>
      <c r="C209" s="151">
        <v>1</v>
      </c>
      <c r="D209" s="152">
        <v>0</v>
      </c>
      <c r="E209" s="153">
        <f t="shared" si="137"/>
        <v>1</v>
      </c>
      <c r="F209" s="234" t="s">
        <v>867</v>
      </c>
      <c r="G209" s="77"/>
      <c r="H209" s="5" t="s">
        <v>1</v>
      </c>
      <c r="I209" s="78">
        <f t="shared" si="138"/>
        <v>0</v>
      </c>
      <c r="J209" s="110">
        <f t="shared" si="139"/>
        <v>75</v>
      </c>
      <c r="K209" s="4"/>
      <c r="L209" s="5" t="s">
        <v>1</v>
      </c>
      <c r="M209" s="80">
        <f t="shared" si="140"/>
        <v>0</v>
      </c>
      <c r="N209" s="78">
        <f t="shared" si="141"/>
        <v>0</v>
      </c>
      <c r="O209" s="111">
        <f t="shared" si="142"/>
        <v>0</v>
      </c>
      <c r="P209" s="164"/>
      <c r="Q209" s="164"/>
      <c r="R209" s="164"/>
      <c r="S209" s="164"/>
    </row>
    <row r="210" spans="1:19" x14ac:dyDescent="0.25">
      <c r="A210" s="235">
        <v>12</v>
      </c>
      <c r="B210" s="236" t="s">
        <v>2618</v>
      </c>
      <c r="C210" s="151">
        <v>1</v>
      </c>
      <c r="D210" s="152">
        <v>0</v>
      </c>
      <c r="E210" s="153">
        <f t="shared" si="137"/>
        <v>1</v>
      </c>
      <c r="F210" s="234" t="s">
        <v>867</v>
      </c>
      <c r="G210" s="77">
        <v>2899.32</v>
      </c>
      <c r="H210" s="5" t="s">
        <v>0</v>
      </c>
      <c r="I210" s="78">
        <f t="shared" si="138"/>
        <v>28.993200000000002</v>
      </c>
      <c r="J210" s="110">
        <f t="shared" si="139"/>
        <v>75</v>
      </c>
      <c r="K210" s="4">
        <v>20</v>
      </c>
      <c r="L210" s="5" t="s">
        <v>0</v>
      </c>
      <c r="M210" s="80">
        <f t="shared" si="140"/>
        <v>0.2</v>
      </c>
      <c r="N210" s="78">
        <f t="shared" si="141"/>
        <v>15</v>
      </c>
      <c r="O210" s="111">
        <f t="shared" si="142"/>
        <v>43.993200000000002</v>
      </c>
      <c r="P210" s="164"/>
      <c r="Q210" s="164"/>
      <c r="R210" s="164"/>
      <c r="S210" s="164"/>
    </row>
    <row r="211" spans="1:19" x14ac:dyDescent="0.25">
      <c r="A211" s="235">
        <v>13</v>
      </c>
      <c r="B211" s="236" t="s">
        <v>2619</v>
      </c>
      <c r="C211" s="151">
        <v>1</v>
      </c>
      <c r="D211" s="152">
        <v>0</v>
      </c>
      <c r="E211" s="153">
        <f t="shared" si="137"/>
        <v>1</v>
      </c>
      <c r="F211" s="234" t="s">
        <v>867</v>
      </c>
      <c r="G211" s="77">
        <v>1848.25</v>
      </c>
      <c r="H211" s="5" t="s">
        <v>0</v>
      </c>
      <c r="I211" s="78">
        <f t="shared" si="138"/>
        <v>18.482500000000002</v>
      </c>
      <c r="J211" s="110">
        <f t="shared" si="139"/>
        <v>75</v>
      </c>
      <c r="K211" s="4">
        <v>25</v>
      </c>
      <c r="L211" s="5" t="s">
        <v>0</v>
      </c>
      <c r="M211" s="80">
        <f t="shared" si="140"/>
        <v>0.25</v>
      </c>
      <c r="N211" s="78">
        <f t="shared" si="141"/>
        <v>18.75</v>
      </c>
      <c r="O211" s="111">
        <f t="shared" si="142"/>
        <v>37.232500000000002</v>
      </c>
      <c r="P211" s="164">
        <v>35</v>
      </c>
      <c r="Q211" s="164">
        <v>40</v>
      </c>
      <c r="R211" s="164">
        <v>45</v>
      </c>
      <c r="S211" s="164">
        <v>137496</v>
      </c>
    </row>
    <row r="212" spans="1:19" x14ac:dyDescent="0.25">
      <c r="A212" s="235">
        <v>14</v>
      </c>
      <c r="B212" s="236" t="s">
        <v>2620</v>
      </c>
      <c r="C212" s="151">
        <v>1</v>
      </c>
      <c r="D212" s="152">
        <v>0</v>
      </c>
      <c r="E212" s="153">
        <f t="shared" si="137"/>
        <v>1</v>
      </c>
      <c r="F212" s="234" t="s">
        <v>867</v>
      </c>
      <c r="G212" s="77">
        <v>1214</v>
      </c>
      <c r="H212" s="5" t="s">
        <v>0</v>
      </c>
      <c r="I212" s="78">
        <f t="shared" si="138"/>
        <v>12.14</v>
      </c>
      <c r="J212" s="110">
        <f t="shared" si="139"/>
        <v>75</v>
      </c>
      <c r="K212" s="4">
        <v>20</v>
      </c>
      <c r="L212" s="5" t="s">
        <v>0</v>
      </c>
      <c r="M212" s="80">
        <f t="shared" si="140"/>
        <v>0.2</v>
      </c>
      <c r="N212" s="78">
        <f t="shared" si="141"/>
        <v>15</v>
      </c>
      <c r="O212" s="111">
        <f t="shared" si="142"/>
        <v>27.14</v>
      </c>
      <c r="P212" s="164">
        <v>30</v>
      </c>
      <c r="Q212" s="164">
        <v>37.5</v>
      </c>
      <c r="R212" s="164">
        <v>45</v>
      </c>
      <c r="S212" s="164">
        <v>137589</v>
      </c>
    </row>
    <row r="213" spans="1:19" x14ac:dyDescent="0.25">
      <c r="A213" s="235">
        <v>15</v>
      </c>
      <c r="B213" s="236" t="s">
        <v>2621</v>
      </c>
      <c r="C213" s="151">
        <v>1</v>
      </c>
      <c r="D213" s="152">
        <v>0</v>
      </c>
      <c r="E213" s="153">
        <f t="shared" si="137"/>
        <v>1</v>
      </c>
      <c r="F213" s="234" t="s">
        <v>867</v>
      </c>
      <c r="G213" s="77">
        <v>1655.5</v>
      </c>
      <c r="H213" s="5" t="s">
        <v>0</v>
      </c>
      <c r="I213" s="78">
        <f t="shared" si="138"/>
        <v>16.555</v>
      </c>
      <c r="J213" s="110">
        <f t="shared" si="139"/>
        <v>75</v>
      </c>
      <c r="K213" s="4">
        <v>20</v>
      </c>
      <c r="L213" s="5" t="s">
        <v>0</v>
      </c>
      <c r="M213" s="80">
        <f t="shared" si="140"/>
        <v>0.2</v>
      </c>
      <c r="N213" s="78">
        <f t="shared" si="141"/>
        <v>15</v>
      </c>
      <c r="O213" s="111">
        <f t="shared" si="142"/>
        <v>31.555</v>
      </c>
      <c r="P213" s="164">
        <v>30</v>
      </c>
      <c r="Q213" s="164">
        <v>37.5</v>
      </c>
      <c r="R213" s="164">
        <v>45</v>
      </c>
      <c r="S213" s="164">
        <v>137589</v>
      </c>
    </row>
    <row r="214" spans="1:19" ht="15.75" thickBot="1" x14ac:dyDescent="0.3">
      <c r="A214" s="235">
        <v>16</v>
      </c>
      <c r="B214" s="237" t="s">
        <v>9</v>
      </c>
      <c r="C214" s="151">
        <v>1</v>
      </c>
      <c r="D214" s="152">
        <v>0</v>
      </c>
      <c r="E214" s="153">
        <f t="shared" si="137"/>
        <v>1</v>
      </c>
      <c r="F214" s="234" t="s">
        <v>867</v>
      </c>
      <c r="G214" s="77">
        <v>798.41</v>
      </c>
      <c r="H214" s="5" t="s">
        <v>0</v>
      </c>
      <c r="I214" s="78">
        <f t="shared" si="138"/>
        <v>7.9840999999999998</v>
      </c>
      <c r="J214" s="110">
        <f t="shared" si="139"/>
        <v>75</v>
      </c>
      <c r="K214" s="4">
        <v>20</v>
      </c>
      <c r="L214" s="5" t="s">
        <v>0</v>
      </c>
      <c r="M214" s="80">
        <f t="shared" si="140"/>
        <v>0.2</v>
      </c>
      <c r="N214" s="78">
        <f t="shared" si="141"/>
        <v>15</v>
      </c>
      <c r="O214" s="111">
        <f t="shared" si="142"/>
        <v>22.984099999999998</v>
      </c>
      <c r="P214" s="164">
        <v>30</v>
      </c>
      <c r="Q214" s="164">
        <v>37.5</v>
      </c>
      <c r="R214" s="164">
        <v>45</v>
      </c>
      <c r="S214" s="164">
        <v>137511</v>
      </c>
    </row>
    <row r="215" spans="1:19" ht="15.75" thickBot="1" x14ac:dyDescent="0.3">
      <c r="A215" s="238">
        <v>17</v>
      </c>
      <c r="B215" s="239" t="s">
        <v>2622</v>
      </c>
      <c r="C215" s="197">
        <f>C207</f>
        <v>1</v>
      </c>
      <c r="D215" s="7">
        <v>0</v>
      </c>
      <c r="E215" s="3">
        <f t="shared" si="137"/>
        <v>1</v>
      </c>
      <c r="F215" s="234" t="s">
        <v>867</v>
      </c>
      <c r="G215" s="77">
        <v>24.98</v>
      </c>
      <c r="H215" s="5" t="s">
        <v>1</v>
      </c>
      <c r="I215" s="78">
        <f t="shared" si="138"/>
        <v>24.98</v>
      </c>
      <c r="J215" s="110">
        <f t="shared" si="139"/>
        <v>75</v>
      </c>
      <c r="K215" s="4">
        <v>0.15</v>
      </c>
      <c r="L215" s="5" t="s">
        <v>1</v>
      </c>
      <c r="M215" s="80">
        <f t="shared" si="140"/>
        <v>0.15</v>
      </c>
      <c r="N215" s="78">
        <f t="shared" si="141"/>
        <v>11.25</v>
      </c>
      <c r="O215" s="111">
        <f t="shared" si="142"/>
        <v>36.230000000000004</v>
      </c>
      <c r="P215" s="164">
        <v>12</v>
      </c>
      <c r="Q215" s="164">
        <v>15</v>
      </c>
      <c r="R215" s="164">
        <v>18</v>
      </c>
      <c r="S215" s="164">
        <v>138435</v>
      </c>
    </row>
    <row r="216" spans="1:19" ht="15.75" thickBot="1" x14ac:dyDescent="0.3">
      <c r="A216" s="238">
        <v>18</v>
      </c>
      <c r="B216" s="239" t="s">
        <v>2623</v>
      </c>
      <c r="C216" s="197">
        <f>C208</f>
        <v>1</v>
      </c>
      <c r="D216" s="7">
        <v>0</v>
      </c>
      <c r="E216" s="3">
        <f t="shared" si="137"/>
        <v>1</v>
      </c>
      <c r="F216" s="234" t="s">
        <v>867</v>
      </c>
      <c r="G216" s="77">
        <v>14.5</v>
      </c>
      <c r="H216" s="5" t="s">
        <v>1</v>
      </c>
      <c r="I216" s="78">
        <f t="shared" si="138"/>
        <v>14.5</v>
      </c>
      <c r="J216" s="110">
        <f t="shared" si="139"/>
        <v>75</v>
      </c>
      <c r="K216" s="4">
        <v>0.1</v>
      </c>
      <c r="L216" s="5" t="s">
        <v>1</v>
      </c>
      <c r="M216" s="80">
        <f t="shared" si="140"/>
        <v>0.1</v>
      </c>
      <c r="N216" s="78">
        <f t="shared" si="141"/>
        <v>7.5</v>
      </c>
      <c r="O216" s="111">
        <f t="shared" si="142"/>
        <v>22</v>
      </c>
      <c r="P216" s="164">
        <v>12</v>
      </c>
      <c r="Q216" s="164">
        <v>15</v>
      </c>
      <c r="R216" s="164">
        <v>18</v>
      </c>
      <c r="S216" s="164">
        <v>138435</v>
      </c>
    </row>
    <row r="217" spans="1:19" s="168" customFormat="1" ht="15.75" thickBot="1" x14ac:dyDescent="0.3">
      <c r="A217" s="240"/>
      <c r="B217" s="241"/>
      <c r="C217" s="155"/>
      <c r="D217" s="157"/>
      <c r="E217" s="158"/>
      <c r="F217" s="158"/>
      <c r="G217" s="147" t="s">
        <v>1202</v>
      </c>
      <c r="H217" s="155"/>
      <c r="I217" s="162"/>
      <c r="J217" s="164"/>
      <c r="K217" s="242" t="s">
        <v>1262</v>
      </c>
      <c r="L217" s="155"/>
      <c r="M217" s="165"/>
      <c r="N217" s="162"/>
      <c r="O217" s="166"/>
      <c r="P217" s="164"/>
      <c r="Q217" s="164"/>
      <c r="R217" s="164"/>
      <c r="S217" s="164"/>
    </row>
    <row r="218" spans="1:19" ht="30" x14ac:dyDescent="0.25">
      <c r="A218" s="244">
        <v>1</v>
      </c>
      <c r="B218" s="246" t="s">
        <v>2625</v>
      </c>
      <c r="C218" s="208">
        <f>1*C212</f>
        <v>1</v>
      </c>
      <c r="D218" s="152">
        <v>0</v>
      </c>
      <c r="E218" s="153">
        <f t="shared" ref="E218:E220" si="143">C218+(C218*D218)</f>
        <v>1</v>
      </c>
      <c r="F218" s="234" t="s">
        <v>867</v>
      </c>
      <c r="G218" s="77">
        <v>138.57</v>
      </c>
      <c r="H218" s="5" t="s">
        <v>0</v>
      </c>
      <c r="I218" s="78">
        <f t="shared" ref="I218:I220" si="144">IF(H218="C",(G218/100)*E218,IF(H218="M",(G218/1000)*E218,G218*E218))</f>
        <v>1.3856999999999999</v>
      </c>
      <c r="J218" s="110">
        <f t="shared" ref="J218:J220" si="145">$O$4</f>
        <v>75</v>
      </c>
      <c r="K218" s="4">
        <v>3</v>
      </c>
      <c r="L218" s="5" t="s">
        <v>0</v>
      </c>
      <c r="M218" s="80">
        <f t="shared" ref="M218:M220" si="146">IF(L218="C",(K218/100)*E218,IF(L218="M",(K218/1000)*E218,K218*E218))</f>
        <v>0.03</v>
      </c>
      <c r="N218" s="78">
        <f t="shared" ref="N218" si="147">M218*J218</f>
        <v>2.25</v>
      </c>
      <c r="O218" s="111">
        <f t="shared" ref="O218" si="148">N218+I218</f>
        <v>3.6356999999999999</v>
      </c>
      <c r="P218" s="164"/>
      <c r="Q218" s="164"/>
      <c r="R218" s="164"/>
      <c r="S218" s="164"/>
    </row>
    <row r="219" spans="1:19" ht="30" x14ac:dyDescent="0.25">
      <c r="A219" s="244">
        <v>2</v>
      </c>
      <c r="B219" s="247" t="s">
        <v>2626</v>
      </c>
      <c r="C219" s="208">
        <f>3*C212</f>
        <v>3</v>
      </c>
      <c r="D219" s="152">
        <v>0</v>
      </c>
      <c r="E219" s="153">
        <f t="shared" si="143"/>
        <v>3</v>
      </c>
      <c r="F219" s="3" t="s">
        <v>867</v>
      </c>
      <c r="G219" s="77">
        <v>1.02</v>
      </c>
      <c r="H219" s="5" t="s">
        <v>0</v>
      </c>
      <c r="I219" s="78">
        <f t="shared" si="144"/>
        <v>3.0600000000000002E-2</v>
      </c>
      <c r="J219" s="154">
        <f t="shared" si="145"/>
        <v>75</v>
      </c>
      <c r="K219" s="4">
        <v>1.2</v>
      </c>
      <c r="L219" s="5" t="s">
        <v>0</v>
      </c>
      <c r="M219" s="80">
        <f t="shared" si="146"/>
        <v>3.6000000000000004E-2</v>
      </c>
      <c r="N219" s="78">
        <f t="shared" ref="N219:N220" si="149">J219*M219</f>
        <v>2.7</v>
      </c>
      <c r="O219" s="111">
        <f t="shared" ref="O219:O220" si="150">I219+N219</f>
        <v>2.7306000000000004</v>
      </c>
      <c r="P219" s="164"/>
      <c r="Q219" s="164"/>
      <c r="R219" s="164"/>
      <c r="S219" s="164"/>
    </row>
    <row r="220" spans="1:19" ht="15.75" thickBot="1" x14ac:dyDescent="0.3">
      <c r="A220" s="244">
        <v>3</v>
      </c>
      <c r="B220" s="248" t="s">
        <v>2627</v>
      </c>
      <c r="C220" s="208">
        <f>3*C212</f>
        <v>3</v>
      </c>
      <c r="D220" s="152">
        <v>0</v>
      </c>
      <c r="E220" s="153">
        <f t="shared" si="143"/>
        <v>3</v>
      </c>
      <c r="F220" s="3" t="s">
        <v>867</v>
      </c>
      <c r="G220" s="77">
        <v>67.06</v>
      </c>
      <c r="H220" s="5" t="s">
        <v>26</v>
      </c>
      <c r="I220" s="78">
        <f t="shared" si="144"/>
        <v>0.20118000000000003</v>
      </c>
      <c r="J220" s="154">
        <f t="shared" si="145"/>
        <v>75</v>
      </c>
      <c r="K220" s="4">
        <v>1.75</v>
      </c>
      <c r="L220" s="5" t="s">
        <v>0</v>
      </c>
      <c r="M220" s="80">
        <f t="shared" si="146"/>
        <v>5.2500000000000005E-2</v>
      </c>
      <c r="N220" s="78">
        <f t="shared" si="149"/>
        <v>3.9375000000000004</v>
      </c>
      <c r="O220" s="111">
        <f t="shared" si="150"/>
        <v>4.1386800000000008</v>
      </c>
      <c r="P220" s="164"/>
      <c r="Q220" s="164"/>
      <c r="R220" s="164"/>
      <c r="S220" s="164"/>
    </row>
    <row r="221" spans="1:19" ht="15.75" thickBot="1" x14ac:dyDescent="0.3">
      <c r="A221" s="235"/>
      <c r="B221" s="245"/>
      <c r="C221" s="151"/>
      <c r="D221" s="152"/>
      <c r="E221" s="153"/>
      <c r="F221" s="3"/>
      <c r="G221" s="77"/>
      <c r="H221" s="5"/>
      <c r="I221" s="78"/>
      <c r="J221" s="154"/>
      <c r="K221" s="4"/>
      <c r="L221" s="5"/>
      <c r="M221" s="80"/>
      <c r="N221" s="78"/>
      <c r="O221" s="111"/>
      <c r="P221" s="164"/>
      <c r="Q221" s="164"/>
      <c r="R221" s="164"/>
      <c r="S221" s="164"/>
    </row>
    <row r="222" spans="1:19" ht="15" customHeight="1" thickBot="1" x14ac:dyDescent="0.3">
      <c r="A222" s="38"/>
      <c r="B222" s="120" t="s">
        <v>158</v>
      </c>
      <c r="C222" s="23"/>
      <c r="D222" s="7"/>
      <c r="E222" s="3"/>
      <c r="F222" s="3"/>
      <c r="G222" s="77" t="s">
        <v>1202</v>
      </c>
      <c r="H222" s="25"/>
      <c r="I222" s="78"/>
      <c r="J222" s="4"/>
      <c r="K222" s="4"/>
      <c r="L222" s="5"/>
      <c r="M222" s="80"/>
      <c r="N222" s="78"/>
      <c r="O222" s="111"/>
      <c r="P222" s="164"/>
      <c r="Q222" s="164"/>
      <c r="R222" s="164"/>
      <c r="S222" s="164"/>
    </row>
    <row r="223" spans="1:19" ht="30" x14ac:dyDescent="0.25">
      <c r="A223" s="37">
        <v>1</v>
      </c>
      <c r="B223" s="202" t="s">
        <v>2595</v>
      </c>
      <c r="C223" s="5">
        <v>1</v>
      </c>
      <c r="D223" s="7">
        <v>0</v>
      </c>
      <c r="E223" s="3">
        <f t="shared" si="69"/>
        <v>1</v>
      </c>
      <c r="F223" s="85" t="s">
        <v>867</v>
      </c>
      <c r="G223" s="77">
        <v>1521.63</v>
      </c>
      <c r="H223" s="25" t="s">
        <v>0</v>
      </c>
      <c r="I223" s="78">
        <f t="shared" si="73"/>
        <v>15.2163</v>
      </c>
      <c r="J223" s="110">
        <f t="shared" ref="J223:J228" si="151">$O$4</f>
        <v>75</v>
      </c>
      <c r="K223" s="4">
        <v>25</v>
      </c>
      <c r="L223" s="5" t="s">
        <v>0</v>
      </c>
      <c r="M223" s="80">
        <f t="shared" si="70"/>
        <v>0.25</v>
      </c>
      <c r="N223" s="78">
        <f t="shared" si="71"/>
        <v>18.75</v>
      </c>
      <c r="O223" s="111">
        <f t="shared" si="72"/>
        <v>33.966300000000004</v>
      </c>
      <c r="P223" s="164">
        <v>35</v>
      </c>
      <c r="Q223" s="164">
        <v>40</v>
      </c>
      <c r="R223" s="164">
        <v>45</v>
      </c>
      <c r="S223" s="49">
        <v>137496</v>
      </c>
    </row>
    <row r="224" spans="1:19" x14ac:dyDescent="0.25">
      <c r="A224" s="37"/>
      <c r="B224" s="24" t="s">
        <v>860</v>
      </c>
      <c r="C224" s="5">
        <f>C223</f>
        <v>1</v>
      </c>
      <c r="D224" s="7">
        <v>0</v>
      </c>
      <c r="E224" s="3">
        <f t="shared" si="69"/>
        <v>1</v>
      </c>
      <c r="F224" s="85" t="s">
        <v>867</v>
      </c>
      <c r="G224" s="77">
        <v>404.23</v>
      </c>
      <c r="H224" s="25" t="s">
        <v>0</v>
      </c>
      <c r="I224" s="78">
        <f t="shared" si="73"/>
        <v>4.0423</v>
      </c>
      <c r="J224" s="110">
        <f t="shared" si="151"/>
        <v>75</v>
      </c>
      <c r="K224" s="4">
        <v>23</v>
      </c>
      <c r="L224" s="5" t="s">
        <v>0</v>
      </c>
      <c r="M224" s="80">
        <f t="shared" si="70"/>
        <v>0.23</v>
      </c>
      <c r="N224" s="78">
        <f t="shared" si="71"/>
        <v>17.25</v>
      </c>
      <c r="O224" s="111">
        <f t="shared" si="72"/>
        <v>21.292300000000001</v>
      </c>
      <c r="P224" s="4">
        <v>30</v>
      </c>
      <c r="Q224" s="4">
        <v>35</v>
      </c>
      <c r="R224" s="4">
        <v>40</v>
      </c>
      <c r="S224" s="49">
        <v>124314</v>
      </c>
    </row>
    <row r="225" spans="1:19" x14ac:dyDescent="0.25">
      <c r="A225" s="37"/>
      <c r="B225" s="24" t="s">
        <v>2</v>
      </c>
      <c r="C225" s="5">
        <f>C223</f>
        <v>1</v>
      </c>
      <c r="D225" s="7">
        <v>0</v>
      </c>
      <c r="E225" s="3">
        <f t="shared" si="69"/>
        <v>1</v>
      </c>
      <c r="F225" s="85" t="s">
        <v>867</v>
      </c>
      <c r="G225" s="77">
        <v>258.01</v>
      </c>
      <c r="H225" s="25" t="s">
        <v>0</v>
      </c>
      <c r="I225" s="78">
        <f t="shared" si="73"/>
        <v>2.5800999999999998</v>
      </c>
      <c r="J225" s="110">
        <f t="shared" si="151"/>
        <v>75</v>
      </c>
      <c r="K225" s="4">
        <v>2.5</v>
      </c>
      <c r="L225" s="5" t="s">
        <v>0</v>
      </c>
      <c r="M225" s="80">
        <f t="shared" si="70"/>
        <v>2.5000000000000001E-2</v>
      </c>
      <c r="N225" s="78">
        <f t="shared" si="71"/>
        <v>1.875</v>
      </c>
      <c r="O225" s="111">
        <f t="shared" si="72"/>
        <v>4.4550999999999998</v>
      </c>
      <c r="P225" s="4">
        <v>15</v>
      </c>
      <c r="Q225" s="4">
        <v>20</v>
      </c>
      <c r="R225" s="4">
        <v>25</v>
      </c>
      <c r="S225" s="49">
        <v>124389</v>
      </c>
    </row>
    <row r="226" spans="1:19" x14ac:dyDescent="0.25">
      <c r="A226" s="37"/>
      <c r="B226" s="24" t="s">
        <v>3</v>
      </c>
      <c r="C226" s="5">
        <f>C223</f>
        <v>1</v>
      </c>
      <c r="D226" s="7">
        <v>0</v>
      </c>
      <c r="E226" s="3">
        <f t="shared" si="69"/>
        <v>1</v>
      </c>
      <c r="F226" s="85" t="s">
        <v>867</v>
      </c>
      <c r="G226" s="77">
        <v>138.57</v>
      </c>
      <c r="H226" s="25" t="s">
        <v>0</v>
      </c>
      <c r="I226" s="78">
        <f t="shared" si="73"/>
        <v>1.3856999999999999</v>
      </c>
      <c r="J226" s="110">
        <f t="shared" si="151"/>
        <v>75</v>
      </c>
      <c r="K226" s="4">
        <v>3</v>
      </c>
      <c r="L226" s="5" t="s">
        <v>0</v>
      </c>
      <c r="M226" s="80">
        <f t="shared" si="70"/>
        <v>0.03</v>
      </c>
      <c r="N226" s="78">
        <f t="shared" si="71"/>
        <v>2.25</v>
      </c>
      <c r="O226" s="111">
        <f t="shared" si="72"/>
        <v>3.6356999999999999</v>
      </c>
      <c r="P226" s="4">
        <v>6</v>
      </c>
      <c r="Q226" s="4">
        <v>8</v>
      </c>
      <c r="R226" s="4">
        <v>10</v>
      </c>
      <c r="S226" s="49">
        <v>124746</v>
      </c>
    </row>
    <row r="227" spans="1:19" x14ac:dyDescent="0.25">
      <c r="A227" s="37"/>
      <c r="B227" s="24" t="s">
        <v>1160</v>
      </c>
      <c r="C227" s="5">
        <f>C223*2</f>
        <v>2</v>
      </c>
      <c r="D227" s="7">
        <v>0</v>
      </c>
      <c r="E227" s="3">
        <f t="shared" si="69"/>
        <v>2</v>
      </c>
      <c r="F227" s="85" t="s">
        <v>867</v>
      </c>
      <c r="G227" s="77">
        <v>10.75</v>
      </c>
      <c r="H227" s="25" t="s">
        <v>0</v>
      </c>
      <c r="I227" s="78">
        <f t="shared" si="73"/>
        <v>0.215</v>
      </c>
      <c r="J227" s="110">
        <f t="shared" si="151"/>
        <v>75</v>
      </c>
      <c r="K227" s="4">
        <v>2.8</v>
      </c>
      <c r="L227" s="5" t="s">
        <v>0</v>
      </c>
      <c r="M227" s="80">
        <f t="shared" si="70"/>
        <v>5.5999999999999994E-2</v>
      </c>
      <c r="N227" s="78">
        <f t="shared" si="71"/>
        <v>4.1999999999999993</v>
      </c>
      <c r="O227" s="111">
        <f t="shared" si="72"/>
        <v>4.4149999999999991</v>
      </c>
      <c r="P227" s="4">
        <v>3.1</v>
      </c>
      <c r="Q227" s="4">
        <v>3.88</v>
      </c>
      <c r="R227" s="4">
        <v>4.84</v>
      </c>
      <c r="S227" s="49">
        <v>140190</v>
      </c>
    </row>
    <row r="228" spans="1:19" x14ac:dyDescent="0.25">
      <c r="A228" s="37"/>
      <c r="B228" s="24" t="s">
        <v>15</v>
      </c>
      <c r="C228" s="5">
        <f>C223</f>
        <v>1</v>
      </c>
      <c r="D228" s="7">
        <v>0</v>
      </c>
      <c r="E228" s="3">
        <f t="shared" si="69"/>
        <v>1</v>
      </c>
      <c r="F228" s="85" t="s">
        <v>867</v>
      </c>
      <c r="G228" s="77">
        <v>850</v>
      </c>
      <c r="H228" s="25" t="s">
        <v>0</v>
      </c>
      <c r="I228" s="78">
        <f t="shared" si="73"/>
        <v>8.5</v>
      </c>
      <c r="J228" s="110">
        <f t="shared" si="151"/>
        <v>75</v>
      </c>
      <c r="K228" s="4">
        <v>6</v>
      </c>
      <c r="L228" s="5" t="s">
        <v>0</v>
      </c>
      <c r="M228" s="80">
        <f t="shared" si="70"/>
        <v>0.06</v>
      </c>
      <c r="N228" s="78">
        <f t="shared" si="71"/>
        <v>4.5</v>
      </c>
      <c r="O228" s="111">
        <f t="shared" si="72"/>
        <v>13</v>
      </c>
      <c r="P228" s="4">
        <v>10</v>
      </c>
      <c r="Q228" s="4">
        <v>15</v>
      </c>
      <c r="R228" s="4">
        <v>20</v>
      </c>
      <c r="S228" s="49">
        <v>138597</v>
      </c>
    </row>
    <row r="229" spans="1:19" x14ac:dyDescent="0.25">
      <c r="A229" s="37"/>
      <c r="B229" s="24"/>
      <c r="C229" s="5"/>
      <c r="D229" s="7"/>
      <c r="E229" s="3"/>
      <c r="F229" s="3"/>
      <c r="G229" s="77" t="s">
        <v>1202</v>
      </c>
      <c r="H229" s="25"/>
      <c r="I229" s="78"/>
      <c r="J229" s="4"/>
      <c r="K229" s="4"/>
      <c r="L229" s="5"/>
      <c r="M229" s="80"/>
      <c r="N229" s="78"/>
      <c r="O229" s="111"/>
      <c r="P229" s="4"/>
      <c r="Q229" s="4"/>
      <c r="R229" s="4"/>
      <c r="S229" s="49"/>
    </row>
  </sheetData>
  <mergeCells count="1">
    <mergeCell ref="M4:N4"/>
  </mergeCells>
  <pageMargins left="0.7" right="0.7" top="0.75" bottom="0.75" header="0.3" footer="0.3"/>
  <pageSetup paperSize="9" scale="4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E722-AB5E-425E-BAE4-3B2B12653482}">
  <sheetPr>
    <pageSetUpPr fitToPage="1"/>
  </sheetPr>
  <dimension ref="A1:S148"/>
  <sheetViews>
    <sheetView view="pageBreakPreview" topLeftCell="A36" zoomScale="85" zoomScaleNormal="85" zoomScaleSheetLayoutView="85" workbookViewId="0">
      <selection activeCell="H49" sqref="H49"/>
    </sheetView>
  </sheetViews>
  <sheetFormatPr defaultColWidth="9.140625" defaultRowHeight="15" x14ac:dyDescent="0.25"/>
  <cols>
    <col min="1" max="1" width="4.42578125" style="39" bestFit="1" customWidth="1"/>
    <col min="2" max="2" width="46.28515625" style="30" customWidth="1"/>
    <col min="3" max="3" width="10.7109375" style="2" bestFit="1" customWidth="1"/>
    <col min="4" max="5" width="9.85546875" style="1" bestFit="1" customWidth="1"/>
    <col min="6" max="6" width="5.85546875" style="1" bestFit="1" customWidth="1"/>
    <col min="7" max="7" width="10.7109375" style="36" customWidth="1"/>
    <col min="8" max="8" width="5.85546875" style="2" bestFit="1" customWidth="1"/>
    <col min="9" max="9" width="10.42578125" style="43" bestFit="1" customWidth="1"/>
    <col min="10" max="10" width="7.42578125" style="1" bestFit="1" customWidth="1"/>
    <col min="11" max="11" width="8.7109375" style="35" bestFit="1" customWidth="1"/>
    <col min="12" max="12" width="5.85546875" style="2" bestFit="1" customWidth="1"/>
    <col min="13" max="13" width="7.28515625" style="46" bestFit="1" customWidth="1"/>
    <col min="14" max="14" width="8.140625" style="1" bestFit="1" customWidth="1"/>
    <col min="15" max="15" width="8.140625" style="43" bestFit="1" customWidth="1"/>
    <col min="16" max="18" width="7.7109375" style="1" bestFit="1" customWidth="1"/>
    <col min="19" max="19" width="11.28515625" style="1" bestFit="1" customWidth="1"/>
    <col min="20" max="16384" width="9.140625" style="1"/>
  </cols>
  <sheetData>
    <row r="1" spans="1:19" x14ac:dyDescent="0.25">
      <c r="A1" s="2"/>
      <c r="B1" s="1"/>
      <c r="G1" s="10"/>
      <c r="K1" s="1"/>
      <c r="M1" s="1"/>
      <c r="N1" s="43"/>
    </row>
    <row r="2" spans="1:19" x14ac:dyDescent="0.25">
      <c r="A2" s="2"/>
      <c r="B2" s="1"/>
      <c r="G2" s="10"/>
      <c r="K2" s="1"/>
      <c r="M2" s="1"/>
      <c r="N2" s="43"/>
    </row>
    <row r="3" spans="1:19" ht="15.75" thickBot="1" x14ac:dyDescent="0.3">
      <c r="A3" s="2"/>
      <c r="B3" s="1"/>
      <c r="G3" s="10"/>
      <c r="K3" s="1"/>
      <c r="M3" s="1"/>
      <c r="N3" s="43"/>
    </row>
    <row r="4" spans="1:19" ht="16.5" thickBot="1" x14ac:dyDescent="0.3">
      <c r="A4" s="2"/>
      <c r="B4" s="1"/>
      <c r="G4" s="10"/>
      <c r="K4" s="1"/>
      <c r="M4" s="253" t="s">
        <v>1199</v>
      </c>
      <c r="N4" s="254"/>
      <c r="O4" s="108">
        <v>75</v>
      </c>
    </row>
    <row r="5" spans="1:19" ht="44.25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870</v>
      </c>
      <c r="L5" s="82" t="s">
        <v>284</v>
      </c>
      <c r="M5" s="81" t="s">
        <v>286</v>
      </c>
      <c r="N5" s="83" t="s">
        <v>871</v>
      </c>
      <c r="O5" s="84" t="s">
        <v>872</v>
      </c>
      <c r="P5" s="84" t="s">
        <v>1144</v>
      </c>
      <c r="Q5" s="84" t="s">
        <v>1145</v>
      </c>
      <c r="R5" s="84" t="s">
        <v>1146</v>
      </c>
      <c r="S5" s="109" t="s">
        <v>1200</v>
      </c>
    </row>
    <row r="6" spans="1:19" ht="15.75" thickBot="1" x14ac:dyDescent="0.3">
      <c r="A6" s="88"/>
      <c r="B6" s="54"/>
      <c r="C6" s="55"/>
      <c r="D6" s="55"/>
      <c r="E6" s="55"/>
      <c r="F6" s="55"/>
      <c r="G6" s="56"/>
      <c r="H6" s="55"/>
      <c r="I6" s="89"/>
      <c r="J6" s="56"/>
      <c r="K6" s="57"/>
      <c r="L6" s="55"/>
      <c r="M6" s="57"/>
      <c r="N6" s="56"/>
      <c r="O6" s="58"/>
      <c r="P6" s="57"/>
      <c r="Q6" s="57"/>
      <c r="R6" s="57"/>
      <c r="S6" s="100"/>
    </row>
    <row r="7" spans="1:19" ht="15.75" thickBot="1" x14ac:dyDescent="0.3">
      <c r="A7" s="41"/>
      <c r="B7" s="120" t="s">
        <v>1226</v>
      </c>
      <c r="C7" s="13"/>
      <c r="D7" s="13"/>
      <c r="E7" s="13"/>
      <c r="F7" s="13"/>
      <c r="G7" s="14"/>
      <c r="H7" s="13"/>
      <c r="I7" s="79"/>
      <c r="J7" s="14"/>
      <c r="K7" s="40"/>
      <c r="L7" s="13"/>
      <c r="M7" s="40"/>
      <c r="N7" s="14"/>
      <c r="O7" s="117"/>
      <c r="P7" s="15"/>
      <c r="Q7" s="15"/>
      <c r="R7" s="15"/>
      <c r="S7" s="49"/>
    </row>
    <row r="8" spans="1:19" ht="15.75" thickBot="1" x14ac:dyDescent="0.3">
      <c r="A8" s="37"/>
      <c r="B8" s="209"/>
      <c r="C8" s="13"/>
      <c r="D8" s="13"/>
      <c r="E8" s="13"/>
      <c r="F8" s="13"/>
      <c r="G8" s="14"/>
      <c r="H8" s="13"/>
      <c r="I8" s="79"/>
      <c r="J8" s="14"/>
      <c r="K8" s="40"/>
      <c r="L8" s="13"/>
      <c r="M8" s="40"/>
      <c r="N8" s="14"/>
      <c r="O8" s="117"/>
      <c r="P8" s="15"/>
      <c r="Q8" s="15"/>
      <c r="R8" s="15"/>
      <c r="S8" s="49"/>
    </row>
    <row r="9" spans="1:19" ht="15.75" thickBot="1" x14ac:dyDescent="0.3">
      <c r="A9" s="203">
        <v>1</v>
      </c>
      <c r="B9" s="214" t="s">
        <v>153</v>
      </c>
      <c r="C9" s="207">
        <v>1</v>
      </c>
      <c r="D9" s="7">
        <v>0</v>
      </c>
      <c r="E9" s="3">
        <f t="shared" ref="E9:E54" si="0">C9+(C9*D9)</f>
        <v>1</v>
      </c>
      <c r="F9" s="85" t="s">
        <v>867</v>
      </c>
      <c r="G9" s="147">
        <v>815.78</v>
      </c>
      <c r="H9" s="22" t="s">
        <v>0</v>
      </c>
      <c r="I9" s="78">
        <f t="shared" ref="I9:I54" si="1">IF(H9="C",(G9/100)*E9,IF(H9="M",(G9/1000)*E9,G9*E9))</f>
        <v>8.1577999999999999</v>
      </c>
      <c r="J9" s="110">
        <f>$O$4</f>
        <v>75</v>
      </c>
      <c r="K9" s="4">
        <v>15</v>
      </c>
      <c r="L9" s="22" t="s">
        <v>0</v>
      </c>
      <c r="M9" s="80">
        <f>IF(L9="C",(K9/100)*E9,IF(L9="M",(K9/1000)*E9,K9*E9))</f>
        <v>0.15</v>
      </c>
      <c r="N9" s="78">
        <f>M9*J9</f>
        <v>11.25</v>
      </c>
      <c r="O9" s="111">
        <f>N9+I9</f>
        <v>19.407800000000002</v>
      </c>
      <c r="P9" s="4">
        <v>25</v>
      </c>
      <c r="Q9" s="4">
        <v>31.25</v>
      </c>
      <c r="R9" s="4">
        <v>37.5</v>
      </c>
      <c r="S9" s="49">
        <v>137487</v>
      </c>
    </row>
    <row r="10" spans="1:19" x14ac:dyDescent="0.25">
      <c r="A10" s="19"/>
      <c r="B10" s="200" t="s">
        <v>1224</v>
      </c>
      <c r="C10" s="151">
        <f>C9</f>
        <v>1</v>
      </c>
      <c r="D10" s="152">
        <v>0</v>
      </c>
      <c r="E10" s="153">
        <f t="shared" si="0"/>
        <v>1</v>
      </c>
      <c r="F10" s="3" t="s">
        <v>867</v>
      </c>
      <c r="G10" s="77">
        <v>299.16000000000003</v>
      </c>
      <c r="H10" s="5" t="s">
        <v>0</v>
      </c>
      <c r="I10" s="78">
        <f t="shared" si="1"/>
        <v>2.9916</v>
      </c>
      <c r="J10" s="154">
        <f t="shared" ref="J10" si="2">$O$4</f>
        <v>75</v>
      </c>
      <c r="K10" s="4">
        <v>23</v>
      </c>
      <c r="L10" s="5" t="s">
        <v>0</v>
      </c>
      <c r="M10" s="80">
        <f t="shared" ref="M10" si="3">IF(L10="C",(K10/100)*E10,IF(L10="M",(K10/1000)*E10,K10*E10))</f>
        <v>0.23</v>
      </c>
      <c r="N10" s="78">
        <f t="shared" ref="N10" si="4">M10*J10</f>
        <v>17.25</v>
      </c>
      <c r="O10" s="111">
        <f t="shared" ref="O10" si="5">N10+I10</f>
        <v>20.241599999999998</v>
      </c>
      <c r="P10" s="4">
        <v>30</v>
      </c>
      <c r="Q10" s="4">
        <v>35</v>
      </c>
      <c r="R10" s="4">
        <v>40</v>
      </c>
      <c r="S10" s="49">
        <v>124314</v>
      </c>
    </row>
    <row r="11" spans="1:19" x14ac:dyDescent="0.25">
      <c r="A11" s="19"/>
      <c r="B11" s="17" t="s">
        <v>1225</v>
      </c>
      <c r="C11" s="20">
        <f>C9*2</f>
        <v>2</v>
      </c>
      <c r="D11" s="7">
        <v>0</v>
      </c>
      <c r="E11" s="3">
        <f t="shared" si="0"/>
        <v>2</v>
      </c>
      <c r="F11" s="85" t="s">
        <v>867</v>
      </c>
      <c r="G11" s="77">
        <v>6.25</v>
      </c>
      <c r="H11" s="22" t="s">
        <v>0</v>
      </c>
      <c r="I11" s="78">
        <f t="shared" si="1"/>
        <v>0.125</v>
      </c>
      <c r="J11" s="110">
        <f t="shared" ref="J11:J12" si="6">$O$4</f>
        <v>75</v>
      </c>
      <c r="K11" s="4">
        <v>2.8</v>
      </c>
      <c r="L11" s="22" t="s">
        <v>0</v>
      </c>
      <c r="M11" s="80">
        <f t="shared" ref="M11:M55" si="7">IF(L11="C",(K11/100)*E11,IF(L11="M",(K11/1000)*E11,K11*E11))</f>
        <v>5.5999999999999994E-2</v>
      </c>
      <c r="N11" s="78">
        <f t="shared" ref="N11:N55" si="8">M11*J11</f>
        <v>4.1999999999999993</v>
      </c>
      <c r="O11" s="111">
        <f t="shared" ref="O11:O55" si="9">N11+I11</f>
        <v>4.3249999999999993</v>
      </c>
      <c r="P11" s="4">
        <v>3.1</v>
      </c>
      <c r="Q11" s="4">
        <v>3.88</v>
      </c>
      <c r="R11" s="4">
        <v>4.84</v>
      </c>
      <c r="S11" s="49">
        <v>140190</v>
      </c>
    </row>
    <row r="12" spans="1:19" x14ac:dyDescent="0.25">
      <c r="A12" s="19"/>
      <c r="B12" s="17" t="s">
        <v>4</v>
      </c>
      <c r="C12" s="20">
        <f>C9</f>
        <v>1</v>
      </c>
      <c r="D12" s="7">
        <v>0</v>
      </c>
      <c r="E12" s="3">
        <f t="shared" si="0"/>
        <v>1</v>
      </c>
      <c r="F12" s="85" t="s">
        <v>867</v>
      </c>
      <c r="G12" s="77">
        <v>49.82</v>
      </c>
      <c r="H12" s="22" t="s">
        <v>0</v>
      </c>
      <c r="I12" s="78">
        <f t="shared" si="1"/>
        <v>0.49819999999999998</v>
      </c>
      <c r="J12" s="110">
        <f t="shared" si="6"/>
        <v>75</v>
      </c>
      <c r="K12" s="4">
        <v>2.7</v>
      </c>
      <c r="L12" s="22" t="s">
        <v>0</v>
      </c>
      <c r="M12" s="80">
        <f t="shared" si="7"/>
        <v>2.7000000000000003E-2</v>
      </c>
      <c r="N12" s="78">
        <f t="shared" si="8"/>
        <v>2.0250000000000004</v>
      </c>
      <c r="O12" s="111">
        <f t="shared" si="9"/>
        <v>2.5232000000000001</v>
      </c>
      <c r="P12" s="4">
        <v>10</v>
      </c>
      <c r="Q12" s="4">
        <v>12.5</v>
      </c>
      <c r="R12" s="4">
        <v>15</v>
      </c>
      <c r="S12" s="49">
        <v>138432</v>
      </c>
    </row>
    <row r="13" spans="1:19" ht="15.75" thickBot="1" x14ac:dyDescent="0.3">
      <c r="A13" s="19"/>
      <c r="B13" s="210"/>
      <c r="C13" s="23"/>
      <c r="D13" s="7"/>
      <c r="E13" s="3"/>
      <c r="F13" s="3"/>
      <c r="G13" s="77" t="s">
        <v>1202</v>
      </c>
      <c r="H13" s="5"/>
      <c r="I13" s="78"/>
      <c r="J13" s="4"/>
      <c r="K13" s="4"/>
      <c r="L13" s="5"/>
      <c r="M13" s="80"/>
      <c r="N13" s="78"/>
      <c r="O13" s="111"/>
      <c r="P13" s="15"/>
      <c r="Q13" s="15"/>
      <c r="R13" s="15"/>
      <c r="S13" s="49"/>
    </row>
    <row r="14" spans="1:19" ht="15.75" thickBot="1" x14ac:dyDescent="0.3">
      <c r="A14" s="203">
        <v>2</v>
      </c>
      <c r="B14" s="214" t="s">
        <v>154</v>
      </c>
      <c r="C14" s="207">
        <v>1</v>
      </c>
      <c r="D14" s="7">
        <v>0</v>
      </c>
      <c r="E14" s="3">
        <f t="shared" si="0"/>
        <v>1</v>
      </c>
      <c r="F14" s="85" t="s">
        <v>867</v>
      </c>
      <c r="G14" s="147">
        <v>1018.47</v>
      </c>
      <c r="H14" s="22" t="s">
        <v>0</v>
      </c>
      <c r="I14" s="78">
        <f t="shared" si="1"/>
        <v>10.184699999999999</v>
      </c>
      <c r="J14" s="110">
        <f>$O$4</f>
        <v>75</v>
      </c>
      <c r="K14" s="4">
        <v>15</v>
      </c>
      <c r="L14" s="22" t="s">
        <v>0</v>
      </c>
      <c r="M14" s="80">
        <f t="shared" si="7"/>
        <v>0.15</v>
      </c>
      <c r="N14" s="78">
        <f t="shared" si="8"/>
        <v>11.25</v>
      </c>
      <c r="O14" s="111">
        <f t="shared" si="9"/>
        <v>21.434699999999999</v>
      </c>
      <c r="P14" s="4">
        <v>25</v>
      </c>
      <c r="Q14" s="4">
        <v>31.25</v>
      </c>
      <c r="R14" s="4">
        <v>37.5</v>
      </c>
      <c r="S14" s="49">
        <v>137583</v>
      </c>
    </row>
    <row r="15" spans="1:19" x14ac:dyDescent="0.25">
      <c r="A15" s="19"/>
      <c r="B15" s="200" t="s">
        <v>1224</v>
      </c>
      <c r="C15" s="151">
        <f>C14</f>
        <v>1</v>
      </c>
      <c r="D15" s="152">
        <v>0</v>
      </c>
      <c r="E15" s="153">
        <f t="shared" ref="E15:E17" si="10">C15+(C15*D15)</f>
        <v>1</v>
      </c>
      <c r="F15" s="3" t="s">
        <v>867</v>
      </c>
      <c r="G15" s="77">
        <v>299.16000000000003</v>
      </c>
      <c r="H15" s="5" t="s">
        <v>0</v>
      </c>
      <c r="I15" s="78">
        <f t="shared" ref="I15:I17" si="11">IF(H15="C",(G15/100)*E15,IF(H15="M",(G15/1000)*E15,G15*E15))</f>
        <v>2.9916</v>
      </c>
      <c r="J15" s="154">
        <f t="shared" ref="J15:J17" si="12">$O$4</f>
        <v>75</v>
      </c>
      <c r="K15" s="4">
        <v>23</v>
      </c>
      <c r="L15" s="5" t="s">
        <v>0</v>
      </c>
      <c r="M15" s="80">
        <f t="shared" si="7"/>
        <v>0.23</v>
      </c>
      <c r="N15" s="78">
        <f t="shared" si="8"/>
        <v>17.25</v>
      </c>
      <c r="O15" s="111">
        <f t="shared" si="9"/>
        <v>20.241599999999998</v>
      </c>
      <c r="P15" s="4">
        <v>30</v>
      </c>
      <c r="Q15" s="4">
        <v>35</v>
      </c>
      <c r="R15" s="4">
        <v>40</v>
      </c>
      <c r="S15" s="49">
        <v>124314</v>
      </c>
    </row>
    <row r="16" spans="1:19" x14ac:dyDescent="0.25">
      <c r="A16" s="19"/>
      <c r="B16" s="17" t="s">
        <v>1225</v>
      </c>
      <c r="C16" s="20">
        <f>C14*2</f>
        <v>2</v>
      </c>
      <c r="D16" s="7">
        <v>0</v>
      </c>
      <c r="E16" s="3">
        <f t="shared" si="10"/>
        <v>2</v>
      </c>
      <c r="F16" s="85" t="s">
        <v>867</v>
      </c>
      <c r="G16" s="77">
        <v>6.25</v>
      </c>
      <c r="H16" s="22" t="s">
        <v>0</v>
      </c>
      <c r="I16" s="78">
        <f t="shared" si="11"/>
        <v>0.125</v>
      </c>
      <c r="J16" s="110">
        <f t="shared" si="12"/>
        <v>75</v>
      </c>
      <c r="K16" s="4">
        <v>2.8</v>
      </c>
      <c r="L16" s="22" t="s">
        <v>0</v>
      </c>
      <c r="M16" s="80">
        <f t="shared" ref="M16:M17" si="13">IF(L16="C",(K16/100)*E16,IF(L16="M",(K16/1000)*E16,K16*E16))</f>
        <v>5.5999999999999994E-2</v>
      </c>
      <c r="N16" s="78">
        <f t="shared" ref="N16:N17" si="14">M16*J16</f>
        <v>4.1999999999999993</v>
      </c>
      <c r="O16" s="111">
        <f t="shared" ref="O16:O17" si="15">N16+I16</f>
        <v>4.3249999999999993</v>
      </c>
      <c r="P16" s="4">
        <v>3.1</v>
      </c>
      <c r="Q16" s="4">
        <v>3.88</v>
      </c>
      <c r="R16" s="4">
        <v>4.84</v>
      </c>
      <c r="S16" s="49">
        <v>124389</v>
      </c>
    </row>
    <row r="17" spans="1:19" x14ac:dyDescent="0.25">
      <c r="A17" s="19"/>
      <c r="B17" s="17" t="s">
        <v>4</v>
      </c>
      <c r="C17" s="20">
        <f>C14</f>
        <v>1</v>
      </c>
      <c r="D17" s="7">
        <v>0</v>
      </c>
      <c r="E17" s="3">
        <f t="shared" si="10"/>
        <v>1</v>
      </c>
      <c r="F17" s="85" t="s">
        <v>867</v>
      </c>
      <c r="G17" s="77">
        <v>49.82</v>
      </c>
      <c r="H17" s="22" t="s">
        <v>0</v>
      </c>
      <c r="I17" s="78">
        <f t="shared" si="11"/>
        <v>0.49819999999999998</v>
      </c>
      <c r="J17" s="110">
        <f t="shared" si="12"/>
        <v>75</v>
      </c>
      <c r="K17" s="4">
        <v>2.7</v>
      </c>
      <c r="L17" s="22" t="s">
        <v>0</v>
      </c>
      <c r="M17" s="80">
        <f t="shared" si="13"/>
        <v>2.7000000000000003E-2</v>
      </c>
      <c r="N17" s="78">
        <f t="shared" si="14"/>
        <v>2.0250000000000004</v>
      </c>
      <c r="O17" s="111">
        <f t="shared" si="15"/>
        <v>2.5232000000000001</v>
      </c>
      <c r="P17" s="4">
        <v>10</v>
      </c>
      <c r="Q17" s="4">
        <v>12.5</v>
      </c>
      <c r="R17" s="4">
        <v>15</v>
      </c>
      <c r="S17" s="49">
        <v>124746</v>
      </c>
    </row>
    <row r="18" spans="1:19" ht="15.75" thickBot="1" x14ac:dyDescent="0.3">
      <c r="A18" s="19"/>
      <c r="B18" s="211"/>
      <c r="C18" s="5"/>
      <c r="D18" s="7"/>
      <c r="E18" s="3"/>
      <c r="F18" s="3"/>
      <c r="G18" s="77" t="s">
        <v>1202</v>
      </c>
      <c r="H18" s="5"/>
      <c r="I18" s="78"/>
      <c r="J18" s="4"/>
      <c r="K18" s="4"/>
      <c r="L18" s="5"/>
      <c r="M18" s="80"/>
      <c r="N18" s="78"/>
      <c r="O18" s="111"/>
      <c r="P18" s="4"/>
      <c r="Q18" s="4"/>
      <c r="R18" s="4"/>
      <c r="S18" s="49"/>
    </row>
    <row r="19" spans="1:19" ht="15.75" thickBot="1" x14ac:dyDescent="0.3">
      <c r="A19" s="203">
        <v>3</v>
      </c>
      <c r="B19" s="214" t="s">
        <v>155</v>
      </c>
      <c r="C19" s="207">
        <v>1</v>
      </c>
      <c r="D19" s="7">
        <v>0</v>
      </c>
      <c r="E19" s="3">
        <f t="shared" si="0"/>
        <v>1</v>
      </c>
      <c r="F19" s="85" t="s">
        <v>867</v>
      </c>
      <c r="G19" s="147">
        <v>1325.48</v>
      </c>
      <c r="H19" s="22" t="s">
        <v>0</v>
      </c>
      <c r="I19" s="78">
        <f t="shared" si="1"/>
        <v>13.254799999999999</v>
      </c>
      <c r="J19" s="110">
        <f>$O$4</f>
        <v>75</v>
      </c>
      <c r="K19" s="4">
        <v>22</v>
      </c>
      <c r="L19" s="22" t="s">
        <v>0</v>
      </c>
      <c r="M19" s="80">
        <f t="shared" si="7"/>
        <v>0.22</v>
      </c>
      <c r="N19" s="78">
        <f t="shared" si="8"/>
        <v>16.5</v>
      </c>
      <c r="O19" s="111">
        <f t="shared" si="9"/>
        <v>29.754799999999999</v>
      </c>
      <c r="P19" s="4">
        <v>27.5</v>
      </c>
      <c r="Q19" s="4">
        <v>32.5</v>
      </c>
      <c r="R19" s="4">
        <v>37.5</v>
      </c>
      <c r="S19" s="49">
        <v>137490</v>
      </c>
    </row>
    <row r="20" spans="1:19" x14ac:dyDescent="0.25">
      <c r="A20" s="19"/>
      <c r="B20" s="200" t="s">
        <v>1224</v>
      </c>
      <c r="C20" s="151">
        <f>C19</f>
        <v>1</v>
      </c>
      <c r="D20" s="152">
        <v>0</v>
      </c>
      <c r="E20" s="153">
        <f t="shared" ref="E20:E22" si="16">C20+(C20*D20)</f>
        <v>1</v>
      </c>
      <c r="F20" s="3" t="s">
        <v>867</v>
      </c>
      <c r="G20" s="77">
        <v>299.16000000000003</v>
      </c>
      <c r="H20" s="5" t="s">
        <v>0</v>
      </c>
      <c r="I20" s="78">
        <f t="shared" ref="I20:I22" si="17">IF(H20="C",(G20/100)*E20,IF(H20="M",(G20/1000)*E20,G20*E20))</f>
        <v>2.9916</v>
      </c>
      <c r="J20" s="154">
        <f t="shared" ref="J20:J22" si="18">$O$4</f>
        <v>75</v>
      </c>
      <c r="K20" s="4">
        <v>23</v>
      </c>
      <c r="L20" s="5" t="s">
        <v>0</v>
      </c>
      <c r="M20" s="80">
        <f t="shared" si="7"/>
        <v>0.23</v>
      </c>
      <c r="N20" s="78">
        <f t="shared" si="8"/>
        <v>17.25</v>
      </c>
      <c r="O20" s="111">
        <f t="shared" si="9"/>
        <v>20.241599999999998</v>
      </c>
      <c r="P20" s="4">
        <v>30</v>
      </c>
      <c r="Q20" s="4">
        <v>35</v>
      </c>
      <c r="R20" s="4">
        <v>40</v>
      </c>
      <c r="S20" s="49">
        <v>124314</v>
      </c>
    </row>
    <row r="21" spans="1:19" x14ac:dyDescent="0.25">
      <c r="A21" s="19"/>
      <c r="B21" s="17" t="s">
        <v>1225</v>
      </c>
      <c r="C21" s="20">
        <f>C19*2</f>
        <v>2</v>
      </c>
      <c r="D21" s="7">
        <v>0</v>
      </c>
      <c r="E21" s="3">
        <f t="shared" si="16"/>
        <v>2</v>
      </c>
      <c r="F21" s="85" t="s">
        <v>867</v>
      </c>
      <c r="G21" s="77">
        <v>6.25</v>
      </c>
      <c r="H21" s="22" t="s">
        <v>0</v>
      </c>
      <c r="I21" s="78">
        <f t="shared" si="17"/>
        <v>0.125</v>
      </c>
      <c r="J21" s="110">
        <f t="shared" si="18"/>
        <v>75</v>
      </c>
      <c r="K21" s="4">
        <v>2.8</v>
      </c>
      <c r="L21" s="22" t="s">
        <v>0</v>
      </c>
      <c r="M21" s="80">
        <f t="shared" ref="M21:M22" si="19">IF(L21="C",(K21/100)*E21,IF(L21="M",(K21/1000)*E21,K21*E21))</f>
        <v>5.5999999999999994E-2</v>
      </c>
      <c r="N21" s="78">
        <f t="shared" ref="N21:N22" si="20">M21*J21</f>
        <v>4.1999999999999993</v>
      </c>
      <c r="O21" s="111">
        <f t="shared" ref="O21:O22" si="21">N21+I21</f>
        <v>4.3249999999999993</v>
      </c>
      <c r="P21" s="4">
        <v>3.1</v>
      </c>
      <c r="Q21" s="4">
        <v>3.88</v>
      </c>
      <c r="R21" s="4">
        <v>4.84</v>
      </c>
      <c r="S21" s="49">
        <v>124389</v>
      </c>
    </row>
    <row r="22" spans="1:19" x14ac:dyDescent="0.25">
      <c r="A22" s="19"/>
      <c r="B22" s="17" t="s">
        <v>4</v>
      </c>
      <c r="C22" s="20">
        <f>C19</f>
        <v>1</v>
      </c>
      <c r="D22" s="7">
        <v>0</v>
      </c>
      <c r="E22" s="3">
        <f t="shared" si="16"/>
        <v>1</v>
      </c>
      <c r="F22" s="85" t="s">
        <v>867</v>
      </c>
      <c r="G22" s="77">
        <v>49.82</v>
      </c>
      <c r="H22" s="22" t="s">
        <v>0</v>
      </c>
      <c r="I22" s="78">
        <f t="shared" si="17"/>
        <v>0.49819999999999998</v>
      </c>
      <c r="J22" s="110">
        <f t="shared" si="18"/>
        <v>75</v>
      </c>
      <c r="K22" s="4">
        <v>2.7</v>
      </c>
      <c r="L22" s="22" t="s">
        <v>0</v>
      </c>
      <c r="M22" s="80">
        <f t="shared" si="19"/>
        <v>2.7000000000000003E-2</v>
      </c>
      <c r="N22" s="78">
        <f t="shared" si="20"/>
        <v>2.0250000000000004</v>
      </c>
      <c r="O22" s="111">
        <f t="shared" si="21"/>
        <v>2.5232000000000001</v>
      </c>
      <c r="P22" s="4">
        <v>10</v>
      </c>
      <c r="Q22" s="4">
        <v>12.5</v>
      </c>
      <c r="R22" s="4">
        <v>15</v>
      </c>
      <c r="S22" s="49">
        <v>124746</v>
      </c>
    </row>
    <row r="23" spans="1:19" ht="15.75" thickBot="1" x14ac:dyDescent="0.3">
      <c r="A23" s="19"/>
      <c r="B23" s="212"/>
      <c r="C23" s="20"/>
      <c r="D23" s="7"/>
      <c r="E23" s="3"/>
      <c r="F23" s="3"/>
      <c r="G23" s="77" t="s">
        <v>1202</v>
      </c>
      <c r="H23" s="22"/>
      <c r="I23" s="78"/>
      <c r="J23" s="110"/>
      <c r="K23" s="4"/>
      <c r="L23" s="22"/>
      <c r="M23" s="80"/>
      <c r="N23" s="78"/>
      <c r="O23" s="111"/>
      <c r="P23" s="4"/>
      <c r="Q23" s="4"/>
      <c r="R23" s="4"/>
      <c r="S23" s="49"/>
    </row>
    <row r="24" spans="1:19" ht="15.75" thickBot="1" x14ac:dyDescent="0.3">
      <c r="A24" s="203">
        <v>4</v>
      </c>
      <c r="B24" s="214" t="s">
        <v>156</v>
      </c>
      <c r="C24" s="207">
        <v>1</v>
      </c>
      <c r="D24" s="7">
        <v>0</v>
      </c>
      <c r="E24" s="3">
        <f t="shared" si="0"/>
        <v>1</v>
      </c>
      <c r="F24" s="85" t="s">
        <v>867</v>
      </c>
      <c r="G24" s="147">
        <v>697.52</v>
      </c>
      <c r="H24" s="22" t="s">
        <v>0</v>
      </c>
      <c r="I24" s="78">
        <f t="shared" si="1"/>
        <v>6.9752000000000001</v>
      </c>
      <c r="J24" s="110">
        <f t="shared" ref="J24:J57" si="22">$O$4</f>
        <v>75</v>
      </c>
      <c r="K24" s="4">
        <v>15</v>
      </c>
      <c r="L24" s="22" t="s">
        <v>0</v>
      </c>
      <c r="M24" s="80">
        <f t="shared" si="7"/>
        <v>0.15</v>
      </c>
      <c r="N24" s="78">
        <f t="shared" si="8"/>
        <v>11.25</v>
      </c>
      <c r="O24" s="111">
        <f t="shared" si="9"/>
        <v>18.225200000000001</v>
      </c>
      <c r="P24" s="4">
        <v>25</v>
      </c>
      <c r="Q24" s="4">
        <v>31.25</v>
      </c>
      <c r="R24" s="4">
        <v>37.5</v>
      </c>
      <c r="S24" s="49">
        <v>137505</v>
      </c>
    </row>
    <row r="25" spans="1:19" x14ac:dyDescent="0.25">
      <c r="A25" s="19"/>
      <c r="B25" s="200" t="s">
        <v>1224</v>
      </c>
      <c r="C25" s="151">
        <f>C24</f>
        <v>1</v>
      </c>
      <c r="D25" s="152">
        <v>0</v>
      </c>
      <c r="E25" s="153">
        <f t="shared" ref="E25:E27" si="23">C25+(C25*D25)</f>
        <v>1</v>
      </c>
      <c r="F25" s="3" t="s">
        <v>867</v>
      </c>
      <c r="G25" s="77">
        <v>299.16000000000003</v>
      </c>
      <c r="H25" s="5" t="s">
        <v>0</v>
      </c>
      <c r="I25" s="78">
        <f t="shared" ref="I25:I27" si="24">IF(H25="C",(G25/100)*E25,IF(H25="M",(G25/1000)*E25,G25*E25))</f>
        <v>2.9916</v>
      </c>
      <c r="J25" s="154">
        <f t="shared" si="22"/>
        <v>75</v>
      </c>
      <c r="K25" s="4">
        <v>23</v>
      </c>
      <c r="L25" s="5" t="s">
        <v>0</v>
      </c>
      <c r="M25" s="80">
        <f t="shared" si="7"/>
        <v>0.23</v>
      </c>
      <c r="N25" s="78">
        <f t="shared" si="8"/>
        <v>17.25</v>
      </c>
      <c r="O25" s="111">
        <f t="shared" si="9"/>
        <v>20.241599999999998</v>
      </c>
      <c r="P25" s="4">
        <v>30</v>
      </c>
      <c r="Q25" s="4">
        <v>35</v>
      </c>
      <c r="R25" s="4">
        <v>40</v>
      </c>
      <c r="S25" s="49">
        <v>124314</v>
      </c>
    </row>
    <row r="26" spans="1:19" s="18" customFormat="1" x14ac:dyDescent="0.25">
      <c r="A26" s="19"/>
      <c r="B26" s="17" t="s">
        <v>1225</v>
      </c>
      <c r="C26" s="20">
        <f>C24*2</f>
        <v>2</v>
      </c>
      <c r="D26" s="7">
        <v>0</v>
      </c>
      <c r="E26" s="3">
        <f t="shared" si="23"/>
        <v>2</v>
      </c>
      <c r="F26" s="85" t="s">
        <v>867</v>
      </c>
      <c r="G26" s="77">
        <v>6.25</v>
      </c>
      <c r="H26" s="22" t="s">
        <v>0</v>
      </c>
      <c r="I26" s="78">
        <f t="shared" si="24"/>
        <v>0.125</v>
      </c>
      <c r="J26" s="110">
        <f t="shared" si="22"/>
        <v>75</v>
      </c>
      <c r="K26" s="4">
        <v>2.8</v>
      </c>
      <c r="L26" s="22" t="s">
        <v>0</v>
      </c>
      <c r="M26" s="80">
        <f t="shared" ref="M26:M27" si="25">IF(L26="C",(K26/100)*E26,IF(L26="M",(K26/1000)*E26,K26*E26))</f>
        <v>5.5999999999999994E-2</v>
      </c>
      <c r="N26" s="78">
        <f t="shared" ref="N26:N27" si="26">M26*J26</f>
        <v>4.1999999999999993</v>
      </c>
      <c r="O26" s="111">
        <f t="shared" ref="O26:O27" si="27">N26+I26</f>
        <v>4.3249999999999993</v>
      </c>
      <c r="P26" s="4">
        <v>3.1</v>
      </c>
      <c r="Q26" s="4">
        <v>3.88</v>
      </c>
      <c r="R26" s="4">
        <v>4.84</v>
      </c>
      <c r="S26" s="49">
        <v>124389</v>
      </c>
    </row>
    <row r="27" spans="1:19" x14ac:dyDescent="0.25">
      <c r="A27" s="19"/>
      <c r="B27" s="17" t="s">
        <v>8</v>
      </c>
      <c r="C27" s="20">
        <f>C24</f>
        <v>1</v>
      </c>
      <c r="D27" s="7">
        <v>0</v>
      </c>
      <c r="E27" s="3">
        <f t="shared" si="23"/>
        <v>1</v>
      </c>
      <c r="F27" s="85" t="s">
        <v>867</v>
      </c>
      <c r="G27" s="77">
        <v>53.54</v>
      </c>
      <c r="H27" s="22" t="s">
        <v>0</v>
      </c>
      <c r="I27" s="78">
        <f t="shared" si="24"/>
        <v>0.53539999999999999</v>
      </c>
      <c r="J27" s="110">
        <f t="shared" si="22"/>
        <v>75</v>
      </c>
      <c r="K27" s="4">
        <v>3</v>
      </c>
      <c r="L27" s="22" t="s">
        <v>0</v>
      </c>
      <c r="M27" s="80">
        <f t="shared" si="25"/>
        <v>0.03</v>
      </c>
      <c r="N27" s="78">
        <f t="shared" si="26"/>
        <v>2.25</v>
      </c>
      <c r="O27" s="111">
        <f t="shared" si="27"/>
        <v>2.7854000000000001</v>
      </c>
      <c r="P27" s="4">
        <v>10</v>
      </c>
      <c r="Q27" s="4">
        <v>12.5</v>
      </c>
      <c r="R27" s="4">
        <v>15</v>
      </c>
      <c r="S27" s="49">
        <v>124746</v>
      </c>
    </row>
    <row r="28" spans="1:19" ht="15.75" thickBot="1" x14ac:dyDescent="0.3">
      <c r="A28" s="19"/>
      <c r="B28" s="212"/>
      <c r="C28" s="20"/>
      <c r="D28" s="7"/>
      <c r="E28" s="3"/>
      <c r="F28" s="3"/>
      <c r="G28" s="77" t="s">
        <v>1202</v>
      </c>
      <c r="H28" s="22"/>
      <c r="I28" s="78"/>
      <c r="J28" s="21"/>
      <c r="K28" s="4"/>
      <c r="L28" s="22"/>
      <c r="M28" s="80"/>
      <c r="N28" s="78"/>
      <c r="O28" s="111"/>
      <c r="P28" s="4"/>
      <c r="Q28" s="4"/>
      <c r="R28" s="4"/>
      <c r="S28" s="49"/>
    </row>
    <row r="29" spans="1:19" ht="15.75" thickBot="1" x14ac:dyDescent="0.3">
      <c r="A29" s="204">
        <v>5</v>
      </c>
      <c r="B29" s="215" t="s">
        <v>5</v>
      </c>
      <c r="C29" s="197">
        <v>10</v>
      </c>
      <c r="D29" s="7">
        <v>0</v>
      </c>
      <c r="E29" s="3">
        <f t="shared" si="0"/>
        <v>10</v>
      </c>
      <c r="F29" s="85" t="s">
        <v>867</v>
      </c>
      <c r="G29" s="77">
        <v>913.25</v>
      </c>
      <c r="H29" s="5" t="s">
        <v>0</v>
      </c>
      <c r="I29" s="78">
        <f t="shared" si="1"/>
        <v>91.325000000000003</v>
      </c>
      <c r="J29" s="110">
        <f t="shared" si="22"/>
        <v>75</v>
      </c>
      <c r="K29" s="4">
        <v>20</v>
      </c>
      <c r="L29" s="5" t="s">
        <v>0</v>
      </c>
      <c r="M29" s="80">
        <f t="shared" si="7"/>
        <v>2</v>
      </c>
      <c r="N29" s="78">
        <f t="shared" si="8"/>
        <v>150</v>
      </c>
      <c r="O29" s="111">
        <f t="shared" si="9"/>
        <v>241.32499999999999</v>
      </c>
      <c r="P29" s="4">
        <v>30</v>
      </c>
      <c r="Q29" s="4">
        <v>37.5</v>
      </c>
      <c r="R29" s="4">
        <v>45</v>
      </c>
      <c r="S29" s="49">
        <v>137493</v>
      </c>
    </row>
    <row r="30" spans="1:19" x14ac:dyDescent="0.25">
      <c r="A30" s="37"/>
      <c r="B30" s="200" t="s">
        <v>1224</v>
      </c>
      <c r="C30" s="151">
        <f>C29</f>
        <v>10</v>
      </c>
      <c r="D30" s="152">
        <v>0</v>
      </c>
      <c r="E30" s="153">
        <f t="shared" ref="E30:E32" si="28">C30+(C30*D30)</f>
        <v>10</v>
      </c>
      <c r="F30" s="3" t="s">
        <v>867</v>
      </c>
      <c r="G30" s="77">
        <v>299.16000000000003</v>
      </c>
      <c r="H30" s="5" t="s">
        <v>0</v>
      </c>
      <c r="I30" s="78">
        <f t="shared" ref="I30:I32" si="29">IF(H30="C",(G30/100)*E30,IF(H30="M",(G30/1000)*E30,G30*E30))</f>
        <v>29.916</v>
      </c>
      <c r="J30" s="154">
        <f t="shared" si="22"/>
        <v>75</v>
      </c>
      <c r="K30" s="4">
        <v>23</v>
      </c>
      <c r="L30" s="5" t="s">
        <v>0</v>
      </c>
      <c r="M30" s="80">
        <f t="shared" si="7"/>
        <v>2.3000000000000003</v>
      </c>
      <c r="N30" s="78">
        <f t="shared" si="8"/>
        <v>172.50000000000003</v>
      </c>
      <c r="O30" s="111">
        <f t="shared" si="9"/>
        <v>202.41600000000003</v>
      </c>
      <c r="P30" s="4">
        <v>30</v>
      </c>
      <c r="Q30" s="4">
        <v>35</v>
      </c>
      <c r="R30" s="4">
        <v>40</v>
      </c>
      <c r="S30" s="49">
        <v>124314</v>
      </c>
    </row>
    <row r="31" spans="1:19" x14ac:dyDescent="0.25">
      <c r="A31" s="37"/>
      <c r="B31" s="17" t="s">
        <v>1225</v>
      </c>
      <c r="C31" s="20">
        <f>C29*2</f>
        <v>20</v>
      </c>
      <c r="D31" s="7">
        <v>0</v>
      </c>
      <c r="E31" s="3">
        <f t="shared" si="28"/>
        <v>20</v>
      </c>
      <c r="F31" s="85" t="s">
        <v>867</v>
      </c>
      <c r="G31" s="77">
        <v>6.25</v>
      </c>
      <c r="H31" s="22" t="s">
        <v>0</v>
      </c>
      <c r="I31" s="78">
        <f t="shared" si="29"/>
        <v>1.25</v>
      </c>
      <c r="J31" s="110">
        <f t="shared" si="22"/>
        <v>75</v>
      </c>
      <c r="K31" s="4">
        <v>2.8</v>
      </c>
      <c r="L31" s="22" t="s">
        <v>0</v>
      </c>
      <c r="M31" s="80">
        <f t="shared" ref="M31:M32" si="30">IF(L31="C",(K31/100)*E31,IF(L31="M",(K31/1000)*E31,K31*E31))</f>
        <v>0.55999999999999994</v>
      </c>
      <c r="N31" s="78">
        <f t="shared" ref="N31:N32" si="31">M31*J31</f>
        <v>41.999999999999993</v>
      </c>
      <c r="O31" s="111">
        <f t="shared" ref="O31:O32" si="32">N31+I31</f>
        <v>43.249999999999993</v>
      </c>
      <c r="P31" s="4">
        <v>3.1</v>
      </c>
      <c r="Q31" s="4">
        <v>3.88</v>
      </c>
      <c r="R31" s="4">
        <v>4.84</v>
      </c>
      <c r="S31" s="49">
        <v>124389</v>
      </c>
    </row>
    <row r="32" spans="1:19" x14ac:dyDescent="0.25">
      <c r="A32" s="37"/>
      <c r="B32" s="17" t="s">
        <v>4</v>
      </c>
      <c r="C32" s="20">
        <f>C29</f>
        <v>10</v>
      </c>
      <c r="D32" s="7">
        <v>0</v>
      </c>
      <c r="E32" s="3">
        <f t="shared" si="28"/>
        <v>10</v>
      </c>
      <c r="F32" s="85" t="s">
        <v>867</v>
      </c>
      <c r="G32" s="77">
        <v>49.82</v>
      </c>
      <c r="H32" s="22" t="s">
        <v>0</v>
      </c>
      <c r="I32" s="78">
        <f t="shared" si="29"/>
        <v>4.9819999999999993</v>
      </c>
      <c r="J32" s="110">
        <f t="shared" si="22"/>
        <v>75</v>
      </c>
      <c r="K32" s="4">
        <v>2.7</v>
      </c>
      <c r="L32" s="22" t="s">
        <v>0</v>
      </c>
      <c r="M32" s="80">
        <f t="shared" si="30"/>
        <v>0.27</v>
      </c>
      <c r="N32" s="78">
        <f t="shared" si="31"/>
        <v>20.25</v>
      </c>
      <c r="O32" s="111">
        <f t="shared" si="32"/>
        <v>25.231999999999999</v>
      </c>
      <c r="P32" s="4">
        <v>10</v>
      </c>
      <c r="Q32" s="4">
        <v>12.5</v>
      </c>
      <c r="R32" s="4">
        <v>15</v>
      </c>
      <c r="S32" s="49">
        <v>124746</v>
      </c>
    </row>
    <row r="33" spans="1:19" ht="15.75" thickBot="1" x14ac:dyDescent="0.3">
      <c r="A33" s="37"/>
      <c r="B33" s="211"/>
      <c r="C33" s="5"/>
      <c r="D33" s="7"/>
      <c r="E33" s="3"/>
      <c r="F33" s="3"/>
      <c r="G33" s="77" t="s">
        <v>1202</v>
      </c>
      <c r="H33" s="5"/>
      <c r="I33" s="78"/>
      <c r="J33" s="4"/>
      <c r="K33" s="4"/>
      <c r="L33" s="5"/>
      <c r="M33" s="80"/>
      <c r="N33" s="78"/>
      <c r="O33" s="111"/>
      <c r="P33" s="4"/>
      <c r="Q33" s="4"/>
      <c r="R33" s="4"/>
      <c r="S33" s="49"/>
    </row>
    <row r="34" spans="1:19" ht="15.75" thickBot="1" x14ac:dyDescent="0.3">
      <c r="A34" s="204">
        <v>6</v>
      </c>
      <c r="B34" s="215" t="s">
        <v>6</v>
      </c>
      <c r="C34" s="197">
        <v>10</v>
      </c>
      <c r="D34" s="7">
        <v>0</v>
      </c>
      <c r="E34" s="3">
        <f t="shared" si="0"/>
        <v>10</v>
      </c>
      <c r="F34" s="85" t="s">
        <v>867</v>
      </c>
      <c r="G34" s="147">
        <v>1386.32</v>
      </c>
      <c r="H34" s="5" t="s">
        <v>0</v>
      </c>
      <c r="I34" s="78">
        <f t="shared" si="1"/>
        <v>138.63200000000001</v>
      </c>
      <c r="J34" s="110">
        <f t="shared" si="22"/>
        <v>75</v>
      </c>
      <c r="K34" s="4">
        <v>20</v>
      </c>
      <c r="L34" s="5" t="s">
        <v>0</v>
      </c>
      <c r="M34" s="80">
        <f t="shared" si="7"/>
        <v>2</v>
      </c>
      <c r="N34" s="78">
        <f t="shared" si="8"/>
        <v>150</v>
      </c>
      <c r="O34" s="111">
        <f t="shared" si="9"/>
        <v>288.63200000000001</v>
      </c>
      <c r="P34" s="4">
        <v>30</v>
      </c>
      <c r="Q34" s="4">
        <v>37.5</v>
      </c>
      <c r="R34" s="4">
        <v>45</v>
      </c>
      <c r="S34" s="49">
        <v>137589</v>
      </c>
    </row>
    <row r="35" spans="1:19" x14ac:dyDescent="0.25">
      <c r="A35" s="37"/>
      <c r="B35" s="200" t="s">
        <v>1224</v>
      </c>
      <c r="C35" s="151">
        <f>C34</f>
        <v>10</v>
      </c>
      <c r="D35" s="152">
        <v>0</v>
      </c>
      <c r="E35" s="153">
        <f t="shared" ref="E35:E37" si="33">C35+(C35*D35)</f>
        <v>10</v>
      </c>
      <c r="F35" s="3" t="s">
        <v>867</v>
      </c>
      <c r="G35" s="77">
        <v>299.16000000000003</v>
      </c>
      <c r="H35" s="5" t="s">
        <v>0</v>
      </c>
      <c r="I35" s="78">
        <f t="shared" ref="I35:I37" si="34">IF(H35="C",(G35/100)*E35,IF(H35="M",(G35/1000)*E35,G35*E35))</f>
        <v>29.916</v>
      </c>
      <c r="J35" s="154">
        <f t="shared" si="22"/>
        <v>75</v>
      </c>
      <c r="K35" s="4">
        <v>23</v>
      </c>
      <c r="L35" s="5" t="s">
        <v>0</v>
      </c>
      <c r="M35" s="80">
        <f t="shared" si="7"/>
        <v>2.3000000000000003</v>
      </c>
      <c r="N35" s="78">
        <f t="shared" si="8"/>
        <v>172.50000000000003</v>
      </c>
      <c r="O35" s="111">
        <f t="shared" si="9"/>
        <v>202.41600000000003</v>
      </c>
      <c r="P35" s="4">
        <v>30</v>
      </c>
      <c r="Q35" s="4">
        <v>35</v>
      </c>
      <c r="R35" s="4">
        <v>40</v>
      </c>
      <c r="S35" s="49">
        <v>124314</v>
      </c>
    </row>
    <row r="36" spans="1:19" x14ac:dyDescent="0.25">
      <c r="A36" s="37"/>
      <c r="B36" s="17" t="s">
        <v>1225</v>
      </c>
      <c r="C36" s="20">
        <f>C34*2</f>
        <v>20</v>
      </c>
      <c r="D36" s="7">
        <v>0</v>
      </c>
      <c r="E36" s="3">
        <f t="shared" si="33"/>
        <v>20</v>
      </c>
      <c r="F36" s="85" t="s">
        <v>867</v>
      </c>
      <c r="G36" s="77">
        <v>6.25</v>
      </c>
      <c r="H36" s="22" t="s">
        <v>0</v>
      </c>
      <c r="I36" s="78">
        <f t="shared" si="34"/>
        <v>1.25</v>
      </c>
      <c r="J36" s="110">
        <f t="shared" si="22"/>
        <v>75</v>
      </c>
      <c r="K36" s="4">
        <v>2.8</v>
      </c>
      <c r="L36" s="22" t="s">
        <v>0</v>
      </c>
      <c r="M36" s="80">
        <f t="shared" ref="M36:M37" si="35">IF(L36="C",(K36/100)*E36,IF(L36="M",(K36/1000)*E36,K36*E36))</f>
        <v>0.55999999999999994</v>
      </c>
      <c r="N36" s="78">
        <f t="shared" ref="N36:N37" si="36">M36*J36</f>
        <v>41.999999999999993</v>
      </c>
      <c r="O36" s="111">
        <f t="shared" ref="O36:O37" si="37">N36+I36</f>
        <v>43.249999999999993</v>
      </c>
      <c r="P36" s="4">
        <v>3.1</v>
      </c>
      <c r="Q36" s="4">
        <v>3.88</v>
      </c>
      <c r="R36" s="4">
        <v>4.84</v>
      </c>
      <c r="S36" s="49">
        <v>124389</v>
      </c>
    </row>
    <row r="37" spans="1:19" x14ac:dyDescent="0.25">
      <c r="A37" s="37"/>
      <c r="B37" s="17" t="s">
        <v>4</v>
      </c>
      <c r="C37" s="20">
        <f>C34</f>
        <v>10</v>
      </c>
      <c r="D37" s="7">
        <v>0</v>
      </c>
      <c r="E37" s="3">
        <f t="shared" si="33"/>
        <v>10</v>
      </c>
      <c r="F37" s="85" t="s">
        <v>867</v>
      </c>
      <c r="G37" s="77">
        <v>49.82</v>
      </c>
      <c r="H37" s="22" t="s">
        <v>0</v>
      </c>
      <c r="I37" s="78">
        <f t="shared" si="34"/>
        <v>4.9819999999999993</v>
      </c>
      <c r="J37" s="110">
        <f t="shared" si="22"/>
        <v>75</v>
      </c>
      <c r="K37" s="4">
        <v>2.7</v>
      </c>
      <c r="L37" s="22" t="s">
        <v>0</v>
      </c>
      <c r="M37" s="80">
        <f t="shared" si="35"/>
        <v>0.27</v>
      </c>
      <c r="N37" s="78">
        <f t="shared" si="36"/>
        <v>20.25</v>
      </c>
      <c r="O37" s="111">
        <f t="shared" si="37"/>
        <v>25.231999999999999</v>
      </c>
      <c r="P37" s="4">
        <v>10</v>
      </c>
      <c r="Q37" s="4">
        <v>12.5</v>
      </c>
      <c r="R37" s="4">
        <v>15</v>
      </c>
      <c r="S37" s="49">
        <v>124746</v>
      </c>
    </row>
    <row r="38" spans="1:19" ht="15.75" thickBot="1" x14ac:dyDescent="0.3">
      <c r="A38" s="37"/>
      <c r="B38" s="211"/>
      <c r="C38" s="5"/>
      <c r="D38" s="7"/>
      <c r="E38" s="3"/>
      <c r="F38" s="85"/>
      <c r="G38" s="77" t="s">
        <v>1202</v>
      </c>
      <c r="H38" s="5"/>
      <c r="I38" s="78"/>
      <c r="J38" s="110"/>
      <c r="K38" s="4"/>
      <c r="L38" s="5"/>
      <c r="M38" s="80"/>
      <c r="N38" s="78"/>
      <c r="O38" s="111"/>
      <c r="P38" s="4"/>
      <c r="Q38" s="4"/>
      <c r="R38" s="4"/>
      <c r="S38" s="49"/>
    </row>
    <row r="39" spans="1:19" ht="15.75" thickBot="1" x14ac:dyDescent="0.3">
      <c r="A39" s="204">
        <v>7</v>
      </c>
      <c r="B39" s="215" t="s">
        <v>1206</v>
      </c>
      <c r="C39" s="197">
        <v>10</v>
      </c>
      <c r="D39" s="7">
        <v>0</v>
      </c>
      <c r="E39" s="3">
        <f t="shared" ref="E39:E41" si="38">C39+(C39*D39)</f>
        <v>10</v>
      </c>
      <c r="F39" s="85" t="s">
        <v>867</v>
      </c>
      <c r="G39" s="77">
        <v>2145</v>
      </c>
      <c r="H39" s="5" t="s">
        <v>0</v>
      </c>
      <c r="I39" s="78">
        <f t="shared" ref="I39:I41" si="39">IF(H39="C",(G39/100)*E39,IF(H39="M",(G39/1000)*E39,G39*E39))</f>
        <v>214.5</v>
      </c>
      <c r="J39" s="110">
        <f t="shared" ref="J39:J42" si="40">$O$4</f>
        <v>75</v>
      </c>
      <c r="K39" s="4">
        <v>20</v>
      </c>
      <c r="L39" s="5" t="s">
        <v>0</v>
      </c>
      <c r="M39" s="80">
        <f t="shared" ref="M39:M41" si="41">IF(L39="C",(K39/100)*E39,IF(L39="M",(K39/1000)*E39,K39*E39))</f>
        <v>2</v>
      </c>
      <c r="N39" s="78">
        <f t="shared" ref="N39:N41" si="42">M39*J39</f>
        <v>150</v>
      </c>
      <c r="O39" s="111">
        <f t="shared" ref="O39:O41" si="43">N39+I39</f>
        <v>364.5</v>
      </c>
      <c r="P39" s="4">
        <v>30</v>
      </c>
      <c r="Q39" s="4">
        <v>37.5</v>
      </c>
      <c r="R39" s="4">
        <v>45</v>
      </c>
      <c r="S39" s="49"/>
    </row>
    <row r="40" spans="1:19" x14ac:dyDescent="0.25">
      <c r="A40" s="37"/>
      <c r="B40" s="200" t="s">
        <v>1224</v>
      </c>
      <c r="C40" s="151">
        <f>C39</f>
        <v>10</v>
      </c>
      <c r="D40" s="152">
        <v>0</v>
      </c>
      <c r="E40" s="153">
        <f t="shared" si="38"/>
        <v>10</v>
      </c>
      <c r="F40" s="3" t="s">
        <v>867</v>
      </c>
      <c r="G40" s="77">
        <v>299.16000000000003</v>
      </c>
      <c r="H40" s="5" t="s">
        <v>0</v>
      </c>
      <c r="I40" s="78">
        <f t="shared" si="39"/>
        <v>29.916</v>
      </c>
      <c r="J40" s="154">
        <f t="shared" si="40"/>
        <v>75</v>
      </c>
      <c r="K40" s="4">
        <v>23</v>
      </c>
      <c r="L40" s="5" t="s">
        <v>0</v>
      </c>
      <c r="M40" s="80">
        <f t="shared" si="41"/>
        <v>2.3000000000000003</v>
      </c>
      <c r="N40" s="78">
        <f t="shared" si="42"/>
        <v>172.50000000000003</v>
      </c>
      <c r="O40" s="111">
        <f t="shared" si="43"/>
        <v>202.41600000000003</v>
      </c>
      <c r="P40" s="4">
        <v>30</v>
      </c>
      <c r="Q40" s="4">
        <v>35</v>
      </c>
      <c r="R40" s="4">
        <v>40</v>
      </c>
      <c r="S40" s="49">
        <v>124314</v>
      </c>
    </row>
    <row r="41" spans="1:19" x14ac:dyDescent="0.25">
      <c r="A41" s="37"/>
      <c r="B41" s="17" t="s">
        <v>1225</v>
      </c>
      <c r="C41" s="20">
        <f>C39*2</f>
        <v>20</v>
      </c>
      <c r="D41" s="7">
        <v>0</v>
      </c>
      <c r="E41" s="3">
        <f t="shared" si="38"/>
        <v>20</v>
      </c>
      <c r="F41" s="85" t="s">
        <v>867</v>
      </c>
      <c r="G41" s="77">
        <v>6.25</v>
      </c>
      <c r="H41" s="22" t="s">
        <v>0</v>
      </c>
      <c r="I41" s="78">
        <f t="shared" si="39"/>
        <v>1.25</v>
      </c>
      <c r="J41" s="110">
        <f t="shared" si="40"/>
        <v>75</v>
      </c>
      <c r="K41" s="4">
        <v>2.8</v>
      </c>
      <c r="L41" s="22" t="s">
        <v>0</v>
      </c>
      <c r="M41" s="80">
        <f t="shared" si="41"/>
        <v>0.55999999999999994</v>
      </c>
      <c r="N41" s="78">
        <f t="shared" si="42"/>
        <v>41.999999999999993</v>
      </c>
      <c r="O41" s="111">
        <f t="shared" si="43"/>
        <v>43.249999999999993</v>
      </c>
      <c r="P41" s="4">
        <v>3.1</v>
      </c>
      <c r="Q41" s="4">
        <v>3.88</v>
      </c>
      <c r="R41" s="4">
        <v>4.84</v>
      </c>
      <c r="S41" s="49">
        <v>124389</v>
      </c>
    </row>
    <row r="42" spans="1:19" x14ac:dyDescent="0.25">
      <c r="A42" s="37"/>
      <c r="B42" s="24" t="s">
        <v>1207</v>
      </c>
      <c r="C42" s="5">
        <f>C39</f>
        <v>10</v>
      </c>
      <c r="D42" s="7">
        <v>0</v>
      </c>
      <c r="E42" s="3">
        <f t="shared" ref="E42" si="44">C42+(C42*D42)</f>
        <v>10</v>
      </c>
      <c r="F42" s="85" t="s">
        <v>867</v>
      </c>
      <c r="G42" s="77">
        <v>49.82</v>
      </c>
      <c r="H42" s="5" t="s">
        <v>0</v>
      </c>
      <c r="I42" s="78">
        <f t="shared" ref="I42" si="45">IF(H42="C",(G42/100)*E42,IF(H42="M",(G42/1000)*E42,G42*E42))</f>
        <v>4.9819999999999993</v>
      </c>
      <c r="J42" s="110">
        <f t="shared" si="40"/>
        <v>75</v>
      </c>
      <c r="K42" s="4">
        <v>2.7</v>
      </c>
      <c r="L42" s="5" t="s">
        <v>0</v>
      </c>
      <c r="M42" s="80">
        <f t="shared" ref="M42" si="46">IF(L42="C",(K42/100)*E42,IF(L42="M",(K42/1000)*E42,K42*E42))</f>
        <v>0.27</v>
      </c>
      <c r="N42" s="78">
        <f t="shared" ref="N42" si="47">M42*J42</f>
        <v>20.25</v>
      </c>
      <c r="O42" s="111">
        <f t="shared" ref="O42" si="48">N42+I42</f>
        <v>25.231999999999999</v>
      </c>
      <c r="P42" s="4">
        <v>10</v>
      </c>
      <c r="Q42" s="4">
        <v>12.5</v>
      </c>
      <c r="R42" s="4">
        <v>15</v>
      </c>
      <c r="S42" s="49">
        <v>124746</v>
      </c>
    </row>
    <row r="43" spans="1:19" ht="15.75" thickBot="1" x14ac:dyDescent="0.3">
      <c r="A43" s="37"/>
      <c r="B43" s="211"/>
      <c r="C43" s="5"/>
      <c r="D43" s="7"/>
      <c r="E43" s="3"/>
      <c r="F43" s="85"/>
      <c r="G43" s="77"/>
      <c r="H43" s="5"/>
      <c r="I43" s="78"/>
      <c r="J43" s="110"/>
      <c r="K43" s="4"/>
      <c r="L43" s="5"/>
      <c r="M43" s="80"/>
      <c r="N43" s="78"/>
      <c r="O43" s="111"/>
      <c r="P43" s="4"/>
      <c r="Q43" s="4"/>
      <c r="R43" s="4"/>
      <c r="S43" s="49"/>
    </row>
    <row r="44" spans="1:19" ht="15.75" thickBot="1" x14ac:dyDescent="0.3">
      <c r="A44" s="204">
        <v>8</v>
      </c>
      <c r="B44" s="215" t="s">
        <v>7</v>
      </c>
      <c r="C44" s="197">
        <v>10</v>
      </c>
      <c r="D44" s="7">
        <v>0</v>
      </c>
      <c r="E44" s="3">
        <f t="shared" si="0"/>
        <v>10</v>
      </c>
      <c r="F44" s="85" t="s">
        <v>867</v>
      </c>
      <c r="G44" s="77">
        <v>1521.63</v>
      </c>
      <c r="H44" s="5" t="s">
        <v>0</v>
      </c>
      <c r="I44" s="78">
        <f t="shared" si="1"/>
        <v>152.16300000000001</v>
      </c>
      <c r="J44" s="110">
        <f t="shared" si="22"/>
        <v>75</v>
      </c>
      <c r="K44" s="4">
        <v>25</v>
      </c>
      <c r="L44" s="5" t="s">
        <v>0</v>
      </c>
      <c r="M44" s="80">
        <f t="shared" si="7"/>
        <v>2.5</v>
      </c>
      <c r="N44" s="78">
        <f t="shared" si="8"/>
        <v>187.5</v>
      </c>
      <c r="O44" s="111">
        <f t="shared" si="9"/>
        <v>339.66300000000001</v>
      </c>
      <c r="P44" s="4">
        <v>35</v>
      </c>
      <c r="Q44" s="4">
        <v>40</v>
      </c>
      <c r="R44" s="4">
        <v>45</v>
      </c>
      <c r="S44" s="49">
        <v>137496</v>
      </c>
    </row>
    <row r="45" spans="1:19" x14ac:dyDescent="0.25">
      <c r="A45" s="37"/>
      <c r="B45" s="200" t="s">
        <v>1224</v>
      </c>
      <c r="C45" s="151">
        <f>C44</f>
        <v>10</v>
      </c>
      <c r="D45" s="152">
        <v>0</v>
      </c>
      <c r="E45" s="153">
        <f t="shared" ref="E45:E47" si="49">C45+(C45*D45)</f>
        <v>10</v>
      </c>
      <c r="F45" s="3" t="s">
        <v>867</v>
      </c>
      <c r="G45" s="77">
        <v>299.16000000000003</v>
      </c>
      <c r="H45" s="5" t="s">
        <v>0</v>
      </c>
      <c r="I45" s="78">
        <f t="shared" ref="I45:I47" si="50">IF(H45="C",(G45/100)*E45,IF(H45="M",(G45/1000)*E45,G45*E45))</f>
        <v>29.916</v>
      </c>
      <c r="J45" s="154">
        <f t="shared" si="22"/>
        <v>75</v>
      </c>
      <c r="K45" s="4">
        <v>23</v>
      </c>
      <c r="L45" s="5" t="s">
        <v>0</v>
      </c>
      <c r="M45" s="80">
        <f t="shared" si="7"/>
        <v>2.3000000000000003</v>
      </c>
      <c r="N45" s="78">
        <f t="shared" si="8"/>
        <v>172.50000000000003</v>
      </c>
      <c r="O45" s="111">
        <f t="shared" si="9"/>
        <v>202.41600000000003</v>
      </c>
      <c r="P45" s="4">
        <v>30</v>
      </c>
      <c r="Q45" s="4">
        <v>35</v>
      </c>
      <c r="R45" s="4">
        <v>40</v>
      </c>
      <c r="S45" s="49">
        <v>124314</v>
      </c>
    </row>
    <row r="46" spans="1:19" x14ac:dyDescent="0.25">
      <c r="A46" s="37"/>
      <c r="B46" s="17" t="s">
        <v>1225</v>
      </c>
      <c r="C46" s="20">
        <f>C44*2</f>
        <v>20</v>
      </c>
      <c r="D46" s="7">
        <v>0</v>
      </c>
      <c r="E46" s="3">
        <f t="shared" si="49"/>
        <v>20</v>
      </c>
      <c r="F46" s="85" t="s">
        <v>867</v>
      </c>
      <c r="G46" s="77">
        <v>6.25</v>
      </c>
      <c r="H46" s="22" t="s">
        <v>0</v>
      </c>
      <c r="I46" s="78">
        <f t="shared" si="50"/>
        <v>1.25</v>
      </c>
      <c r="J46" s="110">
        <f t="shared" si="22"/>
        <v>75</v>
      </c>
      <c r="K46" s="4">
        <v>2.8</v>
      </c>
      <c r="L46" s="22" t="s">
        <v>0</v>
      </c>
      <c r="M46" s="80">
        <f t="shared" ref="M46:M47" si="51">IF(L46="C",(K46/100)*E46,IF(L46="M",(K46/1000)*E46,K46*E46))</f>
        <v>0.55999999999999994</v>
      </c>
      <c r="N46" s="78">
        <f t="shared" ref="N46:N47" si="52">M46*J46</f>
        <v>41.999999999999993</v>
      </c>
      <c r="O46" s="111">
        <f t="shared" ref="O46:O47" si="53">N46+I46</f>
        <v>43.249999999999993</v>
      </c>
      <c r="P46" s="4">
        <v>3.1</v>
      </c>
      <c r="Q46" s="4">
        <v>3.88</v>
      </c>
      <c r="R46" s="4">
        <v>4.84</v>
      </c>
      <c r="S46" s="49">
        <v>124389</v>
      </c>
    </row>
    <row r="47" spans="1:19" x14ac:dyDescent="0.25">
      <c r="A47" s="37"/>
      <c r="B47" s="17" t="s">
        <v>4</v>
      </c>
      <c r="C47" s="20">
        <f>C44</f>
        <v>10</v>
      </c>
      <c r="D47" s="7">
        <v>0</v>
      </c>
      <c r="E47" s="3">
        <f t="shared" si="49"/>
        <v>10</v>
      </c>
      <c r="F47" s="85" t="s">
        <v>867</v>
      </c>
      <c r="G47" s="77">
        <v>49.82</v>
      </c>
      <c r="H47" s="22" t="s">
        <v>0</v>
      </c>
      <c r="I47" s="78">
        <f t="shared" si="50"/>
        <v>4.9819999999999993</v>
      </c>
      <c r="J47" s="110">
        <f t="shared" si="22"/>
        <v>75</v>
      </c>
      <c r="K47" s="4">
        <v>2.7</v>
      </c>
      <c r="L47" s="22" t="s">
        <v>0</v>
      </c>
      <c r="M47" s="80">
        <f t="shared" si="51"/>
        <v>0.27</v>
      </c>
      <c r="N47" s="78">
        <f t="shared" si="52"/>
        <v>20.25</v>
      </c>
      <c r="O47" s="111">
        <f t="shared" si="53"/>
        <v>25.231999999999999</v>
      </c>
      <c r="P47" s="4">
        <v>10</v>
      </c>
      <c r="Q47" s="4">
        <v>12.5</v>
      </c>
      <c r="R47" s="4">
        <v>15</v>
      </c>
      <c r="S47" s="49">
        <v>124746</v>
      </c>
    </row>
    <row r="48" spans="1:19" ht="15.75" thickBot="1" x14ac:dyDescent="0.3">
      <c r="A48" s="37"/>
      <c r="B48" s="211"/>
      <c r="C48" s="5"/>
      <c r="D48" s="7"/>
      <c r="E48" s="3"/>
      <c r="F48" s="3"/>
      <c r="G48" s="77" t="s">
        <v>1202</v>
      </c>
      <c r="H48" s="5"/>
      <c r="I48" s="78"/>
      <c r="J48" s="4"/>
      <c r="K48" s="4"/>
      <c r="L48" s="5"/>
      <c r="M48" s="80"/>
      <c r="N48" s="78"/>
      <c r="O48" s="111"/>
      <c r="P48" s="4"/>
      <c r="Q48" s="4"/>
      <c r="R48" s="4"/>
      <c r="S48" s="49"/>
    </row>
    <row r="49" spans="1:19" ht="15.75" thickBot="1" x14ac:dyDescent="0.3">
      <c r="A49" s="204">
        <v>9</v>
      </c>
      <c r="B49" s="215" t="s">
        <v>1214</v>
      </c>
      <c r="C49" s="176">
        <v>10</v>
      </c>
      <c r="D49" s="157">
        <v>0</v>
      </c>
      <c r="E49" s="158">
        <f t="shared" ref="E49:E52" si="54">C49+(C49*D49)</f>
        <v>10</v>
      </c>
      <c r="F49" s="185" t="s">
        <v>867</v>
      </c>
      <c r="G49" s="160">
        <v>1848.25</v>
      </c>
      <c r="H49" s="161" t="s">
        <v>0</v>
      </c>
      <c r="I49" s="162">
        <f t="shared" ref="I49:I52" si="55">IF(H49="C",(G49/100)*E49,IF(H49="M",(G49/1000)*E49,G49*E49))</f>
        <v>184.82500000000002</v>
      </c>
      <c r="J49" s="163">
        <f t="shared" ref="J49:J52" si="56">$O$4</f>
        <v>75</v>
      </c>
      <c r="K49" s="164">
        <v>25</v>
      </c>
      <c r="L49" s="155" t="s">
        <v>0</v>
      </c>
      <c r="M49" s="165">
        <f t="shared" ref="M49:M52" si="57">IF(L49="C",(K49/100)*E49,IF(L49="M",(K49/1000)*E49,K49*E49))</f>
        <v>2.5</v>
      </c>
      <c r="N49" s="162">
        <f t="shared" ref="N49:N52" si="58">M49*J49</f>
        <v>187.5</v>
      </c>
      <c r="O49" s="166">
        <f t="shared" ref="O49:O52" si="59">N49+I49</f>
        <v>372.32500000000005</v>
      </c>
      <c r="P49" s="4">
        <v>35</v>
      </c>
      <c r="Q49" s="4">
        <v>40</v>
      </c>
      <c r="R49" s="4">
        <v>45</v>
      </c>
      <c r="S49" s="49">
        <v>137496</v>
      </c>
    </row>
    <row r="50" spans="1:19" x14ac:dyDescent="0.25">
      <c r="A50" s="37"/>
      <c r="B50" s="200" t="s">
        <v>1224</v>
      </c>
      <c r="C50" s="151">
        <f>C49</f>
        <v>10</v>
      </c>
      <c r="D50" s="152">
        <v>0</v>
      </c>
      <c r="E50" s="153">
        <f t="shared" si="54"/>
        <v>10</v>
      </c>
      <c r="F50" s="3" t="s">
        <v>867</v>
      </c>
      <c r="G50" s="77">
        <v>299.16000000000003</v>
      </c>
      <c r="H50" s="5" t="s">
        <v>0</v>
      </c>
      <c r="I50" s="78">
        <f t="shared" si="55"/>
        <v>29.916</v>
      </c>
      <c r="J50" s="154">
        <f t="shared" si="56"/>
        <v>75</v>
      </c>
      <c r="K50" s="4">
        <v>23</v>
      </c>
      <c r="L50" s="5" t="s">
        <v>0</v>
      </c>
      <c r="M50" s="80">
        <f t="shared" si="57"/>
        <v>2.3000000000000003</v>
      </c>
      <c r="N50" s="78">
        <f t="shared" si="58"/>
        <v>172.50000000000003</v>
      </c>
      <c r="O50" s="111">
        <f t="shared" si="59"/>
        <v>202.41600000000003</v>
      </c>
      <c r="P50" s="4">
        <v>30</v>
      </c>
      <c r="Q50" s="4">
        <v>35</v>
      </c>
      <c r="R50" s="4">
        <v>40</v>
      </c>
      <c r="S50" s="49">
        <v>124314</v>
      </c>
    </row>
    <row r="51" spans="1:19" x14ac:dyDescent="0.25">
      <c r="A51" s="37"/>
      <c r="B51" s="17" t="s">
        <v>1225</v>
      </c>
      <c r="C51" s="20">
        <f>C49*2</f>
        <v>20</v>
      </c>
      <c r="D51" s="7">
        <v>0</v>
      </c>
      <c r="E51" s="3">
        <f t="shared" si="54"/>
        <v>20</v>
      </c>
      <c r="F51" s="85" t="s">
        <v>867</v>
      </c>
      <c r="G51" s="77">
        <v>6.25</v>
      </c>
      <c r="H51" s="22" t="s">
        <v>0</v>
      </c>
      <c r="I51" s="78">
        <f t="shared" si="55"/>
        <v>1.25</v>
      </c>
      <c r="J51" s="110">
        <f t="shared" si="56"/>
        <v>75</v>
      </c>
      <c r="K51" s="4">
        <v>2.8</v>
      </c>
      <c r="L51" s="22" t="s">
        <v>0</v>
      </c>
      <c r="M51" s="80">
        <f t="shared" si="57"/>
        <v>0.55999999999999994</v>
      </c>
      <c r="N51" s="78">
        <f t="shared" si="58"/>
        <v>41.999999999999993</v>
      </c>
      <c r="O51" s="111">
        <f t="shared" si="59"/>
        <v>43.249999999999993</v>
      </c>
      <c r="P51" s="4">
        <v>3.1</v>
      </c>
      <c r="Q51" s="4">
        <v>3.88</v>
      </c>
      <c r="R51" s="4">
        <v>4.84</v>
      </c>
      <c r="S51" s="49">
        <v>124389</v>
      </c>
    </row>
    <row r="52" spans="1:19" x14ac:dyDescent="0.25">
      <c r="A52" s="37"/>
      <c r="B52" s="17" t="s">
        <v>4</v>
      </c>
      <c r="C52" s="20">
        <f>C49</f>
        <v>10</v>
      </c>
      <c r="D52" s="7">
        <v>0</v>
      </c>
      <c r="E52" s="3">
        <f t="shared" si="54"/>
        <v>10</v>
      </c>
      <c r="F52" s="85" t="s">
        <v>867</v>
      </c>
      <c r="G52" s="77">
        <v>49.82</v>
      </c>
      <c r="H52" s="22" t="s">
        <v>0</v>
      </c>
      <c r="I52" s="78">
        <f t="shared" si="55"/>
        <v>4.9819999999999993</v>
      </c>
      <c r="J52" s="110">
        <f t="shared" si="56"/>
        <v>75</v>
      </c>
      <c r="K52" s="4">
        <v>2.7</v>
      </c>
      <c r="L52" s="22" t="s">
        <v>0</v>
      </c>
      <c r="M52" s="80">
        <f t="shared" si="57"/>
        <v>0.27</v>
      </c>
      <c r="N52" s="78">
        <f t="shared" si="58"/>
        <v>20.25</v>
      </c>
      <c r="O52" s="111">
        <f t="shared" si="59"/>
        <v>25.231999999999999</v>
      </c>
      <c r="P52" s="4">
        <v>10</v>
      </c>
      <c r="Q52" s="4">
        <v>12.5</v>
      </c>
      <c r="R52" s="4">
        <v>15</v>
      </c>
      <c r="S52" s="49">
        <v>124746</v>
      </c>
    </row>
    <row r="53" spans="1:19" ht="15.75" thickBot="1" x14ac:dyDescent="0.3">
      <c r="A53" s="37"/>
      <c r="B53" s="211"/>
      <c r="C53" s="5"/>
      <c r="D53" s="7"/>
      <c r="E53" s="3"/>
      <c r="F53" s="3"/>
      <c r="G53" s="77" t="s">
        <v>1202</v>
      </c>
      <c r="H53" s="5"/>
      <c r="I53" s="78"/>
      <c r="J53" s="4"/>
      <c r="K53" s="4"/>
      <c r="L53" s="5"/>
      <c r="M53" s="80"/>
      <c r="N53" s="78"/>
      <c r="O53" s="111"/>
      <c r="P53" s="4"/>
      <c r="Q53" s="4"/>
      <c r="R53" s="4"/>
      <c r="S53" s="49"/>
    </row>
    <row r="54" spans="1:19" ht="15.75" thickBot="1" x14ac:dyDescent="0.3">
      <c r="A54" s="204">
        <v>10</v>
      </c>
      <c r="B54" s="215" t="s">
        <v>9</v>
      </c>
      <c r="C54" s="197">
        <v>10</v>
      </c>
      <c r="D54" s="7">
        <v>0</v>
      </c>
      <c r="E54" s="3">
        <f t="shared" si="0"/>
        <v>10</v>
      </c>
      <c r="F54" s="85" t="s">
        <v>867</v>
      </c>
      <c r="G54" s="147">
        <v>798.41</v>
      </c>
      <c r="H54" s="5" t="s">
        <v>0</v>
      </c>
      <c r="I54" s="78">
        <f t="shared" si="1"/>
        <v>79.840999999999994</v>
      </c>
      <c r="J54" s="110">
        <f t="shared" si="22"/>
        <v>75</v>
      </c>
      <c r="K54" s="4">
        <v>20</v>
      </c>
      <c r="L54" s="5" t="s">
        <v>0</v>
      </c>
      <c r="M54" s="80">
        <f t="shared" si="7"/>
        <v>2</v>
      </c>
      <c r="N54" s="78">
        <f t="shared" si="8"/>
        <v>150</v>
      </c>
      <c r="O54" s="111">
        <f t="shared" si="9"/>
        <v>229.84100000000001</v>
      </c>
      <c r="P54" s="4">
        <v>30</v>
      </c>
      <c r="Q54" s="4">
        <v>37.5</v>
      </c>
      <c r="R54" s="4">
        <v>45</v>
      </c>
      <c r="S54" s="49">
        <v>137511</v>
      </c>
    </row>
    <row r="55" spans="1:19" x14ac:dyDescent="0.25">
      <c r="A55" s="37"/>
      <c r="B55" s="200" t="s">
        <v>1224</v>
      </c>
      <c r="C55" s="151">
        <f>C54</f>
        <v>10</v>
      </c>
      <c r="D55" s="152">
        <v>0</v>
      </c>
      <c r="E55" s="153">
        <f t="shared" ref="E55:E57" si="60">C55+(C55*D55)</f>
        <v>10</v>
      </c>
      <c r="F55" s="3" t="s">
        <v>867</v>
      </c>
      <c r="G55" s="77">
        <v>299.16000000000003</v>
      </c>
      <c r="H55" s="5" t="s">
        <v>0</v>
      </c>
      <c r="I55" s="78">
        <f t="shared" ref="I55:I57" si="61">IF(H55="C",(G55/100)*E55,IF(H55="M",(G55/1000)*E55,G55*E55))</f>
        <v>29.916</v>
      </c>
      <c r="J55" s="154">
        <f t="shared" si="22"/>
        <v>75</v>
      </c>
      <c r="K55" s="4">
        <v>23</v>
      </c>
      <c r="L55" s="5" t="s">
        <v>0</v>
      </c>
      <c r="M55" s="80">
        <f t="shared" si="7"/>
        <v>2.3000000000000003</v>
      </c>
      <c r="N55" s="78">
        <f t="shared" si="8"/>
        <v>172.50000000000003</v>
      </c>
      <c r="O55" s="111">
        <f t="shared" si="9"/>
        <v>202.41600000000003</v>
      </c>
      <c r="P55" s="4">
        <v>30</v>
      </c>
      <c r="Q55" s="4">
        <v>35</v>
      </c>
      <c r="R55" s="4">
        <v>40</v>
      </c>
      <c r="S55" s="49">
        <v>124314</v>
      </c>
    </row>
    <row r="56" spans="1:19" x14ac:dyDescent="0.25">
      <c r="A56" s="37"/>
      <c r="B56" s="17" t="s">
        <v>1225</v>
      </c>
      <c r="C56" s="20">
        <f>C54*2</f>
        <v>20</v>
      </c>
      <c r="D56" s="7">
        <v>0</v>
      </c>
      <c r="E56" s="3">
        <f t="shared" si="60"/>
        <v>20</v>
      </c>
      <c r="F56" s="85" t="s">
        <v>867</v>
      </c>
      <c r="G56" s="77">
        <v>6.25</v>
      </c>
      <c r="H56" s="22" t="s">
        <v>0</v>
      </c>
      <c r="I56" s="78">
        <f t="shared" si="61"/>
        <v>1.25</v>
      </c>
      <c r="J56" s="110">
        <f t="shared" si="22"/>
        <v>75</v>
      </c>
      <c r="K56" s="4">
        <v>2.8</v>
      </c>
      <c r="L56" s="22" t="s">
        <v>0</v>
      </c>
      <c r="M56" s="80">
        <f t="shared" ref="M56:M57" si="62">IF(L56="C",(K56/100)*E56,IF(L56="M",(K56/1000)*E56,K56*E56))</f>
        <v>0.55999999999999994</v>
      </c>
      <c r="N56" s="78">
        <f t="shared" ref="N56:N57" si="63">M56*J56</f>
        <v>41.999999999999993</v>
      </c>
      <c r="O56" s="111">
        <f t="shared" ref="O56:O57" si="64">N56+I56</f>
        <v>43.249999999999993</v>
      </c>
      <c r="P56" s="4">
        <v>3.1</v>
      </c>
      <c r="Q56" s="4">
        <v>3.88</v>
      </c>
      <c r="R56" s="4">
        <v>4.84</v>
      </c>
      <c r="S56" s="49">
        <v>124389</v>
      </c>
    </row>
    <row r="57" spans="1:19" x14ac:dyDescent="0.25">
      <c r="A57" s="37"/>
      <c r="B57" s="24" t="s">
        <v>8</v>
      </c>
      <c r="C57" s="5">
        <f>C54</f>
        <v>10</v>
      </c>
      <c r="D57" s="7">
        <v>0</v>
      </c>
      <c r="E57" s="3">
        <f t="shared" si="60"/>
        <v>10</v>
      </c>
      <c r="F57" s="85" t="s">
        <v>867</v>
      </c>
      <c r="G57" s="77">
        <v>53.54</v>
      </c>
      <c r="H57" s="5" t="s">
        <v>0</v>
      </c>
      <c r="I57" s="78">
        <f t="shared" si="61"/>
        <v>5.3540000000000001</v>
      </c>
      <c r="J57" s="110">
        <f t="shared" si="22"/>
        <v>75</v>
      </c>
      <c r="K57" s="4">
        <v>3</v>
      </c>
      <c r="L57" s="5" t="s">
        <v>0</v>
      </c>
      <c r="M57" s="80">
        <f t="shared" si="62"/>
        <v>0.3</v>
      </c>
      <c r="N57" s="78">
        <f t="shared" si="63"/>
        <v>22.5</v>
      </c>
      <c r="O57" s="111">
        <f t="shared" si="64"/>
        <v>27.853999999999999</v>
      </c>
      <c r="P57" s="4">
        <v>10</v>
      </c>
      <c r="Q57" s="4">
        <v>12.5</v>
      </c>
      <c r="R57" s="4">
        <v>15</v>
      </c>
      <c r="S57" s="49">
        <v>124746</v>
      </c>
    </row>
    <row r="58" spans="1:19" ht="15.75" thickBot="1" x14ac:dyDescent="0.3">
      <c r="A58" s="37"/>
      <c r="B58" s="211"/>
      <c r="C58" s="5"/>
      <c r="D58" s="7"/>
      <c r="E58" s="3"/>
      <c r="F58" s="3"/>
      <c r="G58" s="77" t="s">
        <v>1202</v>
      </c>
      <c r="H58" s="5"/>
      <c r="I58" s="78"/>
      <c r="J58" s="4"/>
      <c r="K58" s="4"/>
      <c r="L58" s="5"/>
      <c r="M58" s="80"/>
      <c r="N58" s="78"/>
      <c r="O58" s="111"/>
      <c r="P58" s="4"/>
      <c r="Q58" s="4"/>
      <c r="R58" s="4"/>
      <c r="S58" s="49"/>
    </row>
    <row r="59" spans="1:19" ht="15.75" customHeight="1" thickBot="1" x14ac:dyDescent="0.3">
      <c r="A59" s="205">
        <v>11</v>
      </c>
      <c r="B59" s="215" t="s">
        <v>1203</v>
      </c>
      <c r="C59" s="197">
        <v>10</v>
      </c>
      <c r="D59" s="7">
        <v>0</v>
      </c>
      <c r="E59" s="3">
        <f t="shared" ref="E59:E62" si="65">C59+(C59*D59)</f>
        <v>10</v>
      </c>
      <c r="F59" s="149" t="s">
        <v>867</v>
      </c>
      <c r="G59" s="77">
        <v>1618.96</v>
      </c>
      <c r="H59" s="5" t="s">
        <v>0</v>
      </c>
      <c r="I59" s="78">
        <f t="shared" ref="I59:I62" si="66">IF(H59="C",(G59/100)*E59,IF(H59="M",(G59/1000)*E59,G59*E59))</f>
        <v>161.89599999999999</v>
      </c>
      <c r="J59" s="110">
        <f t="shared" ref="J59:J67" si="67">$O$4</f>
        <v>75</v>
      </c>
      <c r="K59" s="4">
        <v>20</v>
      </c>
      <c r="L59" s="5" t="s">
        <v>0</v>
      </c>
      <c r="M59" s="80">
        <f t="shared" ref="M59:M62" si="68">IF(L59="C",(K59/100)*E59,IF(L59="M",(K59/1000)*E59,K59*E59))</f>
        <v>2</v>
      </c>
      <c r="N59" s="78">
        <f t="shared" ref="N59:N62" si="69">M59*J59</f>
        <v>150</v>
      </c>
      <c r="O59" s="111">
        <f t="shared" ref="O59:O62" si="70">N59+I59</f>
        <v>311.89599999999996</v>
      </c>
      <c r="P59" s="4">
        <v>25</v>
      </c>
      <c r="Q59" s="4">
        <v>30</v>
      </c>
      <c r="R59" s="4">
        <v>35</v>
      </c>
      <c r="S59" s="49"/>
    </row>
    <row r="60" spans="1:19" x14ac:dyDescent="0.25">
      <c r="A60" s="148"/>
      <c r="B60" s="200" t="s">
        <v>1224</v>
      </c>
      <c r="C60" s="151">
        <f>C59</f>
        <v>10</v>
      </c>
      <c r="D60" s="152">
        <v>0</v>
      </c>
      <c r="E60" s="153">
        <f t="shared" si="65"/>
        <v>10</v>
      </c>
      <c r="F60" s="3" t="s">
        <v>867</v>
      </c>
      <c r="G60" s="77">
        <v>299.16000000000003</v>
      </c>
      <c r="H60" s="5" t="s">
        <v>0</v>
      </c>
      <c r="I60" s="78">
        <f t="shared" si="66"/>
        <v>29.916</v>
      </c>
      <c r="J60" s="154">
        <f t="shared" si="67"/>
        <v>75</v>
      </c>
      <c r="K60" s="4">
        <v>23</v>
      </c>
      <c r="L60" s="5" t="s">
        <v>0</v>
      </c>
      <c r="M60" s="80">
        <f t="shared" si="68"/>
        <v>2.3000000000000003</v>
      </c>
      <c r="N60" s="78">
        <f t="shared" si="69"/>
        <v>172.50000000000003</v>
      </c>
      <c r="O60" s="111">
        <f t="shared" si="70"/>
        <v>202.41600000000003</v>
      </c>
      <c r="P60" s="4">
        <v>30</v>
      </c>
      <c r="Q60" s="4">
        <v>35</v>
      </c>
      <c r="R60" s="4">
        <v>40</v>
      </c>
      <c r="S60" s="49">
        <v>124314</v>
      </c>
    </row>
    <row r="61" spans="1:19" x14ac:dyDescent="0.25">
      <c r="A61" s="148"/>
      <c r="B61" s="17" t="s">
        <v>1225</v>
      </c>
      <c r="C61" s="20">
        <f>C59*2</f>
        <v>20</v>
      </c>
      <c r="D61" s="7">
        <v>0</v>
      </c>
      <c r="E61" s="3">
        <f t="shared" si="65"/>
        <v>20</v>
      </c>
      <c r="F61" s="85" t="s">
        <v>867</v>
      </c>
      <c r="G61" s="77">
        <v>6.25</v>
      </c>
      <c r="H61" s="22" t="s">
        <v>0</v>
      </c>
      <c r="I61" s="78">
        <f t="shared" si="66"/>
        <v>1.25</v>
      </c>
      <c r="J61" s="110">
        <f t="shared" si="67"/>
        <v>75</v>
      </c>
      <c r="K61" s="4">
        <v>2.8</v>
      </c>
      <c r="L61" s="22" t="s">
        <v>0</v>
      </c>
      <c r="M61" s="80">
        <f t="shared" si="68"/>
        <v>0.55999999999999994</v>
      </c>
      <c r="N61" s="78">
        <f t="shared" si="69"/>
        <v>41.999999999999993</v>
      </c>
      <c r="O61" s="111">
        <f t="shared" si="70"/>
        <v>43.249999999999993</v>
      </c>
      <c r="P61" s="4">
        <v>3.1</v>
      </c>
      <c r="Q61" s="4">
        <v>3.88</v>
      </c>
      <c r="R61" s="4">
        <v>4.84</v>
      </c>
      <c r="S61" s="49">
        <v>124746</v>
      </c>
    </row>
    <row r="62" spans="1:19" x14ac:dyDescent="0.25">
      <c r="A62" s="148"/>
      <c r="B62" s="24" t="s">
        <v>1204</v>
      </c>
      <c r="C62" s="5">
        <f>C59</f>
        <v>10</v>
      </c>
      <c r="D62" s="7">
        <v>0</v>
      </c>
      <c r="E62" s="3">
        <f t="shared" si="65"/>
        <v>10</v>
      </c>
      <c r="F62" s="149" t="s">
        <v>867</v>
      </c>
      <c r="G62" s="77">
        <v>148.5</v>
      </c>
      <c r="H62" s="5" t="s">
        <v>0</v>
      </c>
      <c r="I62" s="78">
        <f t="shared" si="66"/>
        <v>14.850000000000001</v>
      </c>
      <c r="J62" s="110">
        <f t="shared" si="67"/>
        <v>75</v>
      </c>
      <c r="K62" s="4">
        <v>2.7</v>
      </c>
      <c r="L62" s="5" t="s">
        <v>0</v>
      </c>
      <c r="M62" s="80">
        <f t="shared" si="68"/>
        <v>0.27</v>
      </c>
      <c r="N62" s="78">
        <f t="shared" si="69"/>
        <v>20.25</v>
      </c>
      <c r="O62" s="111">
        <f t="shared" si="70"/>
        <v>35.1</v>
      </c>
      <c r="P62" s="4">
        <v>10</v>
      </c>
      <c r="Q62" s="4">
        <v>12.5</v>
      </c>
      <c r="R62" s="4">
        <v>15</v>
      </c>
      <c r="S62" s="49">
        <v>140190</v>
      </c>
    </row>
    <row r="63" spans="1:19" ht="15.75" thickBot="1" x14ac:dyDescent="0.3">
      <c r="A63" s="148"/>
      <c r="B63" s="211"/>
      <c r="C63" s="5"/>
      <c r="D63" s="7"/>
      <c r="E63" s="3"/>
      <c r="F63" s="149"/>
      <c r="G63" s="77" t="s">
        <v>1202</v>
      </c>
      <c r="H63" s="5"/>
      <c r="I63" s="78"/>
      <c r="J63" s="110"/>
      <c r="K63" s="4"/>
      <c r="L63" s="5"/>
      <c r="M63" s="80"/>
      <c r="N63" s="78"/>
      <c r="O63" s="111"/>
      <c r="P63" s="4"/>
      <c r="Q63" s="4"/>
      <c r="R63" s="4"/>
      <c r="S63" s="49"/>
    </row>
    <row r="64" spans="1:19" ht="15.75" thickBot="1" x14ac:dyDescent="0.3">
      <c r="A64" s="205">
        <v>12</v>
      </c>
      <c r="B64" s="215" t="s">
        <v>1205</v>
      </c>
      <c r="C64" s="197">
        <v>10</v>
      </c>
      <c r="D64" s="7">
        <v>0</v>
      </c>
      <c r="E64" s="3">
        <f t="shared" ref="E64:E67" si="71">C64+(C64*D64)</f>
        <v>10</v>
      </c>
      <c r="F64" s="149" t="s">
        <v>867</v>
      </c>
      <c r="G64" s="77">
        <v>2015.45</v>
      </c>
      <c r="H64" s="5" t="s">
        <v>0</v>
      </c>
      <c r="I64" s="78">
        <f t="shared" ref="I64:I67" si="72">IF(H64="C",(G64/100)*E64,IF(H64="M",(G64/1000)*E64,G64*E64))</f>
        <v>201.54499999999999</v>
      </c>
      <c r="J64" s="110">
        <f t="shared" si="67"/>
        <v>75</v>
      </c>
      <c r="K64" s="4">
        <v>25</v>
      </c>
      <c r="L64" s="5" t="s">
        <v>0</v>
      </c>
      <c r="M64" s="80">
        <f t="shared" ref="M64:M67" si="73">IF(L64="C",(K64/100)*E64,IF(L64="M",(K64/1000)*E64,K64*E64))</f>
        <v>2.5</v>
      </c>
      <c r="N64" s="78">
        <f t="shared" ref="N64:N67" si="74">M64*J64</f>
        <v>187.5</v>
      </c>
      <c r="O64" s="111">
        <f t="shared" ref="O64:O67" si="75">N64+I64</f>
        <v>389.04499999999996</v>
      </c>
      <c r="P64" s="4">
        <v>30</v>
      </c>
      <c r="Q64" s="4">
        <v>35</v>
      </c>
      <c r="R64" s="4">
        <v>40</v>
      </c>
      <c r="S64" s="49"/>
    </row>
    <row r="65" spans="1:19" x14ac:dyDescent="0.25">
      <c r="A65" s="148"/>
      <c r="B65" s="200" t="s">
        <v>1224</v>
      </c>
      <c r="C65" s="151">
        <f>C64</f>
        <v>10</v>
      </c>
      <c r="D65" s="152">
        <v>0</v>
      </c>
      <c r="E65" s="153">
        <f t="shared" si="71"/>
        <v>10</v>
      </c>
      <c r="F65" s="3" t="s">
        <v>867</v>
      </c>
      <c r="G65" s="77">
        <v>299.16000000000003</v>
      </c>
      <c r="H65" s="5" t="s">
        <v>0</v>
      </c>
      <c r="I65" s="78">
        <f t="shared" si="72"/>
        <v>29.916</v>
      </c>
      <c r="J65" s="154">
        <f t="shared" si="67"/>
        <v>75</v>
      </c>
      <c r="K65" s="4">
        <v>23</v>
      </c>
      <c r="L65" s="5" t="s">
        <v>0</v>
      </c>
      <c r="M65" s="80">
        <f t="shared" si="73"/>
        <v>2.3000000000000003</v>
      </c>
      <c r="N65" s="78">
        <f t="shared" si="74"/>
        <v>172.50000000000003</v>
      </c>
      <c r="O65" s="111">
        <f t="shared" si="75"/>
        <v>202.41600000000003</v>
      </c>
      <c r="P65" s="4">
        <v>30</v>
      </c>
      <c r="Q65" s="4">
        <v>35</v>
      </c>
      <c r="R65" s="4">
        <v>40</v>
      </c>
      <c r="S65" s="49">
        <v>124314</v>
      </c>
    </row>
    <row r="66" spans="1:19" x14ac:dyDescent="0.25">
      <c r="A66" s="148"/>
      <c r="B66" s="17" t="s">
        <v>1225</v>
      </c>
      <c r="C66" s="20">
        <f>C64*2</f>
        <v>20</v>
      </c>
      <c r="D66" s="7">
        <v>0</v>
      </c>
      <c r="E66" s="3">
        <f t="shared" si="71"/>
        <v>20</v>
      </c>
      <c r="F66" s="85" t="s">
        <v>867</v>
      </c>
      <c r="G66" s="77">
        <v>6.25</v>
      </c>
      <c r="H66" s="22" t="s">
        <v>0</v>
      </c>
      <c r="I66" s="78">
        <f t="shared" si="72"/>
        <v>1.25</v>
      </c>
      <c r="J66" s="110">
        <f t="shared" si="67"/>
        <v>75</v>
      </c>
      <c r="K66" s="4">
        <v>2.8</v>
      </c>
      <c r="L66" s="22" t="s">
        <v>0</v>
      </c>
      <c r="M66" s="80">
        <f t="shared" si="73"/>
        <v>0.55999999999999994</v>
      </c>
      <c r="N66" s="78">
        <f t="shared" si="74"/>
        <v>41.999999999999993</v>
      </c>
      <c r="O66" s="111">
        <f t="shared" si="75"/>
        <v>43.249999999999993</v>
      </c>
      <c r="P66" s="4">
        <v>3.1</v>
      </c>
      <c r="Q66" s="4">
        <v>3.88</v>
      </c>
      <c r="R66" s="4">
        <v>4.84</v>
      </c>
      <c r="S66" s="49">
        <v>124389</v>
      </c>
    </row>
    <row r="67" spans="1:19" x14ac:dyDescent="0.25">
      <c r="A67" s="148"/>
      <c r="B67" s="24" t="s">
        <v>1204</v>
      </c>
      <c r="C67" s="5">
        <f>C64</f>
        <v>10</v>
      </c>
      <c r="D67" s="7">
        <v>0</v>
      </c>
      <c r="E67" s="3">
        <f t="shared" si="71"/>
        <v>10</v>
      </c>
      <c r="F67" s="149" t="s">
        <v>867</v>
      </c>
      <c r="G67" s="77">
        <v>148.5</v>
      </c>
      <c r="H67" s="5" t="s">
        <v>0</v>
      </c>
      <c r="I67" s="78">
        <f t="shared" si="72"/>
        <v>14.850000000000001</v>
      </c>
      <c r="J67" s="110">
        <f t="shared" si="67"/>
        <v>75</v>
      </c>
      <c r="K67" s="4">
        <v>2.7</v>
      </c>
      <c r="L67" s="5" t="s">
        <v>0</v>
      </c>
      <c r="M67" s="80">
        <f t="shared" si="73"/>
        <v>0.27</v>
      </c>
      <c r="N67" s="78">
        <f t="shared" si="74"/>
        <v>20.25</v>
      </c>
      <c r="O67" s="111">
        <f t="shared" si="75"/>
        <v>35.1</v>
      </c>
      <c r="P67" s="4">
        <v>10</v>
      </c>
      <c r="Q67" s="4">
        <v>12.5</v>
      </c>
      <c r="R67" s="4">
        <v>15</v>
      </c>
      <c r="S67" s="49">
        <v>124746</v>
      </c>
    </row>
    <row r="68" spans="1:19" ht="15.75" thickBot="1" x14ac:dyDescent="0.3">
      <c r="A68" s="148"/>
      <c r="B68" s="211"/>
      <c r="C68" s="5"/>
      <c r="D68" s="7"/>
      <c r="E68" s="3"/>
      <c r="F68" s="149"/>
      <c r="G68" s="77" t="s">
        <v>1202</v>
      </c>
      <c r="H68" s="5"/>
      <c r="I68" s="78"/>
      <c r="J68" s="110"/>
      <c r="K68" s="4"/>
      <c r="L68" s="5"/>
      <c r="M68" s="80"/>
      <c r="N68" s="78"/>
      <c r="O68" s="111"/>
      <c r="P68" s="4"/>
      <c r="Q68" s="4"/>
      <c r="R68" s="4"/>
      <c r="S68" s="49"/>
    </row>
    <row r="69" spans="1:19" s="168" customFormat="1" ht="15.75" thickBot="1" x14ac:dyDescent="0.3">
      <c r="A69" s="175">
        <v>13</v>
      </c>
      <c r="B69" s="215" t="s">
        <v>1211</v>
      </c>
      <c r="C69" s="176">
        <v>10</v>
      </c>
      <c r="D69" s="157">
        <v>0</v>
      </c>
      <c r="E69" s="158">
        <f t="shared" ref="E69:E72" si="76">C69+(C69*D69)</f>
        <v>10</v>
      </c>
      <c r="F69" s="177" t="s">
        <v>867</v>
      </c>
      <c r="G69" s="77">
        <v>3419.62</v>
      </c>
      <c r="H69" s="5" t="s">
        <v>0</v>
      </c>
      <c r="I69" s="162">
        <f t="shared" ref="I69:I72" si="77">IF(H69="C",(G69/100)*E69,IF(H69="M",(G69/1000)*E69,G69*E69))</f>
        <v>341.96199999999999</v>
      </c>
      <c r="J69" s="163">
        <f t="shared" ref="J69:J82" si="78">$O$4</f>
        <v>75</v>
      </c>
      <c r="K69" s="164">
        <v>30</v>
      </c>
      <c r="L69" s="155" t="s">
        <v>0</v>
      </c>
      <c r="M69" s="165">
        <f t="shared" ref="M69:M72" si="79">IF(L69="C",(K69/100)*E69,IF(L69="M",(K69/1000)*E69,K69*E69))</f>
        <v>3</v>
      </c>
      <c r="N69" s="162">
        <f t="shared" ref="N69:N72" si="80">M69*J69</f>
        <v>225</v>
      </c>
      <c r="O69" s="166">
        <f t="shared" ref="O69:O72" si="81">N69+I69</f>
        <v>566.96199999999999</v>
      </c>
      <c r="P69" s="164">
        <v>35</v>
      </c>
      <c r="Q69" s="164">
        <v>40</v>
      </c>
      <c r="R69" s="164">
        <v>45</v>
      </c>
      <c r="S69" s="167">
        <v>137496</v>
      </c>
    </row>
    <row r="70" spans="1:19" s="168" customFormat="1" x14ac:dyDescent="0.25">
      <c r="A70" s="178"/>
      <c r="B70" s="200" t="s">
        <v>1224</v>
      </c>
      <c r="C70" s="151">
        <f>C69</f>
        <v>10</v>
      </c>
      <c r="D70" s="152">
        <v>0</v>
      </c>
      <c r="E70" s="153">
        <f t="shared" si="76"/>
        <v>10</v>
      </c>
      <c r="F70" s="3" t="s">
        <v>867</v>
      </c>
      <c r="G70" s="77">
        <v>299.16000000000003</v>
      </c>
      <c r="H70" s="5" t="s">
        <v>0</v>
      </c>
      <c r="I70" s="78">
        <f t="shared" si="77"/>
        <v>29.916</v>
      </c>
      <c r="J70" s="154">
        <f t="shared" si="78"/>
        <v>75</v>
      </c>
      <c r="K70" s="4">
        <v>23</v>
      </c>
      <c r="L70" s="5" t="s">
        <v>0</v>
      </c>
      <c r="M70" s="80">
        <f t="shared" si="79"/>
        <v>2.3000000000000003</v>
      </c>
      <c r="N70" s="78">
        <f t="shared" si="80"/>
        <v>172.50000000000003</v>
      </c>
      <c r="O70" s="111">
        <f t="shared" si="81"/>
        <v>202.41600000000003</v>
      </c>
      <c r="P70" s="4">
        <v>30</v>
      </c>
      <c r="Q70" s="4">
        <v>35</v>
      </c>
      <c r="R70" s="4">
        <v>40</v>
      </c>
      <c r="S70" s="167">
        <v>124314</v>
      </c>
    </row>
    <row r="71" spans="1:19" s="168" customFormat="1" x14ac:dyDescent="0.25">
      <c r="A71" s="178"/>
      <c r="B71" s="17" t="s">
        <v>1225</v>
      </c>
      <c r="C71" s="20">
        <f>C69*2</f>
        <v>20</v>
      </c>
      <c r="D71" s="7">
        <v>0</v>
      </c>
      <c r="E71" s="3">
        <f t="shared" si="76"/>
        <v>20</v>
      </c>
      <c r="F71" s="85" t="s">
        <v>867</v>
      </c>
      <c r="G71" s="77">
        <v>6.25</v>
      </c>
      <c r="H71" s="22" t="s">
        <v>0</v>
      </c>
      <c r="I71" s="78">
        <f t="shared" si="77"/>
        <v>1.25</v>
      </c>
      <c r="J71" s="110">
        <f t="shared" si="78"/>
        <v>75</v>
      </c>
      <c r="K71" s="4">
        <v>2.8</v>
      </c>
      <c r="L71" s="22" t="s">
        <v>0</v>
      </c>
      <c r="M71" s="80">
        <f t="shared" si="79"/>
        <v>0.55999999999999994</v>
      </c>
      <c r="N71" s="78">
        <f t="shared" si="80"/>
        <v>41.999999999999993</v>
      </c>
      <c r="O71" s="111">
        <f t="shared" si="81"/>
        <v>43.249999999999993</v>
      </c>
      <c r="P71" s="4">
        <v>3.1</v>
      </c>
      <c r="Q71" s="4">
        <v>3.88</v>
      </c>
      <c r="R71" s="4">
        <v>4.84</v>
      </c>
      <c r="S71" s="167">
        <v>124389</v>
      </c>
    </row>
    <row r="72" spans="1:19" s="168" customFormat="1" x14ac:dyDescent="0.25">
      <c r="A72" s="178"/>
      <c r="B72" s="24" t="s">
        <v>1204</v>
      </c>
      <c r="C72" s="5">
        <f>C69</f>
        <v>10</v>
      </c>
      <c r="D72" s="7">
        <v>0</v>
      </c>
      <c r="E72" s="3">
        <f t="shared" si="76"/>
        <v>10</v>
      </c>
      <c r="F72" s="149" t="s">
        <v>867</v>
      </c>
      <c r="G72" s="77">
        <v>148.5</v>
      </c>
      <c r="H72" s="5" t="s">
        <v>0</v>
      </c>
      <c r="I72" s="78">
        <f t="shared" si="77"/>
        <v>14.850000000000001</v>
      </c>
      <c r="J72" s="110">
        <f t="shared" si="78"/>
        <v>75</v>
      </c>
      <c r="K72" s="4">
        <v>2.7</v>
      </c>
      <c r="L72" s="5" t="s">
        <v>0</v>
      </c>
      <c r="M72" s="80">
        <f t="shared" si="79"/>
        <v>0.27</v>
      </c>
      <c r="N72" s="78">
        <f t="shared" si="80"/>
        <v>20.25</v>
      </c>
      <c r="O72" s="111">
        <f t="shared" si="81"/>
        <v>35.1</v>
      </c>
      <c r="P72" s="4">
        <v>10</v>
      </c>
      <c r="Q72" s="4">
        <v>12.5</v>
      </c>
      <c r="R72" s="4">
        <v>15</v>
      </c>
      <c r="S72" s="167">
        <v>124746</v>
      </c>
    </row>
    <row r="73" spans="1:19" s="168" customFormat="1" ht="15.75" thickBot="1" x14ac:dyDescent="0.3">
      <c r="A73" s="178"/>
      <c r="B73" s="211"/>
      <c r="C73" s="155"/>
      <c r="D73" s="157"/>
      <c r="E73" s="158"/>
      <c r="F73" s="158"/>
      <c r="G73" s="147" t="s">
        <v>1202</v>
      </c>
      <c r="H73" s="155"/>
      <c r="I73" s="162"/>
      <c r="J73" s="164"/>
      <c r="K73" s="164"/>
      <c r="L73" s="155"/>
      <c r="M73" s="165"/>
      <c r="N73" s="162"/>
      <c r="O73" s="166"/>
      <c r="P73" s="164"/>
      <c r="Q73" s="164"/>
      <c r="R73" s="164"/>
      <c r="S73" s="167"/>
    </row>
    <row r="74" spans="1:19" s="168" customFormat="1" ht="15.75" thickBot="1" x14ac:dyDescent="0.3">
      <c r="A74" s="175">
        <v>14</v>
      </c>
      <c r="B74" s="215" t="s">
        <v>1212</v>
      </c>
      <c r="C74" s="176">
        <v>10</v>
      </c>
      <c r="D74" s="157">
        <v>0</v>
      </c>
      <c r="E74" s="158">
        <f t="shared" ref="E74:E77" si="82">C74+(C74*D74)</f>
        <v>10</v>
      </c>
      <c r="F74" s="177" t="s">
        <v>867</v>
      </c>
      <c r="G74" s="77">
        <v>4498.32</v>
      </c>
      <c r="H74" s="5" t="s">
        <v>0</v>
      </c>
      <c r="I74" s="162">
        <f t="shared" ref="I74:I77" si="83">IF(H74="C",(G74/100)*E74,IF(H74="M",(G74/1000)*E74,G74*E74))</f>
        <v>449.83199999999999</v>
      </c>
      <c r="J74" s="163">
        <f t="shared" si="78"/>
        <v>75</v>
      </c>
      <c r="K74" s="164">
        <v>35</v>
      </c>
      <c r="L74" s="155" t="s">
        <v>0</v>
      </c>
      <c r="M74" s="165">
        <f t="shared" ref="M74:M77" si="84">IF(L74="C",(K74/100)*E74,IF(L74="M",(K74/1000)*E74,K74*E74))</f>
        <v>3.5</v>
      </c>
      <c r="N74" s="162">
        <f t="shared" ref="N74:N77" si="85">M74*J74</f>
        <v>262.5</v>
      </c>
      <c r="O74" s="166">
        <f t="shared" ref="O74:O77" si="86">N74+I74</f>
        <v>712.33199999999999</v>
      </c>
      <c r="P74" s="164">
        <v>40</v>
      </c>
      <c r="Q74" s="164">
        <v>45</v>
      </c>
      <c r="R74" s="164">
        <v>50</v>
      </c>
      <c r="S74" s="167">
        <v>137496</v>
      </c>
    </row>
    <row r="75" spans="1:19" s="168" customFormat="1" x14ac:dyDescent="0.25">
      <c r="A75" s="178"/>
      <c r="B75" s="200" t="s">
        <v>1224</v>
      </c>
      <c r="C75" s="151">
        <f>C74</f>
        <v>10</v>
      </c>
      <c r="D75" s="152">
        <v>0</v>
      </c>
      <c r="E75" s="153">
        <f t="shared" si="82"/>
        <v>10</v>
      </c>
      <c r="F75" s="3" t="s">
        <v>867</v>
      </c>
      <c r="G75" s="77">
        <v>299.16000000000003</v>
      </c>
      <c r="H75" s="5" t="s">
        <v>0</v>
      </c>
      <c r="I75" s="78">
        <f t="shared" si="83"/>
        <v>29.916</v>
      </c>
      <c r="J75" s="154">
        <f t="shared" si="78"/>
        <v>75</v>
      </c>
      <c r="K75" s="4">
        <v>23</v>
      </c>
      <c r="L75" s="5" t="s">
        <v>0</v>
      </c>
      <c r="M75" s="80">
        <f t="shared" si="84"/>
        <v>2.3000000000000003</v>
      </c>
      <c r="N75" s="78">
        <f t="shared" si="85"/>
        <v>172.50000000000003</v>
      </c>
      <c r="O75" s="111">
        <f t="shared" si="86"/>
        <v>202.41600000000003</v>
      </c>
      <c r="P75" s="4">
        <v>30</v>
      </c>
      <c r="Q75" s="4">
        <v>35</v>
      </c>
      <c r="R75" s="4">
        <v>40</v>
      </c>
      <c r="S75" s="167">
        <v>124314</v>
      </c>
    </row>
    <row r="76" spans="1:19" s="168" customFormat="1" x14ac:dyDescent="0.25">
      <c r="A76" s="178"/>
      <c r="B76" s="17" t="s">
        <v>1225</v>
      </c>
      <c r="C76" s="20">
        <f>C74*2</f>
        <v>20</v>
      </c>
      <c r="D76" s="7">
        <v>0</v>
      </c>
      <c r="E76" s="3">
        <f t="shared" si="82"/>
        <v>20</v>
      </c>
      <c r="F76" s="85" t="s">
        <v>867</v>
      </c>
      <c r="G76" s="77">
        <v>6.25</v>
      </c>
      <c r="H76" s="22" t="s">
        <v>0</v>
      </c>
      <c r="I76" s="78">
        <f t="shared" si="83"/>
        <v>1.25</v>
      </c>
      <c r="J76" s="110">
        <f t="shared" si="78"/>
        <v>75</v>
      </c>
      <c r="K76" s="4">
        <v>2.8</v>
      </c>
      <c r="L76" s="22" t="s">
        <v>0</v>
      </c>
      <c r="M76" s="80">
        <f t="shared" si="84"/>
        <v>0.55999999999999994</v>
      </c>
      <c r="N76" s="78">
        <f t="shared" si="85"/>
        <v>41.999999999999993</v>
      </c>
      <c r="O76" s="111">
        <f t="shared" si="86"/>
        <v>43.249999999999993</v>
      </c>
      <c r="P76" s="4">
        <v>3.1</v>
      </c>
      <c r="Q76" s="4">
        <v>3.88</v>
      </c>
      <c r="R76" s="4">
        <v>4.84</v>
      </c>
      <c r="S76" s="167">
        <v>124389</v>
      </c>
    </row>
    <row r="77" spans="1:19" s="168" customFormat="1" x14ac:dyDescent="0.25">
      <c r="A77" s="178"/>
      <c r="B77" s="24" t="s">
        <v>1204</v>
      </c>
      <c r="C77" s="5">
        <f>C74</f>
        <v>10</v>
      </c>
      <c r="D77" s="7">
        <v>0</v>
      </c>
      <c r="E77" s="3">
        <f t="shared" si="82"/>
        <v>10</v>
      </c>
      <c r="F77" s="149" t="s">
        <v>867</v>
      </c>
      <c r="G77" s="77">
        <v>148.5</v>
      </c>
      <c r="H77" s="5" t="s">
        <v>0</v>
      </c>
      <c r="I77" s="78">
        <f t="shared" si="83"/>
        <v>14.850000000000001</v>
      </c>
      <c r="J77" s="110">
        <f t="shared" si="78"/>
        <v>75</v>
      </c>
      <c r="K77" s="4">
        <v>2.7</v>
      </c>
      <c r="L77" s="5" t="s">
        <v>0</v>
      </c>
      <c r="M77" s="80">
        <f t="shared" si="84"/>
        <v>0.27</v>
      </c>
      <c r="N77" s="78">
        <f t="shared" si="85"/>
        <v>20.25</v>
      </c>
      <c r="O77" s="111">
        <f t="shared" si="86"/>
        <v>35.1</v>
      </c>
      <c r="P77" s="4">
        <v>10</v>
      </c>
      <c r="Q77" s="4">
        <v>12.5</v>
      </c>
      <c r="R77" s="4">
        <v>15</v>
      </c>
      <c r="S77" s="167">
        <v>124746</v>
      </c>
    </row>
    <row r="78" spans="1:19" s="168" customFormat="1" ht="15.75" thickBot="1" x14ac:dyDescent="0.3">
      <c r="A78" s="178"/>
      <c r="B78" s="211"/>
      <c r="C78" s="155"/>
      <c r="D78" s="157"/>
      <c r="E78" s="158"/>
      <c r="F78" s="158"/>
      <c r="G78" s="147" t="s">
        <v>1202</v>
      </c>
      <c r="H78" s="155"/>
      <c r="I78" s="162"/>
      <c r="J78" s="164"/>
      <c r="K78" s="164"/>
      <c r="L78" s="155"/>
      <c r="M78" s="165"/>
      <c r="N78" s="162"/>
      <c r="O78" s="166"/>
      <c r="P78" s="164"/>
      <c r="Q78" s="164"/>
      <c r="R78" s="164"/>
      <c r="S78" s="167"/>
    </row>
    <row r="79" spans="1:19" s="168" customFormat="1" ht="15.75" thickBot="1" x14ac:dyDescent="0.3">
      <c r="A79" s="175">
        <v>15</v>
      </c>
      <c r="B79" s="215" t="s">
        <v>1213</v>
      </c>
      <c r="C79" s="176">
        <v>10</v>
      </c>
      <c r="D79" s="157">
        <v>0</v>
      </c>
      <c r="E79" s="158">
        <f t="shared" ref="E79:E81" si="87">C79+(C79*D79)</f>
        <v>10</v>
      </c>
      <c r="F79" s="177" t="s">
        <v>867</v>
      </c>
      <c r="G79" s="77">
        <v>5431.96</v>
      </c>
      <c r="H79" s="5" t="s">
        <v>0</v>
      </c>
      <c r="I79" s="162">
        <f t="shared" ref="I79:I81" si="88">IF(H79="C",(G79/100)*E79,IF(H79="M",(G79/1000)*E79,G79*E79))</f>
        <v>543.19600000000003</v>
      </c>
      <c r="J79" s="163">
        <f t="shared" si="78"/>
        <v>75</v>
      </c>
      <c r="K79" s="164">
        <v>40</v>
      </c>
      <c r="L79" s="155" t="s">
        <v>0</v>
      </c>
      <c r="M79" s="165">
        <f t="shared" ref="M79:M81" si="89">IF(L79="C",(K79/100)*E79,IF(L79="M",(K79/1000)*E79,K79*E79))</f>
        <v>4</v>
      </c>
      <c r="N79" s="162">
        <f t="shared" ref="N79:N81" si="90">M79*J79</f>
        <v>300</v>
      </c>
      <c r="O79" s="166">
        <f t="shared" ref="O79:O81" si="91">N79+I79</f>
        <v>843.19600000000003</v>
      </c>
      <c r="P79" s="164">
        <v>45</v>
      </c>
      <c r="Q79" s="164">
        <v>50</v>
      </c>
      <c r="R79" s="164">
        <v>55</v>
      </c>
      <c r="S79" s="167">
        <v>137496</v>
      </c>
    </row>
    <row r="80" spans="1:19" s="168" customFormat="1" x14ac:dyDescent="0.25">
      <c r="A80" s="178"/>
      <c r="B80" s="200" t="s">
        <v>1224</v>
      </c>
      <c r="C80" s="151">
        <f>C79</f>
        <v>10</v>
      </c>
      <c r="D80" s="152">
        <v>0</v>
      </c>
      <c r="E80" s="153">
        <f t="shared" si="87"/>
        <v>10</v>
      </c>
      <c r="F80" s="3" t="s">
        <v>867</v>
      </c>
      <c r="G80" s="77">
        <v>299.16000000000003</v>
      </c>
      <c r="H80" s="5" t="s">
        <v>0</v>
      </c>
      <c r="I80" s="78">
        <f t="shared" si="88"/>
        <v>29.916</v>
      </c>
      <c r="J80" s="154">
        <f t="shared" si="78"/>
        <v>75</v>
      </c>
      <c r="K80" s="4">
        <v>23</v>
      </c>
      <c r="L80" s="5" t="s">
        <v>0</v>
      </c>
      <c r="M80" s="80">
        <f t="shared" si="89"/>
        <v>2.3000000000000003</v>
      </c>
      <c r="N80" s="78">
        <f t="shared" si="90"/>
        <v>172.50000000000003</v>
      </c>
      <c r="O80" s="111">
        <f t="shared" si="91"/>
        <v>202.41600000000003</v>
      </c>
      <c r="P80" s="4">
        <v>30</v>
      </c>
      <c r="Q80" s="4">
        <v>35</v>
      </c>
      <c r="R80" s="4">
        <v>40</v>
      </c>
      <c r="S80" s="167">
        <v>124314</v>
      </c>
    </row>
    <row r="81" spans="1:19" s="168" customFormat="1" x14ac:dyDescent="0.25">
      <c r="A81" s="178"/>
      <c r="B81" s="17" t="s">
        <v>1225</v>
      </c>
      <c r="C81" s="20">
        <f>C79*2</f>
        <v>20</v>
      </c>
      <c r="D81" s="7">
        <v>0</v>
      </c>
      <c r="E81" s="3">
        <f t="shared" si="87"/>
        <v>20</v>
      </c>
      <c r="F81" s="85" t="s">
        <v>867</v>
      </c>
      <c r="G81" s="77">
        <v>6.25</v>
      </c>
      <c r="H81" s="22" t="s">
        <v>0</v>
      </c>
      <c r="I81" s="78">
        <f t="shared" si="88"/>
        <v>1.25</v>
      </c>
      <c r="J81" s="110">
        <f t="shared" si="78"/>
        <v>75</v>
      </c>
      <c r="K81" s="4">
        <v>2.8</v>
      </c>
      <c r="L81" s="22" t="s">
        <v>0</v>
      </c>
      <c r="M81" s="80">
        <f t="shared" si="89"/>
        <v>0.55999999999999994</v>
      </c>
      <c r="N81" s="78">
        <f t="shared" si="90"/>
        <v>41.999999999999993</v>
      </c>
      <c r="O81" s="111">
        <f t="shared" si="91"/>
        <v>43.249999999999993</v>
      </c>
      <c r="P81" s="4">
        <v>3.1</v>
      </c>
      <c r="Q81" s="4">
        <v>3.88</v>
      </c>
      <c r="R81" s="4">
        <v>4.84</v>
      </c>
      <c r="S81" s="167">
        <v>124389</v>
      </c>
    </row>
    <row r="82" spans="1:19" s="168" customFormat="1" x14ac:dyDescent="0.25">
      <c r="A82" s="178"/>
      <c r="B82" s="24" t="s">
        <v>1204</v>
      </c>
      <c r="C82" s="5">
        <f>C79</f>
        <v>10</v>
      </c>
      <c r="D82" s="7">
        <v>0</v>
      </c>
      <c r="E82" s="3">
        <f t="shared" ref="E82" si="92">C82+(C82*D82)</f>
        <v>10</v>
      </c>
      <c r="F82" s="149" t="s">
        <v>867</v>
      </c>
      <c r="G82" s="77">
        <v>148.5</v>
      </c>
      <c r="H82" s="5" t="s">
        <v>0</v>
      </c>
      <c r="I82" s="78">
        <f t="shared" ref="I82" si="93">IF(H82="C",(G82/100)*E82,IF(H82="M",(G82/1000)*E82,G82*E82))</f>
        <v>14.850000000000001</v>
      </c>
      <c r="J82" s="110">
        <f t="shared" si="78"/>
        <v>75</v>
      </c>
      <c r="K82" s="4">
        <v>2.7</v>
      </c>
      <c r="L82" s="5" t="s">
        <v>0</v>
      </c>
      <c r="M82" s="80">
        <f t="shared" ref="M82" si="94">IF(L82="C",(K82/100)*E82,IF(L82="M",(K82/1000)*E82,K82*E82))</f>
        <v>0.27</v>
      </c>
      <c r="N82" s="78">
        <f t="shared" ref="N82" si="95">M82*J82</f>
        <v>20.25</v>
      </c>
      <c r="O82" s="111">
        <f t="shared" ref="O82" si="96">N82+I82</f>
        <v>35.1</v>
      </c>
      <c r="P82" s="4">
        <v>10</v>
      </c>
      <c r="Q82" s="4">
        <v>12.5</v>
      </c>
      <c r="R82" s="4">
        <v>15</v>
      </c>
      <c r="S82" s="167">
        <v>124746</v>
      </c>
    </row>
    <row r="83" spans="1:19" s="168" customFormat="1" ht="15.75" thickBot="1" x14ac:dyDescent="0.3">
      <c r="A83" s="178"/>
      <c r="B83" s="211"/>
      <c r="C83" s="155"/>
      <c r="D83" s="157"/>
      <c r="E83" s="158"/>
      <c r="F83" s="158"/>
      <c r="G83" s="147" t="s">
        <v>1202</v>
      </c>
      <c r="H83" s="155"/>
      <c r="I83" s="162"/>
      <c r="J83" s="164"/>
      <c r="K83" s="164"/>
      <c r="L83" s="155"/>
      <c r="M83" s="165"/>
      <c r="N83" s="162"/>
      <c r="O83" s="166"/>
      <c r="P83" s="164"/>
      <c r="Q83" s="164"/>
      <c r="R83" s="164"/>
      <c r="S83" s="167"/>
    </row>
    <row r="84" spans="1:19" ht="15.75" thickBot="1" x14ac:dyDescent="0.3">
      <c r="A84" s="204">
        <v>16</v>
      </c>
      <c r="B84" s="215" t="s">
        <v>10</v>
      </c>
      <c r="C84" s="197">
        <v>10</v>
      </c>
      <c r="D84" s="7">
        <v>0</v>
      </c>
      <c r="E84" s="3">
        <f t="shared" ref="E84:E146" si="97">C84+(C84*D84)</f>
        <v>10</v>
      </c>
      <c r="F84" s="3"/>
      <c r="G84" s="77" t="s">
        <v>1202</v>
      </c>
      <c r="H84" s="5"/>
      <c r="I84" s="78"/>
      <c r="J84" s="4"/>
      <c r="K84" s="4"/>
      <c r="L84" s="5"/>
      <c r="M84" s="80">
        <f t="shared" ref="M84:M146" si="98">IF(L84="C",(K84/100)*E84,IF(L84="M",(K84/1000)*E84,K84*E84))</f>
        <v>0</v>
      </c>
      <c r="N84" s="78">
        <f t="shared" ref="N84:N146" si="99">M84*J84</f>
        <v>0</v>
      </c>
      <c r="O84" s="111">
        <f t="shared" ref="O84:O146" si="100">N84+I84</f>
        <v>0</v>
      </c>
      <c r="P84" s="4"/>
      <c r="Q84" s="4"/>
      <c r="R84" s="4"/>
      <c r="S84" s="49"/>
    </row>
    <row r="85" spans="1:19" s="168" customFormat="1" x14ac:dyDescent="0.25">
      <c r="A85" s="156"/>
      <c r="B85" s="213" t="s">
        <v>5</v>
      </c>
      <c r="C85" s="155">
        <f>2*C84</f>
        <v>20</v>
      </c>
      <c r="D85" s="157">
        <v>0</v>
      </c>
      <c r="E85" s="158">
        <f t="shared" ref="E85:E88" si="101">C85+(C85*D85)</f>
        <v>20</v>
      </c>
      <c r="F85" s="85" t="s">
        <v>867</v>
      </c>
      <c r="G85" s="147">
        <v>913.25</v>
      </c>
      <c r="H85" s="5" t="s">
        <v>0</v>
      </c>
      <c r="I85" s="78">
        <f t="shared" ref="I85:I88" si="102">IF(H85="C",(G85/100)*E85,IF(H85="M",(G85/1000)*E85,G85*E85))</f>
        <v>182.65</v>
      </c>
      <c r="J85" s="110">
        <f t="shared" ref="J85:J88" si="103">$O$4</f>
        <v>75</v>
      </c>
      <c r="K85" s="4">
        <v>20</v>
      </c>
      <c r="L85" s="5" t="s">
        <v>0</v>
      </c>
      <c r="M85" s="80">
        <f t="shared" si="98"/>
        <v>4</v>
      </c>
      <c r="N85" s="78">
        <f t="shared" si="99"/>
        <v>300</v>
      </c>
      <c r="O85" s="111">
        <f t="shared" si="100"/>
        <v>482.65</v>
      </c>
      <c r="P85" s="164">
        <v>30</v>
      </c>
      <c r="Q85" s="164">
        <v>37.5</v>
      </c>
      <c r="R85" s="164">
        <v>45</v>
      </c>
      <c r="S85" s="164">
        <v>137493</v>
      </c>
    </row>
    <row r="86" spans="1:19" x14ac:dyDescent="0.25">
      <c r="A86" s="37"/>
      <c r="B86" s="8" t="s">
        <v>1224</v>
      </c>
      <c r="C86" s="151">
        <f>C84</f>
        <v>10</v>
      </c>
      <c r="D86" s="152">
        <v>0</v>
      </c>
      <c r="E86" s="153">
        <f t="shared" si="101"/>
        <v>10</v>
      </c>
      <c r="F86" s="3" t="s">
        <v>867</v>
      </c>
      <c r="G86" s="77">
        <v>299.16000000000003</v>
      </c>
      <c r="H86" s="5" t="s">
        <v>0</v>
      </c>
      <c r="I86" s="78">
        <f t="shared" si="102"/>
        <v>29.916</v>
      </c>
      <c r="J86" s="154">
        <f t="shared" si="103"/>
        <v>75</v>
      </c>
      <c r="K86" s="4">
        <v>23</v>
      </c>
      <c r="L86" s="5" t="s">
        <v>0</v>
      </c>
      <c r="M86" s="80">
        <f t="shared" si="98"/>
        <v>2.3000000000000003</v>
      </c>
      <c r="N86" s="78">
        <f t="shared" si="99"/>
        <v>172.50000000000003</v>
      </c>
      <c r="O86" s="111">
        <f t="shared" si="100"/>
        <v>202.41600000000003</v>
      </c>
      <c r="P86" s="4">
        <v>30</v>
      </c>
      <c r="Q86" s="4">
        <v>35</v>
      </c>
      <c r="R86" s="4">
        <v>40</v>
      </c>
      <c r="S86" s="49">
        <v>137589</v>
      </c>
    </row>
    <row r="87" spans="1:19" x14ac:dyDescent="0.25">
      <c r="A87" s="37"/>
      <c r="B87" s="17" t="s">
        <v>1225</v>
      </c>
      <c r="C87" s="20">
        <f>C84*2</f>
        <v>20</v>
      </c>
      <c r="D87" s="7">
        <v>0</v>
      </c>
      <c r="E87" s="3">
        <f t="shared" si="101"/>
        <v>20</v>
      </c>
      <c r="F87" s="85" t="s">
        <v>867</v>
      </c>
      <c r="G87" s="77">
        <v>6.25</v>
      </c>
      <c r="H87" s="22" t="s">
        <v>0</v>
      </c>
      <c r="I87" s="78">
        <f t="shared" si="102"/>
        <v>1.25</v>
      </c>
      <c r="J87" s="110">
        <f t="shared" si="103"/>
        <v>75</v>
      </c>
      <c r="K87" s="4">
        <v>2.8</v>
      </c>
      <c r="L87" s="22" t="s">
        <v>0</v>
      </c>
      <c r="M87" s="80">
        <f t="shared" si="98"/>
        <v>0.55999999999999994</v>
      </c>
      <c r="N87" s="78">
        <f t="shared" si="99"/>
        <v>41.999999999999993</v>
      </c>
      <c r="O87" s="111">
        <f t="shared" si="100"/>
        <v>43.249999999999993</v>
      </c>
      <c r="P87" s="4">
        <v>3.1</v>
      </c>
      <c r="Q87" s="4">
        <v>3.88</v>
      </c>
      <c r="R87" s="4">
        <v>4.84</v>
      </c>
      <c r="S87" s="49">
        <v>124314</v>
      </c>
    </row>
    <row r="88" spans="1:19" x14ac:dyDescent="0.25">
      <c r="A88" s="37"/>
      <c r="B88" s="24" t="s">
        <v>12</v>
      </c>
      <c r="C88" s="5">
        <f>C84</f>
        <v>10</v>
      </c>
      <c r="D88" s="7">
        <v>0</v>
      </c>
      <c r="E88" s="3">
        <f t="shared" si="101"/>
        <v>10</v>
      </c>
      <c r="F88" s="85" t="s">
        <v>867</v>
      </c>
      <c r="G88" s="77">
        <v>93.91</v>
      </c>
      <c r="H88" s="5" t="s">
        <v>0</v>
      </c>
      <c r="I88" s="78">
        <f t="shared" si="102"/>
        <v>9.391</v>
      </c>
      <c r="J88" s="110">
        <f t="shared" si="103"/>
        <v>75</v>
      </c>
      <c r="K88" s="4">
        <v>3.9</v>
      </c>
      <c r="L88" s="5" t="s">
        <v>0</v>
      </c>
      <c r="M88" s="80">
        <f t="shared" si="98"/>
        <v>0.39</v>
      </c>
      <c r="N88" s="78">
        <f t="shared" si="99"/>
        <v>29.25</v>
      </c>
      <c r="O88" s="111">
        <f t="shared" si="100"/>
        <v>38.640999999999998</v>
      </c>
      <c r="P88" s="4">
        <v>12</v>
      </c>
      <c r="Q88" s="4">
        <v>15</v>
      </c>
      <c r="R88" s="4">
        <v>18</v>
      </c>
      <c r="S88" s="49">
        <v>124401</v>
      </c>
    </row>
    <row r="89" spans="1:19" ht="15.75" thickBot="1" x14ac:dyDescent="0.3">
      <c r="A89" s="37"/>
      <c r="B89" s="211"/>
      <c r="C89" s="5"/>
      <c r="D89" s="7"/>
      <c r="E89" s="3"/>
      <c r="F89" s="3"/>
      <c r="G89" s="77" t="s">
        <v>1202</v>
      </c>
      <c r="H89" s="5"/>
      <c r="I89" s="78"/>
      <c r="J89" s="4"/>
      <c r="K89" s="4"/>
      <c r="L89" s="5"/>
      <c r="M89" s="80"/>
      <c r="N89" s="78"/>
      <c r="O89" s="111"/>
      <c r="P89" s="4"/>
      <c r="Q89" s="4"/>
      <c r="R89" s="4"/>
      <c r="S89" s="49"/>
    </row>
    <row r="90" spans="1:19" ht="15.75" thickBot="1" x14ac:dyDescent="0.3">
      <c r="A90" s="204">
        <v>17</v>
      </c>
      <c r="B90" s="215" t="s">
        <v>13</v>
      </c>
      <c r="C90" s="197">
        <v>10</v>
      </c>
      <c r="D90" s="7">
        <v>0</v>
      </c>
      <c r="E90" s="3">
        <f t="shared" si="97"/>
        <v>10</v>
      </c>
      <c r="F90" s="85" t="s">
        <v>867</v>
      </c>
      <c r="G90" s="77" t="s">
        <v>1202</v>
      </c>
      <c r="H90" s="5"/>
      <c r="I90" s="78"/>
      <c r="J90" s="4"/>
      <c r="K90" s="4"/>
      <c r="L90" s="5"/>
      <c r="M90" s="80"/>
      <c r="N90" s="78"/>
      <c r="O90" s="111"/>
      <c r="P90" s="4"/>
      <c r="Q90" s="4"/>
      <c r="R90" s="4"/>
      <c r="S90" s="49"/>
    </row>
    <row r="91" spans="1:19" s="168" customFormat="1" x14ac:dyDescent="0.25">
      <c r="A91" s="156"/>
      <c r="B91" s="213" t="s">
        <v>5</v>
      </c>
      <c r="C91" s="155">
        <f>2*C90</f>
        <v>20</v>
      </c>
      <c r="D91" s="157">
        <v>0</v>
      </c>
      <c r="E91" s="158">
        <f t="shared" si="97"/>
        <v>20</v>
      </c>
      <c r="F91" s="85" t="s">
        <v>867</v>
      </c>
      <c r="G91" s="147">
        <v>1386.32</v>
      </c>
      <c r="H91" s="5" t="s">
        <v>0</v>
      </c>
      <c r="I91" s="78">
        <f t="shared" ref="I91" si="104">IF(H91="C",(G91/100)*E91,IF(H91="M",(G91/1000)*E91,G91*E91))</f>
        <v>277.26400000000001</v>
      </c>
      <c r="J91" s="110">
        <f t="shared" ref="J91" si="105">$O$4</f>
        <v>75</v>
      </c>
      <c r="K91" s="4">
        <v>20</v>
      </c>
      <c r="L91" s="5" t="s">
        <v>0</v>
      </c>
      <c r="M91" s="80">
        <f t="shared" ref="M91" si="106">IF(L91="C",(K91/100)*E91,IF(L91="M",(K91/1000)*E91,K91*E91))</f>
        <v>4</v>
      </c>
      <c r="N91" s="78">
        <f t="shared" ref="N91" si="107">M91*J91</f>
        <v>300</v>
      </c>
      <c r="O91" s="111">
        <f t="shared" ref="O91" si="108">N91+I91</f>
        <v>577.26400000000001</v>
      </c>
      <c r="P91" s="164">
        <v>30</v>
      </c>
      <c r="Q91" s="164">
        <v>37.5</v>
      </c>
      <c r="R91" s="164">
        <v>45</v>
      </c>
      <c r="S91" s="164">
        <v>137493</v>
      </c>
    </row>
    <row r="92" spans="1:19" x14ac:dyDescent="0.25">
      <c r="A92" s="37"/>
      <c r="B92" s="8" t="s">
        <v>1224</v>
      </c>
      <c r="C92" s="151">
        <f>C90</f>
        <v>10</v>
      </c>
      <c r="D92" s="152">
        <v>0</v>
      </c>
      <c r="E92" s="153">
        <f t="shared" si="97"/>
        <v>10</v>
      </c>
      <c r="F92" s="3" t="s">
        <v>867</v>
      </c>
      <c r="G92" s="77">
        <v>299.16000000000003</v>
      </c>
      <c r="H92" s="5" t="s">
        <v>0</v>
      </c>
      <c r="I92" s="78">
        <f t="shared" ref="I92:I94" si="109">IF(H92="C",(G92/100)*E92,IF(H92="M",(G92/1000)*E92,G92*E92))</f>
        <v>29.916</v>
      </c>
      <c r="J92" s="154">
        <f t="shared" ref="J92:J93" si="110">$O$4</f>
        <v>75</v>
      </c>
      <c r="K92" s="4">
        <v>23</v>
      </c>
      <c r="L92" s="5" t="s">
        <v>0</v>
      </c>
      <c r="M92" s="80">
        <f t="shared" ref="M92:M94" si="111">IF(L92="C",(K92/100)*E92,IF(L92="M",(K92/1000)*E92,K92*E92))</f>
        <v>2.3000000000000003</v>
      </c>
      <c r="N92" s="78">
        <f t="shared" ref="N92:N94" si="112">M92*J92</f>
        <v>172.50000000000003</v>
      </c>
      <c r="O92" s="111">
        <f t="shared" ref="O92:O94" si="113">N92+I92</f>
        <v>202.41600000000003</v>
      </c>
      <c r="P92" s="4">
        <v>30</v>
      </c>
      <c r="Q92" s="4">
        <v>35</v>
      </c>
      <c r="R92" s="4">
        <v>40</v>
      </c>
      <c r="S92" s="49">
        <v>137589</v>
      </c>
    </row>
    <row r="93" spans="1:19" x14ac:dyDescent="0.25">
      <c r="A93" s="37"/>
      <c r="B93" s="17" t="s">
        <v>1225</v>
      </c>
      <c r="C93" s="20">
        <f>C90*2</f>
        <v>20</v>
      </c>
      <c r="D93" s="7">
        <v>0</v>
      </c>
      <c r="E93" s="3">
        <f t="shared" si="97"/>
        <v>20</v>
      </c>
      <c r="F93" s="85" t="s">
        <v>867</v>
      </c>
      <c r="G93" s="77">
        <v>6.25</v>
      </c>
      <c r="H93" s="22" t="s">
        <v>0</v>
      </c>
      <c r="I93" s="78">
        <f t="shared" si="109"/>
        <v>1.25</v>
      </c>
      <c r="J93" s="110">
        <f t="shared" si="110"/>
        <v>75</v>
      </c>
      <c r="K93" s="4">
        <v>2.8</v>
      </c>
      <c r="L93" s="22" t="s">
        <v>0</v>
      </c>
      <c r="M93" s="80">
        <f t="shared" si="111"/>
        <v>0.55999999999999994</v>
      </c>
      <c r="N93" s="78">
        <f t="shared" si="112"/>
        <v>41.999999999999993</v>
      </c>
      <c r="O93" s="111">
        <f t="shared" si="113"/>
        <v>43.249999999999993</v>
      </c>
      <c r="P93" s="4">
        <v>3.1</v>
      </c>
      <c r="Q93" s="4">
        <v>3.88</v>
      </c>
      <c r="R93" s="4">
        <v>4.84</v>
      </c>
      <c r="S93" s="49">
        <v>124314</v>
      </c>
    </row>
    <row r="94" spans="1:19" x14ac:dyDescent="0.25">
      <c r="A94" s="37"/>
      <c r="B94" s="24" t="s">
        <v>12</v>
      </c>
      <c r="C94" s="5">
        <f>C90</f>
        <v>10</v>
      </c>
      <c r="D94" s="7">
        <v>0</v>
      </c>
      <c r="E94" s="3">
        <f t="shared" ref="E94" si="114">C94+(C94*D94)</f>
        <v>10</v>
      </c>
      <c r="F94" s="85" t="s">
        <v>867</v>
      </c>
      <c r="G94" s="77">
        <v>93.91</v>
      </c>
      <c r="H94" s="5" t="s">
        <v>0</v>
      </c>
      <c r="I94" s="78">
        <f t="shared" si="109"/>
        <v>9.391</v>
      </c>
      <c r="J94" s="110">
        <f t="shared" ref="J94:J97" si="115">$O$4</f>
        <v>75</v>
      </c>
      <c r="K94" s="4">
        <v>3.9</v>
      </c>
      <c r="L94" s="5" t="s">
        <v>0</v>
      </c>
      <c r="M94" s="80">
        <f t="shared" si="111"/>
        <v>0.39</v>
      </c>
      <c r="N94" s="78">
        <f t="shared" si="112"/>
        <v>29.25</v>
      </c>
      <c r="O94" s="111">
        <f t="shared" si="113"/>
        <v>38.640999999999998</v>
      </c>
      <c r="P94" s="4">
        <v>12</v>
      </c>
      <c r="Q94" s="4">
        <v>15</v>
      </c>
      <c r="R94" s="4">
        <v>18</v>
      </c>
      <c r="S94" s="49">
        <v>124401</v>
      </c>
    </row>
    <row r="95" spans="1:19" ht="15.75" thickBot="1" x14ac:dyDescent="0.3">
      <c r="A95" s="88"/>
      <c r="B95" s="211"/>
      <c r="C95" s="5"/>
      <c r="D95" s="7"/>
      <c r="E95" s="3"/>
      <c r="F95" s="85"/>
      <c r="G95" s="77"/>
      <c r="H95" s="5"/>
      <c r="I95" s="78"/>
      <c r="J95" s="110"/>
      <c r="K95" s="4"/>
      <c r="L95" s="5"/>
      <c r="M95" s="80"/>
      <c r="N95" s="78"/>
      <c r="O95" s="188"/>
      <c r="P95" s="4"/>
      <c r="Q95" s="4"/>
      <c r="R95" s="4"/>
      <c r="S95" s="4"/>
    </row>
    <row r="96" spans="1:19" ht="15.75" thickBot="1" x14ac:dyDescent="0.3">
      <c r="A96" s="206">
        <v>18</v>
      </c>
      <c r="B96" s="215" t="s">
        <v>1208</v>
      </c>
      <c r="C96" s="208">
        <v>16</v>
      </c>
      <c r="D96" s="152">
        <v>0</v>
      </c>
      <c r="E96" s="153">
        <f>C96+(C96*D96)</f>
        <v>16</v>
      </c>
      <c r="F96" s="85" t="s">
        <v>867</v>
      </c>
      <c r="G96" s="77">
        <v>913.25</v>
      </c>
      <c r="H96" s="5" t="s">
        <v>0</v>
      </c>
      <c r="I96" s="78">
        <f t="shared" ref="I96" si="116">IF(H96="C",(G96/100)*E96,IF(H96="M",(G96/1000)*E96,G96*E96))</f>
        <v>146.12</v>
      </c>
      <c r="J96" s="110">
        <f t="shared" ref="J96" si="117">$O$4</f>
        <v>75</v>
      </c>
      <c r="K96" s="4">
        <v>20</v>
      </c>
      <c r="L96" s="5" t="s">
        <v>0</v>
      </c>
      <c r="M96" s="80">
        <f t="shared" ref="M96" si="118">IF(L96="C",(K96/100)*E96,IF(L96="M",(K96/1000)*E96,K96*E96))</f>
        <v>3.2</v>
      </c>
      <c r="N96" s="78">
        <f t="shared" ref="N96" si="119">M96*J96</f>
        <v>240</v>
      </c>
      <c r="O96" s="188">
        <f t="shared" ref="O96" si="120">N96+I96</f>
        <v>386.12</v>
      </c>
      <c r="P96" s="164">
        <v>30</v>
      </c>
      <c r="Q96" s="164">
        <v>37.5</v>
      </c>
      <c r="R96" s="164">
        <v>45</v>
      </c>
      <c r="S96" s="4"/>
    </row>
    <row r="97" spans="1:19" x14ac:dyDescent="0.25">
      <c r="A97" s="150"/>
      <c r="B97" s="213" t="s">
        <v>1209</v>
      </c>
      <c r="C97" s="151">
        <f>C96</f>
        <v>16</v>
      </c>
      <c r="D97" s="152">
        <v>0</v>
      </c>
      <c r="E97" s="153">
        <f t="shared" ref="E97" si="121">C97+(C97*D97)</f>
        <v>16</v>
      </c>
      <c r="F97" s="3" t="s">
        <v>867</v>
      </c>
      <c r="G97" s="77">
        <v>129.99</v>
      </c>
      <c r="H97" s="5" t="s">
        <v>1</v>
      </c>
      <c r="I97" s="78">
        <f t="shared" ref="I97:I146" si="122">IF(H97="C",(G97/100)*E97,IF(H97="M",(G97/1000)*E97,G97*E97))</f>
        <v>2079.84</v>
      </c>
      <c r="J97" s="154">
        <f t="shared" si="115"/>
        <v>75</v>
      </c>
      <c r="K97" s="4">
        <v>0.6</v>
      </c>
      <c r="L97" s="5" t="s">
        <v>1</v>
      </c>
      <c r="M97" s="80">
        <f t="shared" si="98"/>
        <v>9.6</v>
      </c>
      <c r="N97" s="78">
        <f t="shared" si="99"/>
        <v>720</v>
      </c>
      <c r="O97" s="188">
        <f t="shared" si="100"/>
        <v>2799.84</v>
      </c>
      <c r="P97" s="4">
        <v>0.8</v>
      </c>
      <c r="Q97" s="4">
        <v>1</v>
      </c>
      <c r="R97" s="4">
        <v>1.2</v>
      </c>
      <c r="S97" s="4"/>
    </row>
    <row r="98" spans="1:19" ht="15.75" thickBot="1" x14ac:dyDescent="0.3">
      <c r="A98" s="37"/>
      <c r="B98" s="211"/>
      <c r="C98" s="5"/>
      <c r="D98" s="7"/>
      <c r="E98" s="3"/>
      <c r="F98" s="3"/>
      <c r="G98" s="77" t="s">
        <v>1202</v>
      </c>
      <c r="H98" s="25"/>
      <c r="I98" s="78"/>
      <c r="J98" s="4"/>
      <c r="K98" s="4"/>
      <c r="L98" s="5"/>
      <c r="M98" s="80"/>
      <c r="N98" s="78"/>
      <c r="O98" s="188"/>
      <c r="P98" s="4"/>
      <c r="Q98" s="4"/>
      <c r="R98" s="4"/>
      <c r="S98" s="4"/>
    </row>
    <row r="99" spans="1:19" ht="15.75" thickBot="1" x14ac:dyDescent="0.3">
      <c r="A99" s="206">
        <v>19</v>
      </c>
      <c r="B99" s="215" t="s">
        <v>1210</v>
      </c>
      <c r="C99" s="208">
        <v>16</v>
      </c>
      <c r="D99" s="152">
        <v>0</v>
      </c>
      <c r="E99" s="153">
        <f>C99+(C99*D99)</f>
        <v>16</v>
      </c>
      <c r="F99" s="3" t="s">
        <v>867</v>
      </c>
      <c r="G99" s="77">
        <v>198.99</v>
      </c>
      <c r="H99" s="5" t="s">
        <v>1</v>
      </c>
      <c r="I99" s="78">
        <f t="shared" ref="I99:I100" si="123">IF(H99="C",(G99/100)*E99,IF(H99="M",(G99/1000)*E99,G99*E99))</f>
        <v>3183.84</v>
      </c>
      <c r="J99" s="154">
        <f t="shared" ref="J99:J100" si="124">$O$4</f>
        <v>75</v>
      </c>
      <c r="K99" s="4">
        <v>0.8</v>
      </c>
      <c r="L99" s="5" t="s">
        <v>1</v>
      </c>
      <c r="M99" s="80">
        <f t="shared" ref="M99:M100" si="125">IF(L99="C",(K99/100)*E99,IF(L99="M",(K99/1000)*E99,K99*E99))</f>
        <v>12.8</v>
      </c>
      <c r="N99" s="78">
        <f t="shared" ref="N99:N100" si="126">M99*J99</f>
        <v>960</v>
      </c>
      <c r="O99" s="188">
        <f t="shared" ref="O99:O100" si="127">N99+I99</f>
        <v>4143.84</v>
      </c>
      <c r="P99" s="4">
        <v>1</v>
      </c>
      <c r="Q99" s="4">
        <v>1.2</v>
      </c>
      <c r="R99" s="4">
        <v>1.5</v>
      </c>
      <c r="S99" s="4"/>
    </row>
    <row r="100" spans="1:19" s="168" customFormat="1" x14ac:dyDescent="0.25">
      <c r="A100" s="156"/>
      <c r="B100" s="213" t="s">
        <v>5</v>
      </c>
      <c r="C100" s="155">
        <f>2*C99</f>
        <v>32</v>
      </c>
      <c r="D100" s="157">
        <v>0</v>
      </c>
      <c r="E100" s="158">
        <f t="shared" ref="E100" si="128">C100+(C100*D100)</f>
        <v>32</v>
      </c>
      <c r="F100" s="159" t="s">
        <v>867</v>
      </c>
      <c r="G100" s="160">
        <v>913.25</v>
      </c>
      <c r="H100" s="161" t="s">
        <v>0</v>
      </c>
      <c r="I100" s="162">
        <f t="shared" si="123"/>
        <v>292.24</v>
      </c>
      <c r="J100" s="163">
        <f t="shared" si="124"/>
        <v>75</v>
      </c>
      <c r="K100" s="164">
        <v>20</v>
      </c>
      <c r="L100" s="155" t="s">
        <v>0</v>
      </c>
      <c r="M100" s="165">
        <f t="shared" si="125"/>
        <v>6.4</v>
      </c>
      <c r="N100" s="162">
        <f t="shared" si="126"/>
        <v>480</v>
      </c>
      <c r="O100" s="189">
        <f t="shared" si="127"/>
        <v>772.24</v>
      </c>
      <c r="P100" s="164">
        <v>30</v>
      </c>
      <c r="Q100" s="164">
        <v>37.5</v>
      </c>
      <c r="R100" s="164">
        <v>45</v>
      </c>
      <c r="S100" s="164">
        <v>137493</v>
      </c>
    </row>
    <row r="101" spans="1:19" ht="15.75" thickBot="1" x14ac:dyDescent="0.3">
      <c r="A101" s="150"/>
      <c r="B101" s="211"/>
      <c r="C101" s="151"/>
      <c r="D101" s="152"/>
      <c r="E101" s="153"/>
      <c r="F101" s="85"/>
      <c r="G101" s="77"/>
      <c r="H101" s="5"/>
      <c r="I101" s="78"/>
      <c r="J101" s="110"/>
      <c r="K101" s="4"/>
      <c r="L101" s="5"/>
      <c r="M101" s="80"/>
      <c r="N101" s="78"/>
      <c r="O101" s="188"/>
      <c r="P101" s="4"/>
      <c r="Q101" s="4"/>
      <c r="R101" s="4"/>
      <c r="S101" s="4"/>
    </row>
    <row r="102" spans="1:19" s="168" customFormat="1" ht="15.75" thickBot="1" x14ac:dyDescent="0.3">
      <c r="A102" s="186">
        <v>20</v>
      </c>
      <c r="B102" s="215" t="s">
        <v>1215</v>
      </c>
      <c r="C102" s="176">
        <v>10</v>
      </c>
      <c r="D102" s="157">
        <v>0</v>
      </c>
      <c r="E102" s="158">
        <f t="shared" ref="E102:E105" si="129">C102+(C102*D102)</f>
        <v>10</v>
      </c>
      <c r="F102" s="185" t="s">
        <v>867</v>
      </c>
      <c r="G102" s="160">
        <v>2512</v>
      </c>
      <c r="H102" s="161" t="s">
        <v>0</v>
      </c>
      <c r="I102" s="162">
        <f t="shared" ref="I102:I105" si="130">IF(H102="C",(G102/100)*E102,IF(H102="M",(G102/1000)*E102,G102*E102))</f>
        <v>251.20000000000002</v>
      </c>
      <c r="J102" s="163">
        <f t="shared" ref="J102:J115" si="131">$O$4</f>
        <v>75</v>
      </c>
      <c r="K102" s="164">
        <v>20</v>
      </c>
      <c r="L102" s="155" t="s">
        <v>0</v>
      </c>
      <c r="M102" s="165">
        <f t="shared" ref="M102:M105" si="132">IF(L102="C",(K102/100)*E102,IF(L102="M",(K102/1000)*E102,K102*E102))</f>
        <v>2</v>
      </c>
      <c r="N102" s="162">
        <f t="shared" ref="N102:N105" si="133">M102*J102</f>
        <v>150</v>
      </c>
      <c r="O102" s="166">
        <f t="shared" ref="O102:O105" si="134">N102+I102</f>
        <v>401.20000000000005</v>
      </c>
      <c r="P102" s="164">
        <v>30</v>
      </c>
      <c r="Q102" s="164">
        <v>37.5</v>
      </c>
      <c r="R102" s="164">
        <v>45</v>
      </c>
      <c r="S102" s="167"/>
    </row>
    <row r="103" spans="1:19" s="168" customFormat="1" x14ac:dyDescent="0.25">
      <c r="A103" s="187"/>
      <c r="B103" s="200" t="s">
        <v>1224</v>
      </c>
      <c r="C103" s="151">
        <f>C102</f>
        <v>10</v>
      </c>
      <c r="D103" s="152">
        <v>0</v>
      </c>
      <c r="E103" s="153">
        <f t="shared" si="129"/>
        <v>10</v>
      </c>
      <c r="F103" s="3" t="s">
        <v>867</v>
      </c>
      <c r="G103" s="77">
        <v>299.16000000000003</v>
      </c>
      <c r="H103" s="5" t="s">
        <v>0</v>
      </c>
      <c r="I103" s="78">
        <f t="shared" si="130"/>
        <v>29.916</v>
      </c>
      <c r="J103" s="154">
        <f t="shared" si="131"/>
        <v>75</v>
      </c>
      <c r="K103" s="4">
        <v>23</v>
      </c>
      <c r="L103" s="5" t="s">
        <v>0</v>
      </c>
      <c r="M103" s="80">
        <f t="shared" si="132"/>
        <v>2.3000000000000003</v>
      </c>
      <c r="N103" s="78">
        <f t="shared" si="133"/>
        <v>172.50000000000003</v>
      </c>
      <c r="O103" s="111">
        <f t="shared" si="134"/>
        <v>202.41600000000003</v>
      </c>
      <c r="P103" s="4">
        <v>30</v>
      </c>
      <c r="Q103" s="4">
        <v>35</v>
      </c>
      <c r="R103" s="4">
        <v>40</v>
      </c>
      <c r="S103" s="167"/>
    </row>
    <row r="104" spans="1:19" s="168" customFormat="1" x14ac:dyDescent="0.25">
      <c r="A104" s="187"/>
      <c r="B104" s="17" t="s">
        <v>1225</v>
      </c>
      <c r="C104" s="20">
        <f>C102*2</f>
        <v>20</v>
      </c>
      <c r="D104" s="7">
        <v>0</v>
      </c>
      <c r="E104" s="3">
        <f t="shared" si="129"/>
        <v>20</v>
      </c>
      <c r="F104" s="85" t="s">
        <v>867</v>
      </c>
      <c r="G104" s="77">
        <v>6.25</v>
      </c>
      <c r="H104" s="22" t="s">
        <v>0</v>
      </c>
      <c r="I104" s="78">
        <f t="shared" si="130"/>
        <v>1.25</v>
      </c>
      <c r="J104" s="110">
        <f t="shared" si="131"/>
        <v>75</v>
      </c>
      <c r="K104" s="4">
        <v>2.8</v>
      </c>
      <c r="L104" s="22" t="s">
        <v>0</v>
      </c>
      <c r="M104" s="80">
        <f t="shared" si="132"/>
        <v>0.55999999999999994</v>
      </c>
      <c r="N104" s="78">
        <f t="shared" si="133"/>
        <v>41.999999999999993</v>
      </c>
      <c r="O104" s="111">
        <f t="shared" si="134"/>
        <v>43.249999999999993</v>
      </c>
      <c r="P104" s="4">
        <v>3.1</v>
      </c>
      <c r="Q104" s="4">
        <v>3.88</v>
      </c>
      <c r="R104" s="4">
        <v>4.84</v>
      </c>
      <c r="S104" s="167"/>
    </row>
    <row r="105" spans="1:19" s="168" customFormat="1" x14ac:dyDescent="0.25">
      <c r="A105" s="187"/>
      <c r="B105" s="17" t="s">
        <v>4</v>
      </c>
      <c r="C105" s="20">
        <f>C102</f>
        <v>10</v>
      </c>
      <c r="D105" s="7">
        <v>0</v>
      </c>
      <c r="E105" s="3">
        <f t="shared" si="129"/>
        <v>10</v>
      </c>
      <c r="F105" s="85" t="s">
        <v>867</v>
      </c>
      <c r="G105" s="77">
        <v>49.82</v>
      </c>
      <c r="H105" s="22" t="s">
        <v>0</v>
      </c>
      <c r="I105" s="78">
        <f t="shared" si="130"/>
        <v>4.9819999999999993</v>
      </c>
      <c r="J105" s="110">
        <f t="shared" si="131"/>
        <v>75</v>
      </c>
      <c r="K105" s="4">
        <v>2.7</v>
      </c>
      <c r="L105" s="22" t="s">
        <v>0</v>
      </c>
      <c r="M105" s="80">
        <f t="shared" si="132"/>
        <v>0.27</v>
      </c>
      <c r="N105" s="78">
        <f t="shared" si="133"/>
        <v>20.25</v>
      </c>
      <c r="O105" s="111">
        <f t="shared" si="134"/>
        <v>25.231999999999999</v>
      </c>
      <c r="P105" s="4">
        <v>10</v>
      </c>
      <c r="Q105" s="4">
        <v>12.5</v>
      </c>
      <c r="R105" s="4">
        <v>15</v>
      </c>
      <c r="S105" s="167"/>
    </row>
    <row r="106" spans="1:19" s="168" customFormat="1" ht="15.75" thickBot="1" x14ac:dyDescent="0.3">
      <c r="A106" s="187"/>
      <c r="B106" s="211"/>
      <c r="C106" s="155"/>
      <c r="D106" s="157"/>
      <c r="E106" s="158"/>
      <c r="F106" s="185"/>
      <c r="G106" s="147"/>
      <c r="H106" s="155"/>
      <c r="I106" s="162"/>
      <c r="J106" s="163"/>
      <c r="K106" s="164"/>
      <c r="L106" s="155"/>
      <c r="M106" s="165"/>
      <c r="N106" s="162"/>
      <c r="O106" s="166"/>
      <c r="P106" s="164"/>
      <c r="Q106" s="164"/>
      <c r="R106" s="164"/>
      <c r="S106" s="167"/>
    </row>
    <row r="107" spans="1:19" s="168" customFormat="1" ht="15.75" thickBot="1" x14ac:dyDescent="0.3">
      <c r="A107" s="186">
        <v>21</v>
      </c>
      <c r="B107" s="215" t="s">
        <v>1216</v>
      </c>
      <c r="C107" s="176">
        <v>10</v>
      </c>
      <c r="D107" s="157">
        <v>0</v>
      </c>
      <c r="E107" s="158">
        <f t="shared" ref="E107:E110" si="135">C107+(C107*D107)</f>
        <v>10</v>
      </c>
      <c r="F107" s="185" t="s">
        <v>867</v>
      </c>
      <c r="G107" s="160">
        <v>3395</v>
      </c>
      <c r="H107" s="161" t="s">
        <v>0</v>
      </c>
      <c r="I107" s="162">
        <f t="shared" ref="I107:I110" si="136">IF(H107="C",(G107/100)*E107,IF(H107="M",(G107/1000)*E107,G107*E107))</f>
        <v>339.5</v>
      </c>
      <c r="J107" s="163">
        <f t="shared" si="131"/>
        <v>75</v>
      </c>
      <c r="K107" s="164">
        <v>20</v>
      </c>
      <c r="L107" s="155" t="s">
        <v>0</v>
      </c>
      <c r="M107" s="165">
        <f t="shared" ref="M107:M110" si="137">IF(L107="C",(K107/100)*E107,IF(L107="M",(K107/1000)*E107,K107*E107))</f>
        <v>2</v>
      </c>
      <c r="N107" s="162">
        <f t="shared" ref="N107:N110" si="138">M107*J107</f>
        <v>150</v>
      </c>
      <c r="O107" s="166">
        <f t="shared" ref="O107:O110" si="139">N107+I107</f>
        <v>489.5</v>
      </c>
      <c r="P107" s="164">
        <v>30</v>
      </c>
      <c r="Q107" s="164">
        <v>37.5</v>
      </c>
      <c r="R107" s="164">
        <v>45</v>
      </c>
      <c r="S107" s="167"/>
    </row>
    <row r="108" spans="1:19" s="168" customFormat="1" x14ac:dyDescent="0.25">
      <c r="A108" s="187"/>
      <c r="B108" s="200" t="s">
        <v>1224</v>
      </c>
      <c r="C108" s="151">
        <f>C107</f>
        <v>10</v>
      </c>
      <c r="D108" s="152">
        <v>0</v>
      </c>
      <c r="E108" s="153">
        <f t="shared" si="135"/>
        <v>10</v>
      </c>
      <c r="F108" s="3" t="s">
        <v>867</v>
      </c>
      <c r="G108" s="77">
        <v>299.16000000000003</v>
      </c>
      <c r="H108" s="5" t="s">
        <v>0</v>
      </c>
      <c r="I108" s="78">
        <f t="shared" si="136"/>
        <v>29.916</v>
      </c>
      <c r="J108" s="154">
        <f t="shared" si="131"/>
        <v>75</v>
      </c>
      <c r="K108" s="4">
        <v>23</v>
      </c>
      <c r="L108" s="5" t="s">
        <v>0</v>
      </c>
      <c r="M108" s="80">
        <f t="shared" si="137"/>
        <v>2.3000000000000003</v>
      </c>
      <c r="N108" s="78">
        <f t="shared" si="138"/>
        <v>172.50000000000003</v>
      </c>
      <c r="O108" s="111">
        <f t="shared" si="139"/>
        <v>202.41600000000003</v>
      </c>
      <c r="P108" s="4">
        <v>30</v>
      </c>
      <c r="Q108" s="4">
        <v>35</v>
      </c>
      <c r="R108" s="4">
        <v>40</v>
      </c>
      <c r="S108" s="167"/>
    </row>
    <row r="109" spans="1:19" s="168" customFormat="1" x14ac:dyDescent="0.25">
      <c r="A109" s="187"/>
      <c r="B109" s="17" t="s">
        <v>1225</v>
      </c>
      <c r="C109" s="20">
        <f>C107*2</f>
        <v>20</v>
      </c>
      <c r="D109" s="7">
        <v>0</v>
      </c>
      <c r="E109" s="3">
        <f t="shared" si="135"/>
        <v>20</v>
      </c>
      <c r="F109" s="85" t="s">
        <v>867</v>
      </c>
      <c r="G109" s="77">
        <v>6.25</v>
      </c>
      <c r="H109" s="22" t="s">
        <v>0</v>
      </c>
      <c r="I109" s="78">
        <f t="shared" si="136"/>
        <v>1.25</v>
      </c>
      <c r="J109" s="110">
        <f t="shared" si="131"/>
        <v>75</v>
      </c>
      <c r="K109" s="4">
        <v>2.8</v>
      </c>
      <c r="L109" s="22" t="s">
        <v>0</v>
      </c>
      <c r="M109" s="80">
        <f t="shared" si="137"/>
        <v>0.55999999999999994</v>
      </c>
      <c r="N109" s="78">
        <f t="shared" si="138"/>
        <v>41.999999999999993</v>
      </c>
      <c r="O109" s="111">
        <f t="shared" si="139"/>
        <v>43.249999999999993</v>
      </c>
      <c r="P109" s="4">
        <v>3.1</v>
      </c>
      <c r="Q109" s="4">
        <v>3.88</v>
      </c>
      <c r="R109" s="4">
        <v>4.84</v>
      </c>
      <c r="S109" s="167"/>
    </row>
    <row r="110" spans="1:19" s="168" customFormat="1" x14ac:dyDescent="0.25">
      <c r="A110" s="187"/>
      <c r="B110" s="17" t="s">
        <v>4</v>
      </c>
      <c r="C110" s="20">
        <f>C107</f>
        <v>10</v>
      </c>
      <c r="D110" s="7">
        <v>0</v>
      </c>
      <c r="E110" s="3">
        <f t="shared" si="135"/>
        <v>10</v>
      </c>
      <c r="F110" s="85" t="s">
        <v>867</v>
      </c>
      <c r="G110" s="77">
        <v>49.82</v>
      </c>
      <c r="H110" s="22" t="s">
        <v>0</v>
      </c>
      <c r="I110" s="78">
        <f t="shared" si="136"/>
        <v>4.9819999999999993</v>
      </c>
      <c r="J110" s="110">
        <f t="shared" si="131"/>
        <v>75</v>
      </c>
      <c r="K110" s="4">
        <v>2.7</v>
      </c>
      <c r="L110" s="22" t="s">
        <v>0</v>
      </c>
      <c r="M110" s="80">
        <f t="shared" si="137"/>
        <v>0.27</v>
      </c>
      <c r="N110" s="78">
        <f t="shared" si="138"/>
        <v>20.25</v>
      </c>
      <c r="O110" s="111">
        <f t="shared" si="139"/>
        <v>25.231999999999999</v>
      </c>
      <c r="P110" s="4">
        <v>10</v>
      </c>
      <c r="Q110" s="4">
        <v>12.5</v>
      </c>
      <c r="R110" s="4">
        <v>15</v>
      </c>
      <c r="S110" s="167"/>
    </row>
    <row r="111" spans="1:19" s="168" customFormat="1" ht="15.75" thickBot="1" x14ac:dyDescent="0.3">
      <c r="A111" s="187"/>
      <c r="B111" s="211"/>
      <c r="C111" s="155"/>
      <c r="D111" s="157"/>
      <c r="E111" s="158"/>
      <c r="F111" s="185"/>
      <c r="G111" s="147"/>
      <c r="H111" s="155"/>
      <c r="I111" s="162"/>
      <c r="J111" s="163"/>
      <c r="K111" s="164"/>
      <c r="L111" s="155"/>
      <c r="M111" s="165"/>
      <c r="N111" s="162"/>
      <c r="O111" s="166"/>
      <c r="P111" s="164"/>
      <c r="Q111" s="164"/>
      <c r="R111" s="164"/>
      <c r="S111" s="167"/>
    </row>
    <row r="112" spans="1:19" s="168" customFormat="1" ht="15.75" thickBot="1" x14ac:dyDescent="0.3">
      <c r="A112" s="186">
        <v>22</v>
      </c>
      <c r="B112" s="215" t="s">
        <v>1217</v>
      </c>
      <c r="C112" s="176">
        <v>10</v>
      </c>
      <c r="D112" s="157">
        <v>0</v>
      </c>
      <c r="E112" s="158">
        <f t="shared" ref="E112:E115" si="140">C112+(C112*D112)</f>
        <v>10</v>
      </c>
      <c r="F112" s="185" t="s">
        <v>867</v>
      </c>
      <c r="G112" s="160">
        <v>4950</v>
      </c>
      <c r="H112" s="161" t="s">
        <v>0</v>
      </c>
      <c r="I112" s="162">
        <f t="shared" ref="I112:I115" si="141">IF(H112="C",(G112/100)*E112,IF(H112="M",(G112/1000)*E112,G112*E112))</f>
        <v>495</v>
      </c>
      <c r="J112" s="163">
        <f t="shared" si="131"/>
        <v>75</v>
      </c>
      <c r="K112" s="164">
        <v>25</v>
      </c>
      <c r="L112" s="155" t="s">
        <v>0</v>
      </c>
      <c r="M112" s="165">
        <f t="shared" ref="M112:M115" si="142">IF(L112="C",(K112/100)*E112,IF(L112="M",(K112/1000)*E112,K112*E112))</f>
        <v>2.5</v>
      </c>
      <c r="N112" s="162">
        <f t="shared" ref="N112:N115" si="143">M112*J112</f>
        <v>187.5</v>
      </c>
      <c r="O112" s="166">
        <f t="shared" ref="O112:O115" si="144">N112+I112</f>
        <v>682.5</v>
      </c>
      <c r="P112" s="164">
        <v>35</v>
      </c>
      <c r="Q112" s="164">
        <v>40</v>
      </c>
      <c r="R112" s="164">
        <v>45</v>
      </c>
      <c r="S112" s="167"/>
    </row>
    <row r="113" spans="1:19" s="168" customFormat="1" x14ac:dyDescent="0.25">
      <c r="A113" s="187"/>
      <c r="B113" s="200" t="s">
        <v>1224</v>
      </c>
      <c r="C113" s="151">
        <f>C112</f>
        <v>10</v>
      </c>
      <c r="D113" s="152">
        <v>0</v>
      </c>
      <c r="E113" s="153">
        <f t="shared" si="140"/>
        <v>10</v>
      </c>
      <c r="F113" s="3" t="s">
        <v>867</v>
      </c>
      <c r="G113" s="77">
        <v>299.16000000000003</v>
      </c>
      <c r="H113" s="5" t="s">
        <v>0</v>
      </c>
      <c r="I113" s="78">
        <f t="shared" si="141"/>
        <v>29.916</v>
      </c>
      <c r="J113" s="154">
        <f t="shared" si="131"/>
        <v>75</v>
      </c>
      <c r="K113" s="4">
        <v>23</v>
      </c>
      <c r="L113" s="5" t="s">
        <v>0</v>
      </c>
      <c r="M113" s="80">
        <f t="shared" si="142"/>
        <v>2.3000000000000003</v>
      </c>
      <c r="N113" s="78">
        <f t="shared" si="143"/>
        <v>172.50000000000003</v>
      </c>
      <c r="O113" s="111">
        <f t="shared" si="144"/>
        <v>202.41600000000003</v>
      </c>
      <c r="P113" s="4">
        <v>30</v>
      </c>
      <c r="Q113" s="4">
        <v>35</v>
      </c>
      <c r="R113" s="4">
        <v>40</v>
      </c>
      <c r="S113" s="167"/>
    </row>
    <row r="114" spans="1:19" s="168" customFormat="1" x14ac:dyDescent="0.25">
      <c r="A114" s="187"/>
      <c r="B114" s="17" t="s">
        <v>1225</v>
      </c>
      <c r="C114" s="20">
        <f>C112*2</f>
        <v>20</v>
      </c>
      <c r="D114" s="7">
        <v>0</v>
      </c>
      <c r="E114" s="3">
        <f t="shared" si="140"/>
        <v>20</v>
      </c>
      <c r="F114" s="85" t="s">
        <v>867</v>
      </c>
      <c r="G114" s="77">
        <v>6.25</v>
      </c>
      <c r="H114" s="22" t="s">
        <v>0</v>
      </c>
      <c r="I114" s="78">
        <f t="shared" si="141"/>
        <v>1.25</v>
      </c>
      <c r="J114" s="110">
        <f t="shared" si="131"/>
        <v>75</v>
      </c>
      <c r="K114" s="4">
        <v>2.8</v>
      </c>
      <c r="L114" s="22" t="s">
        <v>0</v>
      </c>
      <c r="M114" s="80">
        <f t="shared" si="142"/>
        <v>0.55999999999999994</v>
      </c>
      <c r="N114" s="78">
        <f t="shared" si="143"/>
        <v>41.999999999999993</v>
      </c>
      <c r="O114" s="111">
        <f t="shared" si="144"/>
        <v>43.249999999999993</v>
      </c>
      <c r="P114" s="4">
        <v>3.1</v>
      </c>
      <c r="Q114" s="4">
        <v>3.88</v>
      </c>
      <c r="R114" s="4">
        <v>4.84</v>
      </c>
      <c r="S114" s="167"/>
    </row>
    <row r="115" spans="1:19" s="168" customFormat="1" x14ac:dyDescent="0.25">
      <c r="A115" s="187"/>
      <c r="B115" s="17" t="s">
        <v>4</v>
      </c>
      <c r="C115" s="20">
        <f>C112</f>
        <v>10</v>
      </c>
      <c r="D115" s="7">
        <v>0</v>
      </c>
      <c r="E115" s="3">
        <f t="shared" si="140"/>
        <v>10</v>
      </c>
      <c r="F115" s="85" t="s">
        <v>867</v>
      </c>
      <c r="G115" s="77">
        <v>49.82</v>
      </c>
      <c r="H115" s="22" t="s">
        <v>0</v>
      </c>
      <c r="I115" s="78">
        <f t="shared" si="141"/>
        <v>4.9819999999999993</v>
      </c>
      <c r="J115" s="110">
        <f t="shared" si="131"/>
        <v>75</v>
      </c>
      <c r="K115" s="4">
        <v>2.7</v>
      </c>
      <c r="L115" s="22" t="s">
        <v>0</v>
      </c>
      <c r="M115" s="80">
        <f t="shared" si="142"/>
        <v>0.27</v>
      </c>
      <c r="N115" s="78">
        <f t="shared" si="143"/>
        <v>20.25</v>
      </c>
      <c r="O115" s="111">
        <f t="shared" si="144"/>
        <v>25.231999999999999</v>
      </c>
      <c r="P115" s="4">
        <v>10</v>
      </c>
      <c r="Q115" s="4">
        <v>12.5</v>
      </c>
      <c r="R115" s="4">
        <v>15</v>
      </c>
      <c r="S115" s="167"/>
    </row>
    <row r="116" spans="1:19" s="168" customFormat="1" ht="15.75" thickBot="1" x14ac:dyDescent="0.3">
      <c r="A116" s="187"/>
      <c r="B116" s="211"/>
      <c r="C116" s="155"/>
      <c r="D116" s="157"/>
      <c r="E116" s="158"/>
      <c r="F116" s="185"/>
      <c r="G116" s="147"/>
      <c r="H116" s="155"/>
      <c r="I116" s="162"/>
      <c r="J116" s="163"/>
      <c r="K116" s="164"/>
      <c r="L116" s="155"/>
      <c r="M116" s="165"/>
      <c r="N116" s="162"/>
      <c r="O116" s="166"/>
      <c r="P116" s="164"/>
      <c r="Q116" s="164"/>
      <c r="R116" s="164"/>
      <c r="S116" s="167"/>
    </row>
    <row r="117" spans="1:19" s="168" customFormat="1" ht="15.75" thickBot="1" x14ac:dyDescent="0.3">
      <c r="A117" s="186">
        <v>23</v>
      </c>
      <c r="B117" s="215" t="s">
        <v>1218</v>
      </c>
      <c r="C117" s="176">
        <v>10</v>
      </c>
      <c r="D117" s="157">
        <v>0</v>
      </c>
      <c r="E117" s="158">
        <f t="shared" ref="E117:E120" si="145">C117+(C117*D117)</f>
        <v>10</v>
      </c>
      <c r="F117" s="185" t="s">
        <v>867</v>
      </c>
      <c r="G117" s="160">
        <v>1336.52</v>
      </c>
      <c r="H117" s="161" t="s">
        <v>0</v>
      </c>
      <c r="I117" s="162">
        <f t="shared" ref="I117:I120" si="146">IF(H117="C",(G117/100)*E117,IF(H117="M",(G117/1000)*E117,G117*E117))</f>
        <v>133.65199999999999</v>
      </c>
      <c r="J117" s="163">
        <f t="shared" ref="J117:J125" si="147">$O$4</f>
        <v>75</v>
      </c>
      <c r="K117" s="164">
        <v>20</v>
      </c>
      <c r="L117" s="155" t="s">
        <v>0</v>
      </c>
      <c r="M117" s="165">
        <f t="shared" ref="M117:M120" si="148">IF(L117="C",(K117/100)*E117,IF(L117="M",(K117/1000)*E117,K117*E117))</f>
        <v>2</v>
      </c>
      <c r="N117" s="162">
        <f t="shared" ref="N117:N120" si="149">M117*J117</f>
        <v>150</v>
      </c>
      <c r="O117" s="166">
        <f t="shared" ref="O117:O120" si="150">N117+I117</f>
        <v>283.65199999999999</v>
      </c>
      <c r="P117" s="164">
        <v>30</v>
      </c>
      <c r="Q117" s="164">
        <v>37.5</v>
      </c>
      <c r="R117" s="164">
        <v>45</v>
      </c>
      <c r="S117" s="167"/>
    </row>
    <row r="118" spans="1:19" s="168" customFormat="1" x14ac:dyDescent="0.25">
      <c r="A118" s="187"/>
      <c r="B118" s="200" t="s">
        <v>1224</v>
      </c>
      <c r="C118" s="151">
        <f>C117</f>
        <v>10</v>
      </c>
      <c r="D118" s="152">
        <v>0</v>
      </c>
      <c r="E118" s="153">
        <f t="shared" si="145"/>
        <v>10</v>
      </c>
      <c r="F118" s="3" t="s">
        <v>867</v>
      </c>
      <c r="G118" s="77">
        <v>299.16000000000003</v>
      </c>
      <c r="H118" s="5" t="s">
        <v>0</v>
      </c>
      <c r="I118" s="78">
        <f t="shared" si="146"/>
        <v>29.916</v>
      </c>
      <c r="J118" s="154">
        <f t="shared" si="147"/>
        <v>75</v>
      </c>
      <c r="K118" s="4">
        <v>23</v>
      </c>
      <c r="L118" s="5" t="s">
        <v>0</v>
      </c>
      <c r="M118" s="80">
        <f t="shared" si="148"/>
        <v>2.3000000000000003</v>
      </c>
      <c r="N118" s="78">
        <f t="shared" si="149"/>
        <v>172.50000000000003</v>
      </c>
      <c r="O118" s="111">
        <f t="shared" si="150"/>
        <v>202.41600000000003</v>
      </c>
      <c r="P118" s="4">
        <v>30</v>
      </c>
      <c r="Q118" s="4">
        <v>35</v>
      </c>
      <c r="R118" s="4">
        <v>40</v>
      </c>
      <c r="S118" s="167"/>
    </row>
    <row r="119" spans="1:19" s="168" customFormat="1" x14ac:dyDescent="0.25">
      <c r="A119" s="187"/>
      <c r="B119" s="17" t="s">
        <v>1225</v>
      </c>
      <c r="C119" s="20">
        <f>C117*2</f>
        <v>20</v>
      </c>
      <c r="D119" s="7">
        <v>0</v>
      </c>
      <c r="E119" s="3">
        <f t="shared" si="145"/>
        <v>20</v>
      </c>
      <c r="F119" s="85" t="s">
        <v>867</v>
      </c>
      <c r="G119" s="77">
        <v>6.25</v>
      </c>
      <c r="H119" s="22" t="s">
        <v>0</v>
      </c>
      <c r="I119" s="78">
        <f t="shared" si="146"/>
        <v>1.25</v>
      </c>
      <c r="J119" s="110">
        <f t="shared" si="147"/>
        <v>75</v>
      </c>
      <c r="K119" s="4">
        <v>2.8</v>
      </c>
      <c r="L119" s="22" t="s">
        <v>0</v>
      </c>
      <c r="M119" s="80">
        <f t="shared" si="148"/>
        <v>0.55999999999999994</v>
      </c>
      <c r="N119" s="78">
        <f t="shared" si="149"/>
        <v>41.999999999999993</v>
      </c>
      <c r="O119" s="111">
        <f t="shared" si="150"/>
        <v>43.249999999999993</v>
      </c>
      <c r="P119" s="4">
        <v>3.1</v>
      </c>
      <c r="Q119" s="4">
        <v>3.88</v>
      </c>
      <c r="R119" s="4">
        <v>4.84</v>
      </c>
      <c r="S119" s="167"/>
    </row>
    <row r="120" spans="1:19" s="168" customFormat="1" x14ac:dyDescent="0.25">
      <c r="A120" s="187"/>
      <c r="B120" s="17" t="s">
        <v>4</v>
      </c>
      <c r="C120" s="20">
        <f>C117</f>
        <v>10</v>
      </c>
      <c r="D120" s="7">
        <v>0</v>
      </c>
      <c r="E120" s="3">
        <f t="shared" si="145"/>
        <v>10</v>
      </c>
      <c r="F120" s="85" t="s">
        <v>867</v>
      </c>
      <c r="G120" s="77">
        <v>49.82</v>
      </c>
      <c r="H120" s="22" t="s">
        <v>0</v>
      </c>
      <c r="I120" s="78">
        <f t="shared" si="146"/>
        <v>4.9819999999999993</v>
      </c>
      <c r="J120" s="110">
        <f t="shared" si="147"/>
        <v>75</v>
      </c>
      <c r="K120" s="4">
        <v>2.7</v>
      </c>
      <c r="L120" s="22" t="s">
        <v>0</v>
      </c>
      <c r="M120" s="80">
        <f t="shared" si="148"/>
        <v>0.27</v>
      </c>
      <c r="N120" s="78">
        <f t="shared" si="149"/>
        <v>20.25</v>
      </c>
      <c r="O120" s="111">
        <f t="shared" si="150"/>
        <v>25.231999999999999</v>
      </c>
      <c r="P120" s="4">
        <v>10</v>
      </c>
      <c r="Q120" s="4">
        <v>12.5</v>
      </c>
      <c r="R120" s="4">
        <v>15</v>
      </c>
      <c r="S120" s="167"/>
    </row>
    <row r="121" spans="1:19" s="168" customFormat="1" ht="15.75" thickBot="1" x14ac:dyDescent="0.3">
      <c r="A121" s="187"/>
      <c r="B121" s="211"/>
      <c r="C121" s="155"/>
      <c r="D121" s="157"/>
      <c r="E121" s="158"/>
      <c r="F121" s="185"/>
      <c r="G121" s="147"/>
      <c r="H121" s="155"/>
      <c r="I121" s="162"/>
      <c r="J121" s="163"/>
      <c r="K121" s="164"/>
      <c r="L121" s="155"/>
      <c r="M121" s="165"/>
      <c r="N121" s="162"/>
      <c r="O121" s="166"/>
      <c r="P121" s="164"/>
      <c r="Q121" s="164"/>
      <c r="R121" s="164"/>
      <c r="S121" s="167"/>
    </row>
    <row r="122" spans="1:19" s="168" customFormat="1" ht="15.75" thickBot="1" x14ac:dyDescent="0.3">
      <c r="A122" s="186">
        <v>24</v>
      </c>
      <c r="B122" s="215" t="s">
        <v>1219</v>
      </c>
      <c r="C122" s="176">
        <v>10</v>
      </c>
      <c r="D122" s="157">
        <v>0</v>
      </c>
      <c r="E122" s="158">
        <f t="shared" ref="E122:E125" si="151">C122+(C122*D122)</f>
        <v>10</v>
      </c>
      <c r="F122" s="185" t="s">
        <v>867</v>
      </c>
      <c r="G122" s="160">
        <v>1971.63</v>
      </c>
      <c r="H122" s="161" t="s">
        <v>0</v>
      </c>
      <c r="I122" s="162">
        <f t="shared" ref="I122:I125" si="152">IF(H122="C",(G122/100)*E122,IF(H122="M",(G122/1000)*E122,G122*E122))</f>
        <v>197.16300000000001</v>
      </c>
      <c r="J122" s="163">
        <f t="shared" si="147"/>
        <v>75</v>
      </c>
      <c r="K122" s="164">
        <v>25</v>
      </c>
      <c r="L122" s="155" t="s">
        <v>0</v>
      </c>
      <c r="M122" s="165">
        <f t="shared" ref="M122:M125" si="153">IF(L122="C",(K122/100)*E122,IF(L122="M",(K122/1000)*E122,K122*E122))</f>
        <v>2.5</v>
      </c>
      <c r="N122" s="162">
        <f t="shared" ref="N122:N125" si="154">M122*J122</f>
        <v>187.5</v>
      </c>
      <c r="O122" s="166">
        <f t="shared" ref="O122:O125" si="155">N122+I122</f>
        <v>384.66300000000001</v>
      </c>
      <c r="P122" s="164">
        <v>35</v>
      </c>
      <c r="Q122" s="164">
        <v>40</v>
      </c>
      <c r="R122" s="164">
        <v>45</v>
      </c>
      <c r="S122" s="167"/>
    </row>
    <row r="123" spans="1:19" s="168" customFormat="1" x14ac:dyDescent="0.25">
      <c r="A123" s="187"/>
      <c r="B123" s="200" t="s">
        <v>1224</v>
      </c>
      <c r="C123" s="151">
        <f>C122</f>
        <v>10</v>
      </c>
      <c r="D123" s="152">
        <v>0</v>
      </c>
      <c r="E123" s="153">
        <f t="shared" si="151"/>
        <v>10</v>
      </c>
      <c r="F123" s="3" t="s">
        <v>867</v>
      </c>
      <c r="G123" s="77">
        <v>299.16000000000003</v>
      </c>
      <c r="H123" s="5" t="s">
        <v>0</v>
      </c>
      <c r="I123" s="78">
        <f t="shared" si="152"/>
        <v>29.916</v>
      </c>
      <c r="J123" s="154">
        <f t="shared" si="147"/>
        <v>75</v>
      </c>
      <c r="K123" s="4">
        <v>23</v>
      </c>
      <c r="L123" s="5" t="s">
        <v>0</v>
      </c>
      <c r="M123" s="80">
        <f t="shared" si="153"/>
        <v>2.3000000000000003</v>
      </c>
      <c r="N123" s="78">
        <f t="shared" si="154"/>
        <v>172.50000000000003</v>
      </c>
      <c r="O123" s="111">
        <f t="shared" si="155"/>
        <v>202.41600000000003</v>
      </c>
      <c r="P123" s="4">
        <v>30</v>
      </c>
      <c r="Q123" s="4">
        <v>35</v>
      </c>
      <c r="R123" s="4">
        <v>40</v>
      </c>
      <c r="S123" s="167"/>
    </row>
    <row r="124" spans="1:19" s="168" customFormat="1" x14ac:dyDescent="0.25">
      <c r="A124" s="187"/>
      <c r="B124" s="17" t="s">
        <v>1225</v>
      </c>
      <c r="C124" s="20">
        <f>C122*2</f>
        <v>20</v>
      </c>
      <c r="D124" s="7">
        <v>0</v>
      </c>
      <c r="E124" s="3">
        <f t="shared" si="151"/>
        <v>20</v>
      </c>
      <c r="F124" s="85" t="s">
        <v>867</v>
      </c>
      <c r="G124" s="77">
        <v>6.25</v>
      </c>
      <c r="H124" s="22" t="s">
        <v>0</v>
      </c>
      <c r="I124" s="78">
        <f t="shared" si="152"/>
        <v>1.25</v>
      </c>
      <c r="J124" s="110">
        <f t="shared" si="147"/>
        <v>75</v>
      </c>
      <c r="K124" s="4">
        <v>2.8</v>
      </c>
      <c r="L124" s="22" t="s">
        <v>0</v>
      </c>
      <c r="M124" s="80">
        <f t="shared" si="153"/>
        <v>0.55999999999999994</v>
      </c>
      <c r="N124" s="78">
        <f t="shared" si="154"/>
        <v>41.999999999999993</v>
      </c>
      <c r="O124" s="111">
        <f t="shared" si="155"/>
        <v>43.249999999999993</v>
      </c>
      <c r="P124" s="4">
        <v>3.1</v>
      </c>
      <c r="Q124" s="4">
        <v>3.88</v>
      </c>
      <c r="R124" s="4">
        <v>4.84</v>
      </c>
      <c r="S124" s="167"/>
    </row>
    <row r="125" spans="1:19" s="168" customFormat="1" x14ac:dyDescent="0.25">
      <c r="A125" s="187"/>
      <c r="B125" s="17" t="s">
        <v>4</v>
      </c>
      <c r="C125" s="20">
        <f>C122</f>
        <v>10</v>
      </c>
      <c r="D125" s="7">
        <v>0</v>
      </c>
      <c r="E125" s="3">
        <f t="shared" si="151"/>
        <v>10</v>
      </c>
      <c r="F125" s="85" t="s">
        <v>867</v>
      </c>
      <c r="G125" s="77">
        <v>49.82</v>
      </c>
      <c r="H125" s="22" t="s">
        <v>0</v>
      </c>
      <c r="I125" s="78">
        <f t="shared" si="152"/>
        <v>4.9819999999999993</v>
      </c>
      <c r="J125" s="110">
        <f t="shared" si="147"/>
        <v>75</v>
      </c>
      <c r="K125" s="4">
        <v>2.7</v>
      </c>
      <c r="L125" s="22" t="s">
        <v>0</v>
      </c>
      <c r="M125" s="80">
        <f t="shared" si="153"/>
        <v>0.27</v>
      </c>
      <c r="N125" s="78">
        <f t="shared" si="154"/>
        <v>20.25</v>
      </c>
      <c r="O125" s="111">
        <f t="shared" si="155"/>
        <v>25.231999999999999</v>
      </c>
      <c r="P125" s="4">
        <v>10</v>
      </c>
      <c r="Q125" s="4">
        <v>12.5</v>
      </c>
      <c r="R125" s="4">
        <v>15</v>
      </c>
      <c r="S125" s="167"/>
    </row>
    <row r="126" spans="1:19" s="168" customFormat="1" ht="15.75" thickBot="1" x14ac:dyDescent="0.3">
      <c r="A126" s="187"/>
      <c r="B126" s="211"/>
      <c r="C126" s="155"/>
      <c r="D126" s="157"/>
      <c r="E126" s="158"/>
      <c r="F126" s="185"/>
      <c r="G126" s="147"/>
      <c r="H126" s="155"/>
      <c r="I126" s="162"/>
      <c r="J126" s="163"/>
      <c r="K126" s="164"/>
      <c r="L126" s="155"/>
      <c r="M126" s="165"/>
      <c r="N126" s="162"/>
      <c r="O126" s="166"/>
      <c r="P126" s="164"/>
      <c r="Q126" s="164"/>
      <c r="R126" s="164"/>
      <c r="S126" s="167"/>
    </row>
    <row r="127" spans="1:19" s="168" customFormat="1" ht="15.75" thickBot="1" x14ac:dyDescent="0.3">
      <c r="A127" s="186">
        <v>25</v>
      </c>
      <c r="B127" s="215" t="s">
        <v>1220</v>
      </c>
      <c r="C127" s="176">
        <v>10</v>
      </c>
      <c r="D127" s="157">
        <v>0</v>
      </c>
      <c r="E127" s="158">
        <f t="shared" ref="E127:E130" si="156">C127+(C127*D127)</f>
        <v>10</v>
      </c>
      <c r="F127" s="185" t="s">
        <v>867</v>
      </c>
      <c r="G127" s="147">
        <v>1836.32</v>
      </c>
      <c r="H127" s="155" t="s">
        <v>0</v>
      </c>
      <c r="I127" s="162">
        <f t="shared" ref="I127:I130" si="157">IF(H127="C",(G127/100)*E127,IF(H127="M",(G127/1000)*E127,G127*E127))</f>
        <v>183.63200000000001</v>
      </c>
      <c r="J127" s="163">
        <f t="shared" ref="J127:J130" si="158">$O$4</f>
        <v>75</v>
      </c>
      <c r="K127" s="164">
        <v>20</v>
      </c>
      <c r="L127" s="155" t="s">
        <v>0</v>
      </c>
      <c r="M127" s="165">
        <f t="shared" ref="M127:M130" si="159">IF(L127="C",(K127/100)*E127,IF(L127="M",(K127/1000)*E127,K127*E127))</f>
        <v>2</v>
      </c>
      <c r="N127" s="162">
        <f t="shared" ref="N127:N130" si="160">M127*J127</f>
        <v>150</v>
      </c>
      <c r="O127" s="166">
        <f t="shared" ref="O127:O130" si="161">N127+I127</f>
        <v>333.63200000000001</v>
      </c>
      <c r="P127" s="164">
        <v>30</v>
      </c>
      <c r="Q127" s="164">
        <v>37.5</v>
      </c>
      <c r="R127" s="164">
        <v>45</v>
      </c>
      <c r="S127" s="167"/>
    </row>
    <row r="128" spans="1:19" s="168" customFormat="1" x14ac:dyDescent="0.25">
      <c r="A128" s="187"/>
      <c r="B128" s="200" t="s">
        <v>1224</v>
      </c>
      <c r="C128" s="151">
        <f>C127</f>
        <v>10</v>
      </c>
      <c r="D128" s="152">
        <v>0</v>
      </c>
      <c r="E128" s="153">
        <f t="shared" si="156"/>
        <v>10</v>
      </c>
      <c r="F128" s="3" t="s">
        <v>867</v>
      </c>
      <c r="G128" s="77">
        <v>299.16000000000003</v>
      </c>
      <c r="H128" s="5" t="s">
        <v>0</v>
      </c>
      <c r="I128" s="78">
        <f t="shared" si="157"/>
        <v>29.916</v>
      </c>
      <c r="J128" s="154">
        <f t="shared" si="158"/>
        <v>75</v>
      </c>
      <c r="K128" s="4">
        <v>23</v>
      </c>
      <c r="L128" s="5" t="s">
        <v>0</v>
      </c>
      <c r="M128" s="80">
        <f t="shared" si="159"/>
        <v>2.3000000000000003</v>
      </c>
      <c r="N128" s="78">
        <f t="shared" si="160"/>
        <v>172.50000000000003</v>
      </c>
      <c r="O128" s="111">
        <f t="shared" si="161"/>
        <v>202.41600000000003</v>
      </c>
      <c r="P128" s="4">
        <v>30</v>
      </c>
      <c r="Q128" s="4">
        <v>35</v>
      </c>
      <c r="R128" s="4">
        <v>40</v>
      </c>
      <c r="S128" s="167"/>
    </row>
    <row r="129" spans="1:19" s="168" customFormat="1" x14ac:dyDescent="0.25">
      <c r="A129" s="187"/>
      <c r="B129" s="17" t="s">
        <v>1225</v>
      </c>
      <c r="C129" s="20">
        <f>C127*2</f>
        <v>20</v>
      </c>
      <c r="D129" s="7">
        <v>0</v>
      </c>
      <c r="E129" s="3">
        <f t="shared" si="156"/>
        <v>20</v>
      </c>
      <c r="F129" s="85" t="s">
        <v>867</v>
      </c>
      <c r="G129" s="77">
        <v>6.25</v>
      </c>
      <c r="H129" s="22" t="s">
        <v>0</v>
      </c>
      <c r="I129" s="78">
        <f t="shared" si="157"/>
        <v>1.25</v>
      </c>
      <c r="J129" s="110">
        <f t="shared" si="158"/>
        <v>75</v>
      </c>
      <c r="K129" s="4">
        <v>2.8</v>
      </c>
      <c r="L129" s="22" t="s">
        <v>0</v>
      </c>
      <c r="M129" s="80">
        <f t="shared" si="159"/>
        <v>0.55999999999999994</v>
      </c>
      <c r="N129" s="78">
        <f t="shared" si="160"/>
        <v>41.999999999999993</v>
      </c>
      <c r="O129" s="111">
        <f t="shared" si="161"/>
        <v>43.249999999999993</v>
      </c>
      <c r="P129" s="4">
        <v>3.1</v>
      </c>
      <c r="Q129" s="4">
        <v>3.88</v>
      </c>
      <c r="R129" s="4">
        <v>4.84</v>
      </c>
      <c r="S129" s="167"/>
    </row>
    <row r="130" spans="1:19" s="168" customFormat="1" x14ac:dyDescent="0.25">
      <c r="A130" s="187"/>
      <c r="B130" s="17" t="s">
        <v>4</v>
      </c>
      <c r="C130" s="20">
        <f>C127</f>
        <v>10</v>
      </c>
      <c r="D130" s="7">
        <v>0</v>
      </c>
      <c r="E130" s="3">
        <f t="shared" si="156"/>
        <v>10</v>
      </c>
      <c r="F130" s="85" t="s">
        <v>867</v>
      </c>
      <c r="G130" s="77">
        <v>49.82</v>
      </c>
      <c r="H130" s="22" t="s">
        <v>0</v>
      </c>
      <c r="I130" s="78">
        <f t="shared" si="157"/>
        <v>4.9819999999999993</v>
      </c>
      <c r="J130" s="110">
        <f t="shared" si="158"/>
        <v>75</v>
      </c>
      <c r="K130" s="4">
        <v>2.7</v>
      </c>
      <c r="L130" s="22" t="s">
        <v>0</v>
      </c>
      <c r="M130" s="80">
        <f t="shared" si="159"/>
        <v>0.27</v>
      </c>
      <c r="N130" s="78">
        <f t="shared" si="160"/>
        <v>20.25</v>
      </c>
      <c r="O130" s="111">
        <f t="shared" si="161"/>
        <v>25.231999999999999</v>
      </c>
      <c r="P130" s="4">
        <v>10</v>
      </c>
      <c r="Q130" s="4">
        <v>12.5</v>
      </c>
      <c r="R130" s="4">
        <v>15</v>
      </c>
      <c r="S130" s="167"/>
    </row>
    <row r="131" spans="1:19" s="168" customFormat="1" ht="15.75" thickBot="1" x14ac:dyDescent="0.3">
      <c r="A131" s="186"/>
      <c r="B131" s="211"/>
      <c r="C131" s="176"/>
      <c r="D131" s="157"/>
      <c r="E131" s="158"/>
      <c r="F131" s="185"/>
      <c r="G131" s="147"/>
      <c r="H131" s="155"/>
      <c r="I131" s="162"/>
      <c r="J131" s="163"/>
      <c r="K131" s="164"/>
      <c r="L131" s="155"/>
      <c r="M131" s="165"/>
      <c r="N131" s="162"/>
      <c r="O131" s="166"/>
      <c r="P131" s="164"/>
      <c r="Q131" s="164"/>
      <c r="R131" s="164"/>
      <c r="S131" s="167"/>
    </row>
    <row r="132" spans="1:19" s="168" customFormat="1" ht="15.75" thickBot="1" x14ac:dyDescent="0.3">
      <c r="A132" s="186">
        <v>26</v>
      </c>
      <c r="B132" s="215" t="s">
        <v>1221</v>
      </c>
      <c r="C132" s="176">
        <v>10</v>
      </c>
      <c r="D132" s="157">
        <v>0</v>
      </c>
      <c r="E132" s="158">
        <f t="shared" ref="E132:E135" si="162">C132+(C132*D132)</f>
        <v>10</v>
      </c>
      <c r="F132" s="185" t="s">
        <v>867</v>
      </c>
      <c r="G132" s="147">
        <v>1248.4100000000001</v>
      </c>
      <c r="H132" s="155" t="s">
        <v>0</v>
      </c>
      <c r="I132" s="162">
        <f t="shared" ref="I132:I135" si="163">IF(H132="C",(G132/100)*E132,IF(H132="M",(G132/1000)*E132,G132*E132))</f>
        <v>124.84100000000001</v>
      </c>
      <c r="J132" s="163">
        <f t="shared" ref="J132:J140" si="164">$O$4</f>
        <v>75</v>
      </c>
      <c r="K132" s="164">
        <v>20</v>
      </c>
      <c r="L132" s="155" t="s">
        <v>0</v>
      </c>
      <c r="M132" s="165">
        <f t="shared" ref="M132:M135" si="165">IF(L132="C",(K132/100)*E132,IF(L132="M",(K132/1000)*E132,K132*E132))</f>
        <v>2</v>
      </c>
      <c r="N132" s="162">
        <f t="shared" ref="N132:N135" si="166">M132*J132</f>
        <v>150</v>
      </c>
      <c r="O132" s="166">
        <f t="shared" ref="O132:O135" si="167">N132+I132</f>
        <v>274.84100000000001</v>
      </c>
      <c r="P132" s="164">
        <v>30</v>
      </c>
      <c r="Q132" s="164">
        <v>37.5</v>
      </c>
      <c r="R132" s="164">
        <v>45</v>
      </c>
      <c r="S132" s="167"/>
    </row>
    <row r="133" spans="1:19" s="168" customFormat="1" x14ac:dyDescent="0.25">
      <c r="A133" s="187"/>
      <c r="B133" s="200" t="s">
        <v>1224</v>
      </c>
      <c r="C133" s="151">
        <f>C132</f>
        <v>10</v>
      </c>
      <c r="D133" s="152">
        <v>0</v>
      </c>
      <c r="E133" s="153">
        <f t="shared" si="162"/>
        <v>10</v>
      </c>
      <c r="F133" s="3" t="s">
        <v>867</v>
      </c>
      <c r="G133" s="77">
        <v>299.16000000000003</v>
      </c>
      <c r="H133" s="5" t="s">
        <v>0</v>
      </c>
      <c r="I133" s="78">
        <f t="shared" si="163"/>
        <v>29.916</v>
      </c>
      <c r="J133" s="154">
        <f t="shared" si="164"/>
        <v>75</v>
      </c>
      <c r="K133" s="4">
        <v>23</v>
      </c>
      <c r="L133" s="5" t="s">
        <v>0</v>
      </c>
      <c r="M133" s="80">
        <f t="shared" si="165"/>
        <v>2.3000000000000003</v>
      </c>
      <c r="N133" s="78">
        <f t="shared" si="166"/>
        <v>172.50000000000003</v>
      </c>
      <c r="O133" s="111">
        <f t="shared" si="167"/>
        <v>202.41600000000003</v>
      </c>
      <c r="P133" s="4">
        <v>30</v>
      </c>
      <c r="Q133" s="4">
        <v>35</v>
      </c>
      <c r="R133" s="4">
        <v>40</v>
      </c>
      <c r="S133" s="167"/>
    </row>
    <row r="134" spans="1:19" s="168" customFormat="1" x14ac:dyDescent="0.25">
      <c r="A134" s="187"/>
      <c r="B134" s="17" t="s">
        <v>1225</v>
      </c>
      <c r="C134" s="20">
        <f>C132*2</f>
        <v>20</v>
      </c>
      <c r="D134" s="7">
        <v>0</v>
      </c>
      <c r="E134" s="3">
        <f t="shared" si="162"/>
        <v>20</v>
      </c>
      <c r="F134" s="85" t="s">
        <v>867</v>
      </c>
      <c r="G134" s="77">
        <v>6.25</v>
      </c>
      <c r="H134" s="22" t="s">
        <v>0</v>
      </c>
      <c r="I134" s="78">
        <f t="shared" si="163"/>
        <v>1.25</v>
      </c>
      <c r="J134" s="110">
        <f t="shared" si="164"/>
        <v>75</v>
      </c>
      <c r="K134" s="4">
        <v>2.8</v>
      </c>
      <c r="L134" s="22" t="s">
        <v>0</v>
      </c>
      <c r="M134" s="80">
        <f t="shared" si="165"/>
        <v>0.55999999999999994</v>
      </c>
      <c r="N134" s="78">
        <f t="shared" si="166"/>
        <v>41.999999999999993</v>
      </c>
      <c r="O134" s="111">
        <f t="shared" si="167"/>
        <v>43.249999999999993</v>
      </c>
      <c r="P134" s="4">
        <v>3.1</v>
      </c>
      <c r="Q134" s="4">
        <v>3.88</v>
      </c>
      <c r="R134" s="4">
        <v>4.84</v>
      </c>
      <c r="S134" s="167"/>
    </row>
    <row r="135" spans="1:19" s="168" customFormat="1" x14ac:dyDescent="0.25">
      <c r="A135" s="187"/>
      <c r="B135" s="17" t="s">
        <v>4</v>
      </c>
      <c r="C135" s="20">
        <f>C132</f>
        <v>10</v>
      </c>
      <c r="D135" s="7">
        <v>0</v>
      </c>
      <c r="E135" s="3">
        <f t="shared" si="162"/>
        <v>10</v>
      </c>
      <c r="F135" s="85" t="s">
        <v>867</v>
      </c>
      <c r="G135" s="77">
        <v>49.82</v>
      </c>
      <c r="H135" s="22" t="s">
        <v>0</v>
      </c>
      <c r="I135" s="78">
        <f t="shared" si="163"/>
        <v>4.9819999999999993</v>
      </c>
      <c r="J135" s="110">
        <f t="shared" si="164"/>
        <v>75</v>
      </c>
      <c r="K135" s="4">
        <v>2.7</v>
      </c>
      <c r="L135" s="22" t="s">
        <v>0</v>
      </c>
      <c r="M135" s="80">
        <f t="shared" si="165"/>
        <v>0.27</v>
      </c>
      <c r="N135" s="78">
        <f t="shared" si="166"/>
        <v>20.25</v>
      </c>
      <c r="O135" s="111">
        <f t="shared" si="167"/>
        <v>25.231999999999999</v>
      </c>
      <c r="P135" s="4">
        <v>10</v>
      </c>
      <c r="Q135" s="4">
        <v>12.5</v>
      </c>
      <c r="R135" s="4">
        <v>15</v>
      </c>
      <c r="S135" s="167"/>
    </row>
    <row r="136" spans="1:19" s="168" customFormat="1" ht="15.75" thickBot="1" x14ac:dyDescent="0.3">
      <c r="A136" s="187"/>
      <c r="B136" s="211"/>
      <c r="C136" s="155"/>
      <c r="D136" s="157"/>
      <c r="E136" s="158"/>
      <c r="F136" s="158"/>
      <c r="G136" s="147" t="s">
        <v>1202</v>
      </c>
      <c r="H136" s="155"/>
      <c r="I136" s="162"/>
      <c r="J136" s="164"/>
      <c r="K136" s="164"/>
      <c r="L136" s="155"/>
      <c r="M136" s="165"/>
      <c r="N136" s="162"/>
      <c r="O136" s="166"/>
      <c r="P136" s="164"/>
      <c r="Q136" s="164"/>
      <c r="R136" s="164"/>
      <c r="S136" s="167"/>
    </row>
    <row r="137" spans="1:19" s="168" customFormat="1" ht="15.75" thickBot="1" x14ac:dyDescent="0.3">
      <c r="A137" s="186">
        <v>27</v>
      </c>
      <c r="B137" s="215" t="s">
        <v>1222</v>
      </c>
      <c r="C137" s="176">
        <v>10</v>
      </c>
      <c r="D137" s="157">
        <v>0</v>
      </c>
      <c r="E137" s="158">
        <f t="shared" ref="E137:E140" si="168">C137+(C137*D137)</f>
        <v>10</v>
      </c>
      <c r="F137" s="185" t="s">
        <v>867</v>
      </c>
      <c r="G137" s="147">
        <v>1854.68</v>
      </c>
      <c r="H137" s="155" t="s">
        <v>0</v>
      </c>
      <c r="I137" s="162">
        <f t="shared" ref="I137:I140" si="169">IF(H137="C",(G137/100)*E137,IF(H137="M",(G137/1000)*E137,G137*E137))</f>
        <v>185.46800000000002</v>
      </c>
      <c r="J137" s="163">
        <f t="shared" si="164"/>
        <v>75</v>
      </c>
      <c r="K137" s="164">
        <v>20</v>
      </c>
      <c r="L137" s="155" t="s">
        <v>0</v>
      </c>
      <c r="M137" s="165">
        <f t="shared" ref="M137:M140" si="170">IF(L137="C",(K137/100)*E137,IF(L137="M",(K137/1000)*E137,K137*E137))</f>
        <v>2</v>
      </c>
      <c r="N137" s="162">
        <f t="shared" ref="N137:N140" si="171">M137*J137</f>
        <v>150</v>
      </c>
      <c r="O137" s="166">
        <f t="shared" ref="O137:O140" si="172">N137+I137</f>
        <v>335.46800000000002</v>
      </c>
      <c r="P137" s="164">
        <v>30</v>
      </c>
      <c r="Q137" s="164">
        <v>37.5</v>
      </c>
      <c r="R137" s="164">
        <v>45</v>
      </c>
      <c r="S137" s="167"/>
    </row>
    <row r="138" spans="1:19" s="168" customFormat="1" x14ac:dyDescent="0.25">
      <c r="A138" s="187"/>
      <c r="B138" s="200" t="s">
        <v>1224</v>
      </c>
      <c r="C138" s="151">
        <f>C137</f>
        <v>10</v>
      </c>
      <c r="D138" s="152">
        <v>0</v>
      </c>
      <c r="E138" s="153">
        <f t="shared" si="168"/>
        <v>10</v>
      </c>
      <c r="F138" s="3" t="s">
        <v>867</v>
      </c>
      <c r="G138" s="77">
        <v>299.16000000000003</v>
      </c>
      <c r="H138" s="5" t="s">
        <v>0</v>
      </c>
      <c r="I138" s="78">
        <f t="shared" si="169"/>
        <v>29.916</v>
      </c>
      <c r="J138" s="154">
        <f t="shared" si="164"/>
        <v>75</v>
      </c>
      <c r="K138" s="4">
        <v>23</v>
      </c>
      <c r="L138" s="5" t="s">
        <v>0</v>
      </c>
      <c r="M138" s="80">
        <f t="shared" si="170"/>
        <v>2.3000000000000003</v>
      </c>
      <c r="N138" s="78">
        <f t="shared" si="171"/>
        <v>172.50000000000003</v>
      </c>
      <c r="O138" s="111">
        <f t="shared" si="172"/>
        <v>202.41600000000003</v>
      </c>
      <c r="P138" s="4">
        <v>30</v>
      </c>
      <c r="Q138" s="4">
        <v>35</v>
      </c>
      <c r="R138" s="4">
        <v>40</v>
      </c>
      <c r="S138" s="167"/>
    </row>
    <row r="139" spans="1:19" s="168" customFormat="1" x14ac:dyDescent="0.25">
      <c r="A139" s="187"/>
      <c r="B139" s="17" t="s">
        <v>1225</v>
      </c>
      <c r="C139" s="20">
        <f>C137*2</f>
        <v>20</v>
      </c>
      <c r="D139" s="7">
        <v>0</v>
      </c>
      <c r="E139" s="3">
        <f t="shared" si="168"/>
        <v>20</v>
      </c>
      <c r="F139" s="85" t="s">
        <v>867</v>
      </c>
      <c r="G139" s="77">
        <v>6.25</v>
      </c>
      <c r="H139" s="22" t="s">
        <v>0</v>
      </c>
      <c r="I139" s="78">
        <f t="shared" si="169"/>
        <v>1.25</v>
      </c>
      <c r="J139" s="110">
        <f t="shared" si="164"/>
        <v>75</v>
      </c>
      <c r="K139" s="4">
        <v>2.8</v>
      </c>
      <c r="L139" s="22" t="s">
        <v>0</v>
      </c>
      <c r="M139" s="80">
        <f t="shared" si="170"/>
        <v>0.55999999999999994</v>
      </c>
      <c r="N139" s="78">
        <f t="shared" si="171"/>
        <v>41.999999999999993</v>
      </c>
      <c r="O139" s="111">
        <f t="shared" si="172"/>
        <v>43.249999999999993</v>
      </c>
      <c r="P139" s="4">
        <v>3.1</v>
      </c>
      <c r="Q139" s="4">
        <v>3.88</v>
      </c>
      <c r="R139" s="4">
        <v>4.84</v>
      </c>
      <c r="S139" s="167"/>
    </row>
    <row r="140" spans="1:19" s="168" customFormat="1" x14ac:dyDescent="0.25">
      <c r="A140" s="187"/>
      <c r="B140" s="17" t="s">
        <v>4</v>
      </c>
      <c r="C140" s="20">
        <f>C137</f>
        <v>10</v>
      </c>
      <c r="D140" s="7">
        <v>0</v>
      </c>
      <c r="E140" s="3">
        <f t="shared" si="168"/>
        <v>10</v>
      </c>
      <c r="F140" s="85" t="s">
        <v>867</v>
      </c>
      <c r="G140" s="77">
        <v>49.82</v>
      </c>
      <c r="H140" s="22" t="s">
        <v>0</v>
      </c>
      <c r="I140" s="78">
        <f t="shared" si="169"/>
        <v>4.9819999999999993</v>
      </c>
      <c r="J140" s="110">
        <f t="shared" si="164"/>
        <v>75</v>
      </c>
      <c r="K140" s="4">
        <v>2.7</v>
      </c>
      <c r="L140" s="22" t="s">
        <v>0</v>
      </c>
      <c r="M140" s="80">
        <f t="shared" si="170"/>
        <v>0.27</v>
      </c>
      <c r="N140" s="78">
        <f t="shared" si="171"/>
        <v>20.25</v>
      </c>
      <c r="O140" s="111">
        <f t="shared" si="172"/>
        <v>25.231999999999999</v>
      </c>
      <c r="P140" s="4">
        <v>10</v>
      </c>
      <c r="Q140" s="4">
        <v>12.5</v>
      </c>
      <c r="R140" s="4">
        <v>15</v>
      </c>
      <c r="S140" s="167"/>
    </row>
    <row r="141" spans="1:19" s="168" customFormat="1" ht="15.75" thickBot="1" x14ac:dyDescent="0.3">
      <c r="A141" s="187"/>
      <c r="B141" s="179"/>
      <c r="C141" s="155"/>
      <c r="D141" s="157"/>
      <c r="E141" s="158"/>
      <c r="F141" s="158"/>
      <c r="G141" s="147" t="s">
        <v>1202</v>
      </c>
      <c r="H141" s="155"/>
      <c r="I141" s="162"/>
      <c r="J141" s="164"/>
      <c r="K141" s="164"/>
      <c r="L141" s="155"/>
      <c r="M141" s="165"/>
      <c r="N141" s="162"/>
      <c r="O141" s="166"/>
      <c r="P141" s="164"/>
      <c r="Q141" s="164"/>
      <c r="R141" s="164"/>
      <c r="S141" s="167"/>
    </row>
    <row r="142" spans="1:19" ht="15" customHeight="1" thickBot="1" x14ac:dyDescent="0.3">
      <c r="A142" s="38"/>
      <c r="B142" s="120" t="s">
        <v>1223</v>
      </c>
      <c r="C142" s="23"/>
      <c r="D142" s="7"/>
      <c r="E142" s="3"/>
      <c r="F142" s="3"/>
      <c r="G142" s="77" t="s">
        <v>1202</v>
      </c>
      <c r="H142" s="25"/>
      <c r="I142" s="78"/>
      <c r="J142" s="4"/>
      <c r="K142" s="4"/>
      <c r="L142" s="5"/>
      <c r="M142" s="80"/>
      <c r="N142" s="78"/>
      <c r="O142" s="111"/>
      <c r="P142" s="4"/>
      <c r="Q142" s="4"/>
      <c r="R142" s="4"/>
      <c r="S142" s="49"/>
    </row>
    <row r="143" spans="1:19" ht="15.75" thickBot="1" x14ac:dyDescent="0.3">
      <c r="A143" s="37"/>
      <c r="B143" s="211"/>
      <c r="C143" s="5"/>
      <c r="D143" s="7"/>
      <c r="E143" s="3"/>
      <c r="F143" s="3"/>
      <c r="G143" s="77" t="s">
        <v>1202</v>
      </c>
      <c r="H143" s="25"/>
      <c r="I143" s="78"/>
      <c r="J143" s="4"/>
      <c r="K143" s="4"/>
      <c r="L143" s="5"/>
      <c r="M143" s="80"/>
      <c r="N143" s="78"/>
      <c r="O143" s="111"/>
      <c r="P143" s="4"/>
      <c r="Q143" s="4"/>
      <c r="R143" s="4"/>
      <c r="S143" s="49"/>
    </row>
    <row r="144" spans="1:19" ht="15.75" thickBot="1" x14ac:dyDescent="0.3">
      <c r="A144" s="204">
        <v>1</v>
      </c>
      <c r="B144" s="215" t="s">
        <v>7</v>
      </c>
      <c r="C144" s="197">
        <v>1</v>
      </c>
      <c r="D144" s="7">
        <v>0</v>
      </c>
      <c r="E144" s="3">
        <f t="shared" si="97"/>
        <v>1</v>
      </c>
      <c r="F144" s="85" t="s">
        <v>867</v>
      </c>
      <c r="G144" s="77">
        <v>1521.63</v>
      </c>
      <c r="H144" s="25" t="s">
        <v>0</v>
      </c>
      <c r="I144" s="78">
        <f t="shared" si="122"/>
        <v>15.2163</v>
      </c>
      <c r="J144" s="110">
        <f t="shared" ref="J144:J147" si="173">$O$4</f>
        <v>75</v>
      </c>
      <c r="K144" s="4">
        <v>25</v>
      </c>
      <c r="L144" s="5" t="s">
        <v>0</v>
      </c>
      <c r="M144" s="80">
        <f t="shared" si="98"/>
        <v>0.25</v>
      </c>
      <c r="N144" s="78">
        <f t="shared" si="99"/>
        <v>18.75</v>
      </c>
      <c r="O144" s="111">
        <f t="shared" si="100"/>
        <v>33.966300000000004</v>
      </c>
      <c r="P144" s="164">
        <v>35</v>
      </c>
      <c r="Q144" s="164">
        <v>40</v>
      </c>
      <c r="R144" s="164">
        <v>45</v>
      </c>
      <c r="S144" s="49">
        <v>137496</v>
      </c>
    </row>
    <row r="145" spans="1:19" x14ac:dyDescent="0.25">
      <c r="A145" s="37"/>
      <c r="B145" s="200" t="s">
        <v>1224</v>
      </c>
      <c r="C145" s="151">
        <f>C144</f>
        <v>1</v>
      </c>
      <c r="D145" s="152">
        <v>0</v>
      </c>
      <c r="E145" s="153">
        <f t="shared" si="97"/>
        <v>1</v>
      </c>
      <c r="F145" s="3" t="s">
        <v>867</v>
      </c>
      <c r="G145" s="77">
        <v>299.16000000000003</v>
      </c>
      <c r="H145" s="5" t="s">
        <v>0</v>
      </c>
      <c r="I145" s="78">
        <f t="shared" si="122"/>
        <v>2.9916</v>
      </c>
      <c r="J145" s="154">
        <f t="shared" si="173"/>
        <v>75</v>
      </c>
      <c r="K145" s="4">
        <v>23</v>
      </c>
      <c r="L145" s="5" t="s">
        <v>0</v>
      </c>
      <c r="M145" s="80">
        <f t="shared" si="98"/>
        <v>0.23</v>
      </c>
      <c r="N145" s="78">
        <f t="shared" si="99"/>
        <v>17.25</v>
      </c>
      <c r="O145" s="111">
        <f t="shared" si="100"/>
        <v>20.241599999999998</v>
      </c>
      <c r="P145" s="4">
        <v>30</v>
      </c>
      <c r="Q145" s="4">
        <v>35</v>
      </c>
      <c r="R145" s="4">
        <v>40</v>
      </c>
      <c r="S145" s="49">
        <v>124314</v>
      </c>
    </row>
    <row r="146" spans="1:19" x14ac:dyDescent="0.25">
      <c r="A146" s="37"/>
      <c r="B146" s="17" t="s">
        <v>1225</v>
      </c>
      <c r="C146" s="20">
        <f>C144*2</f>
        <v>2</v>
      </c>
      <c r="D146" s="7">
        <v>0</v>
      </c>
      <c r="E146" s="3">
        <f t="shared" si="97"/>
        <v>2</v>
      </c>
      <c r="F146" s="85" t="s">
        <v>867</v>
      </c>
      <c r="G146" s="77">
        <v>6.25</v>
      </c>
      <c r="H146" s="22" t="s">
        <v>0</v>
      </c>
      <c r="I146" s="78">
        <f t="shared" si="122"/>
        <v>0.125</v>
      </c>
      <c r="J146" s="110">
        <f t="shared" si="173"/>
        <v>75</v>
      </c>
      <c r="K146" s="4">
        <v>2.8</v>
      </c>
      <c r="L146" s="22" t="s">
        <v>0</v>
      </c>
      <c r="M146" s="80">
        <f t="shared" si="98"/>
        <v>5.5999999999999994E-2</v>
      </c>
      <c r="N146" s="78">
        <f t="shared" si="99"/>
        <v>4.1999999999999993</v>
      </c>
      <c r="O146" s="111">
        <f t="shared" si="100"/>
        <v>4.3249999999999993</v>
      </c>
      <c r="P146" s="4">
        <v>3.1</v>
      </c>
      <c r="Q146" s="4">
        <v>3.88</v>
      </c>
      <c r="R146" s="4">
        <v>4.84</v>
      </c>
      <c r="S146" s="49">
        <v>124389</v>
      </c>
    </row>
    <row r="147" spans="1:19" x14ac:dyDescent="0.25">
      <c r="A147" s="37"/>
      <c r="B147" s="24" t="s">
        <v>15</v>
      </c>
      <c r="C147" s="5">
        <f>C144</f>
        <v>1</v>
      </c>
      <c r="D147" s="7">
        <v>0</v>
      </c>
      <c r="E147" s="3">
        <f t="shared" ref="E147" si="174">C147+(C147*D147)</f>
        <v>1</v>
      </c>
      <c r="F147" s="85" t="s">
        <v>867</v>
      </c>
      <c r="G147" s="77">
        <v>850</v>
      </c>
      <c r="H147" s="25" t="s">
        <v>0</v>
      </c>
      <c r="I147" s="78">
        <f t="shared" ref="I147" si="175">IF(H147="C",(G147/100)*E147,IF(H147="M",(G147/1000)*E147,G147*E147))</f>
        <v>8.5</v>
      </c>
      <c r="J147" s="110">
        <f t="shared" si="173"/>
        <v>75</v>
      </c>
      <c r="K147" s="4">
        <v>6</v>
      </c>
      <c r="L147" s="5" t="s">
        <v>0</v>
      </c>
      <c r="M147" s="80">
        <f t="shared" ref="M147" si="176">IF(L147="C",(K147/100)*E147,IF(L147="M",(K147/1000)*E147,K147*E147))</f>
        <v>0.06</v>
      </c>
      <c r="N147" s="78">
        <f t="shared" ref="N147" si="177">M147*J147</f>
        <v>4.5</v>
      </c>
      <c r="O147" s="111">
        <f t="shared" ref="O147" si="178">N147+I147</f>
        <v>13</v>
      </c>
      <c r="P147" s="4">
        <v>10</v>
      </c>
      <c r="Q147" s="4">
        <v>15</v>
      </c>
      <c r="R147" s="4">
        <v>20</v>
      </c>
      <c r="S147" s="49">
        <v>124746</v>
      </c>
    </row>
    <row r="148" spans="1:19" x14ac:dyDescent="0.25">
      <c r="A148" s="37"/>
      <c r="B148" s="24"/>
      <c r="C148" s="5"/>
      <c r="D148" s="7"/>
      <c r="E148" s="3"/>
      <c r="F148" s="3"/>
      <c r="G148" s="77" t="s">
        <v>1202</v>
      </c>
      <c r="H148" s="25"/>
      <c r="I148" s="78"/>
      <c r="J148" s="4"/>
      <c r="K148" s="4"/>
      <c r="L148" s="5"/>
      <c r="M148" s="80"/>
      <c r="N148" s="78"/>
      <c r="O148" s="111"/>
      <c r="P148" s="4"/>
      <c r="Q148" s="4"/>
      <c r="R148" s="4"/>
      <c r="S148" s="49"/>
    </row>
  </sheetData>
  <mergeCells count="1">
    <mergeCell ref="M4:N4"/>
  </mergeCells>
  <pageMargins left="0.7" right="0.7" top="0.75" bottom="0.75" header="0.3" footer="0.3"/>
  <pageSetup paperSize="9" scale="45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169"/>
  <sheetViews>
    <sheetView view="pageBreakPreview" topLeftCell="A36" zoomScale="90" zoomScaleNormal="90" zoomScaleSheetLayoutView="90" workbookViewId="0">
      <selection activeCell="A51" sqref="A51:XFD55"/>
    </sheetView>
  </sheetViews>
  <sheetFormatPr defaultColWidth="9.140625" defaultRowHeight="15" x14ac:dyDescent="0.25"/>
  <cols>
    <col min="1" max="1" width="4.42578125" style="2" bestFit="1" customWidth="1"/>
    <col min="2" max="2" width="45.42578125" style="1" customWidth="1"/>
    <col min="3" max="3" width="10.7109375" style="2" customWidth="1"/>
    <col min="4" max="5" width="9.85546875" style="1" bestFit="1" customWidth="1"/>
    <col min="6" max="6" width="5.85546875" style="1" bestFit="1" customWidth="1"/>
    <col min="7" max="7" width="11.85546875" style="10" bestFit="1" customWidth="1"/>
    <col min="8" max="8" width="5.85546875" style="2" customWidth="1"/>
    <col min="9" max="9" width="10.5703125" style="1" bestFit="1" customWidth="1"/>
    <col min="10" max="10" width="7.42578125" style="1" bestFit="1" customWidth="1"/>
    <col min="11" max="11" width="8.7109375" style="46" bestFit="1" customWidth="1"/>
    <col min="12" max="12" width="5.85546875" style="1" bestFit="1" customWidth="1"/>
    <col min="13" max="13" width="7.28515625" style="1" bestFit="1" customWidth="1"/>
    <col min="14" max="14" width="7.42578125" style="2" bestFit="1" customWidth="1"/>
    <col min="15" max="15" width="8.42578125" style="1" bestFit="1" customWidth="1"/>
    <col min="16" max="18" width="7.85546875" style="1" bestFit="1" customWidth="1"/>
    <col min="19" max="19" width="11.28515625" style="1" bestFit="1" customWidth="1"/>
    <col min="20" max="16384" width="9.140625" style="1"/>
  </cols>
  <sheetData>
    <row r="1" spans="1:19" x14ac:dyDescent="0.25">
      <c r="I1" s="43"/>
      <c r="K1" s="1"/>
      <c r="L1" s="2"/>
      <c r="N1" s="43"/>
      <c r="O1" s="43"/>
    </row>
    <row r="2" spans="1:19" x14ac:dyDescent="0.25">
      <c r="I2" s="43"/>
      <c r="K2" s="1"/>
      <c r="L2" s="2"/>
      <c r="N2" s="43"/>
      <c r="O2" s="43"/>
    </row>
    <row r="3" spans="1:19" ht="15.75" thickBot="1" x14ac:dyDescent="0.3">
      <c r="I3" s="43"/>
      <c r="K3" s="1"/>
      <c r="L3" s="2"/>
      <c r="N3" s="43"/>
      <c r="O3" s="43"/>
    </row>
    <row r="4" spans="1:19" ht="16.5" thickBot="1" x14ac:dyDescent="0.3">
      <c r="I4" s="43"/>
      <c r="K4" s="1"/>
      <c r="L4" s="2"/>
      <c r="M4" s="253" t="s">
        <v>1199</v>
      </c>
      <c r="N4" s="254"/>
      <c r="O4" s="108">
        <v>75</v>
      </c>
    </row>
    <row r="5" spans="1:19" ht="44.25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870</v>
      </c>
      <c r="L5" s="82" t="s">
        <v>284</v>
      </c>
      <c r="M5" s="81" t="s">
        <v>286</v>
      </c>
      <c r="N5" s="83" t="s">
        <v>871</v>
      </c>
      <c r="O5" s="84" t="s">
        <v>872</v>
      </c>
      <c r="P5" s="90" t="s">
        <v>1144</v>
      </c>
      <c r="Q5" s="83" t="s">
        <v>1145</v>
      </c>
      <c r="R5" s="87" t="s">
        <v>1146</v>
      </c>
      <c r="S5" s="109" t="s">
        <v>1200</v>
      </c>
    </row>
    <row r="6" spans="1:19" ht="15.75" thickBot="1" x14ac:dyDescent="0.3">
      <c r="A6" s="53"/>
      <c r="B6" s="54"/>
      <c r="C6" s="55"/>
      <c r="D6" s="55"/>
      <c r="E6" s="55"/>
      <c r="F6" s="55"/>
      <c r="G6" s="56"/>
      <c r="H6" s="56"/>
      <c r="I6" s="56"/>
      <c r="J6" s="56"/>
      <c r="K6" s="57"/>
      <c r="L6" s="55"/>
      <c r="M6" s="57"/>
      <c r="N6" s="56"/>
      <c r="O6" s="111"/>
      <c r="P6" s="133"/>
      <c r="Q6" s="121"/>
      <c r="R6" s="49"/>
      <c r="S6" s="105"/>
    </row>
    <row r="7" spans="1:19" ht="14.45" customHeight="1" thickBot="1" x14ac:dyDescent="0.3">
      <c r="A7" s="31"/>
      <c r="B7" s="120" t="s">
        <v>152</v>
      </c>
      <c r="C7" s="48"/>
      <c r="D7" s="23"/>
      <c r="E7" s="4"/>
      <c r="F7" s="4"/>
      <c r="G7" s="9"/>
      <c r="H7" s="5"/>
      <c r="I7" s="4"/>
      <c r="J7" s="4"/>
      <c r="K7" s="15"/>
      <c r="L7" s="4"/>
      <c r="M7" s="4"/>
      <c r="N7" s="5"/>
      <c r="O7" s="111"/>
      <c r="P7" s="125"/>
      <c r="Q7" s="4"/>
      <c r="R7" s="49"/>
      <c r="S7" s="138"/>
    </row>
    <row r="8" spans="1:19" ht="15.75" thickBot="1" x14ac:dyDescent="0.3">
      <c r="A8" s="50"/>
      <c r="B8" s="198"/>
      <c r="C8" s="23"/>
      <c r="D8" s="23"/>
      <c r="E8" s="4"/>
      <c r="F8" s="4"/>
      <c r="G8" s="9"/>
      <c r="H8" s="5"/>
      <c r="I8" s="4"/>
      <c r="J8" s="4"/>
      <c r="K8" s="15"/>
      <c r="L8" s="4"/>
      <c r="M8" s="4"/>
      <c r="N8" s="5"/>
      <c r="O8" s="111"/>
      <c r="P8" s="125"/>
      <c r="Q8" s="4"/>
      <c r="R8" s="49"/>
      <c r="S8" s="138"/>
    </row>
    <row r="9" spans="1:19" ht="14.45" customHeight="1" thickBot="1" x14ac:dyDescent="0.3">
      <c r="A9" s="196">
        <v>1</v>
      </c>
      <c r="B9" s="201" t="s">
        <v>861</v>
      </c>
      <c r="C9" s="197"/>
      <c r="D9" s="4"/>
      <c r="E9" s="4"/>
      <c r="F9" s="4"/>
      <c r="G9" s="77" t="s">
        <v>1202</v>
      </c>
      <c r="H9" s="5"/>
      <c r="I9" s="4"/>
      <c r="J9" s="4"/>
      <c r="K9" s="15"/>
      <c r="L9" s="4"/>
      <c r="M9" s="4"/>
      <c r="N9" s="5"/>
      <c r="O9" s="111"/>
      <c r="P9" s="125"/>
      <c r="Q9" s="4"/>
      <c r="R9" s="49"/>
      <c r="S9" s="138"/>
    </row>
    <row r="10" spans="1:19" x14ac:dyDescent="0.25">
      <c r="A10" s="31"/>
      <c r="B10" s="200" t="s">
        <v>18</v>
      </c>
      <c r="C10" s="5">
        <v>1</v>
      </c>
      <c r="D10" s="7">
        <v>0</v>
      </c>
      <c r="E10" s="3">
        <f t="shared" ref="E10:E15" si="0">C10+(C10*D10)</f>
        <v>1</v>
      </c>
      <c r="F10" s="85" t="s">
        <v>867</v>
      </c>
      <c r="G10" s="77">
        <v>531</v>
      </c>
      <c r="H10" s="5" t="s">
        <v>0</v>
      </c>
      <c r="I10" s="78">
        <f t="shared" ref="I10:I15" si="1">IF(H10="C",(G10/100)*E10,IF(H10="M",(G10/1000)*E10,G10*E10))</f>
        <v>5.31</v>
      </c>
      <c r="J10" s="110">
        <f>$O$4</f>
        <v>75</v>
      </c>
      <c r="K10" s="4">
        <v>14</v>
      </c>
      <c r="L10" s="5" t="s">
        <v>0</v>
      </c>
      <c r="M10" s="80">
        <f>IF(L10="C",(K10/100)*E10,IF(L10="M",(K10/1000)*E10,K10*E10))</f>
        <v>0.14000000000000001</v>
      </c>
      <c r="N10" s="78">
        <f>M10*J10</f>
        <v>10.500000000000002</v>
      </c>
      <c r="O10" s="111">
        <f>N10+I10</f>
        <v>15.810000000000002</v>
      </c>
      <c r="P10" s="125">
        <v>20</v>
      </c>
      <c r="Q10" s="4">
        <v>25</v>
      </c>
      <c r="R10" s="49">
        <v>30</v>
      </c>
      <c r="S10" s="138">
        <v>136860</v>
      </c>
    </row>
    <row r="11" spans="1:19" x14ac:dyDescent="0.25">
      <c r="A11" s="31"/>
      <c r="B11" s="8" t="s">
        <v>860</v>
      </c>
      <c r="C11" s="5">
        <f>C10</f>
        <v>1</v>
      </c>
      <c r="D11" s="7">
        <v>0</v>
      </c>
      <c r="E11" s="3">
        <f t="shared" si="0"/>
        <v>1</v>
      </c>
      <c r="F11" s="85" t="s">
        <v>867</v>
      </c>
      <c r="G11" s="77">
        <v>404.23</v>
      </c>
      <c r="H11" s="5" t="s">
        <v>0</v>
      </c>
      <c r="I11" s="78">
        <f t="shared" si="1"/>
        <v>4.0423</v>
      </c>
      <c r="J11" s="110">
        <f t="shared" ref="J11:J15" si="2">$O$4</f>
        <v>75</v>
      </c>
      <c r="K11" s="4">
        <v>23</v>
      </c>
      <c r="L11" s="5" t="s">
        <v>0</v>
      </c>
      <c r="M11" s="80">
        <f t="shared" ref="M11:M15" si="3">IF(L11="C",(K11/100)*E11,IF(L11="M",(K11/1000)*E11,K11*E11))</f>
        <v>0.23</v>
      </c>
      <c r="N11" s="78">
        <f t="shared" ref="N11:N15" si="4">M11*J11</f>
        <v>17.25</v>
      </c>
      <c r="O11" s="111">
        <f t="shared" ref="O11:O15" si="5">N11+I11</f>
        <v>21.292300000000001</v>
      </c>
      <c r="P11" s="125">
        <v>30</v>
      </c>
      <c r="Q11" s="4">
        <v>35</v>
      </c>
      <c r="R11" s="49">
        <v>40</v>
      </c>
      <c r="S11" s="138">
        <v>124314</v>
      </c>
    </row>
    <row r="12" spans="1:19" x14ac:dyDescent="0.25">
      <c r="A12" s="31"/>
      <c r="B12" s="8" t="s">
        <v>2</v>
      </c>
      <c r="C12" s="5">
        <f>C10</f>
        <v>1</v>
      </c>
      <c r="D12" s="7">
        <v>0</v>
      </c>
      <c r="E12" s="3">
        <f t="shared" si="0"/>
        <v>1</v>
      </c>
      <c r="F12" s="85" t="s">
        <v>867</v>
      </c>
      <c r="G12" s="77">
        <v>258.01</v>
      </c>
      <c r="H12" s="5" t="s">
        <v>0</v>
      </c>
      <c r="I12" s="78">
        <f t="shared" si="1"/>
        <v>2.5800999999999998</v>
      </c>
      <c r="J12" s="110">
        <f t="shared" si="2"/>
        <v>75</v>
      </c>
      <c r="K12" s="4">
        <v>2.5</v>
      </c>
      <c r="L12" s="5" t="s">
        <v>0</v>
      </c>
      <c r="M12" s="80">
        <f t="shared" si="3"/>
        <v>2.5000000000000001E-2</v>
      </c>
      <c r="N12" s="78">
        <f t="shared" si="4"/>
        <v>1.875</v>
      </c>
      <c r="O12" s="111">
        <f t="shared" si="5"/>
        <v>4.4550999999999998</v>
      </c>
      <c r="P12" s="125">
        <v>15</v>
      </c>
      <c r="Q12" s="4">
        <v>20</v>
      </c>
      <c r="R12" s="49">
        <v>25</v>
      </c>
      <c r="S12" s="138">
        <v>124389</v>
      </c>
    </row>
    <row r="13" spans="1:19" x14ac:dyDescent="0.25">
      <c r="A13" s="31"/>
      <c r="B13" s="8" t="s">
        <v>3</v>
      </c>
      <c r="C13" s="5">
        <f>C10</f>
        <v>1</v>
      </c>
      <c r="D13" s="7">
        <v>0</v>
      </c>
      <c r="E13" s="3">
        <f t="shared" si="0"/>
        <v>1</v>
      </c>
      <c r="F13" s="85" t="s">
        <v>867</v>
      </c>
      <c r="G13" s="77">
        <v>138.57</v>
      </c>
      <c r="H13" s="5" t="s">
        <v>0</v>
      </c>
      <c r="I13" s="78">
        <f t="shared" si="1"/>
        <v>1.3856999999999999</v>
      </c>
      <c r="J13" s="110">
        <f t="shared" si="2"/>
        <v>75</v>
      </c>
      <c r="K13" s="4">
        <v>3</v>
      </c>
      <c r="L13" s="5" t="s">
        <v>0</v>
      </c>
      <c r="M13" s="80">
        <f t="shared" si="3"/>
        <v>0.03</v>
      </c>
      <c r="N13" s="78">
        <f t="shared" si="4"/>
        <v>2.25</v>
      </c>
      <c r="O13" s="111">
        <f t="shared" si="5"/>
        <v>3.6356999999999999</v>
      </c>
      <c r="P13" s="125">
        <v>6</v>
      </c>
      <c r="Q13" s="4">
        <v>8</v>
      </c>
      <c r="R13" s="49">
        <v>10</v>
      </c>
      <c r="S13" s="138">
        <v>124746</v>
      </c>
    </row>
    <row r="14" spans="1:19" x14ac:dyDescent="0.25">
      <c r="A14" s="31"/>
      <c r="B14" s="8" t="s">
        <v>16</v>
      </c>
      <c r="C14" s="5">
        <f>2*C10</f>
        <v>2</v>
      </c>
      <c r="D14" s="7">
        <v>0</v>
      </c>
      <c r="E14" s="3">
        <f t="shared" si="0"/>
        <v>2</v>
      </c>
      <c r="F14" s="85" t="s">
        <v>867</v>
      </c>
      <c r="G14" s="77">
        <v>13.02</v>
      </c>
      <c r="H14" s="5" t="s">
        <v>0</v>
      </c>
      <c r="I14" s="78">
        <f t="shared" si="1"/>
        <v>0.26039999999999996</v>
      </c>
      <c r="J14" s="110">
        <f t="shared" si="2"/>
        <v>75</v>
      </c>
      <c r="K14" s="4">
        <v>2.6</v>
      </c>
      <c r="L14" s="5" t="s">
        <v>0</v>
      </c>
      <c r="M14" s="80">
        <f t="shared" si="3"/>
        <v>5.2000000000000005E-2</v>
      </c>
      <c r="N14" s="78">
        <f t="shared" si="4"/>
        <v>3.9000000000000004</v>
      </c>
      <c r="O14" s="111">
        <f t="shared" si="5"/>
        <v>4.1604000000000001</v>
      </c>
      <c r="P14" s="125">
        <v>3.1</v>
      </c>
      <c r="Q14" s="4">
        <v>3.88</v>
      </c>
      <c r="R14" s="49">
        <v>4.84</v>
      </c>
      <c r="S14" s="138">
        <v>140166</v>
      </c>
    </row>
    <row r="15" spans="1:19" x14ac:dyDescent="0.25">
      <c r="A15" s="31"/>
      <c r="B15" s="8" t="s">
        <v>17</v>
      </c>
      <c r="C15" s="5">
        <f>C10</f>
        <v>1</v>
      </c>
      <c r="D15" s="7">
        <v>0</v>
      </c>
      <c r="E15" s="3">
        <f t="shared" si="0"/>
        <v>1</v>
      </c>
      <c r="F15" s="85" t="s">
        <v>867</v>
      </c>
      <c r="G15" s="77">
        <v>52.48</v>
      </c>
      <c r="H15" s="5" t="s">
        <v>0</v>
      </c>
      <c r="I15" s="78">
        <f t="shared" si="1"/>
        <v>0.52479999999999993</v>
      </c>
      <c r="J15" s="110">
        <f t="shared" si="2"/>
        <v>75</v>
      </c>
      <c r="K15" s="4">
        <v>3</v>
      </c>
      <c r="L15" s="5" t="s">
        <v>0</v>
      </c>
      <c r="M15" s="80">
        <f t="shared" si="3"/>
        <v>0.03</v>
      </c>
      <c r="N15" s="78">
        <f t="shared" si="4"/>
        <v>2.25</v>
      </c>
      <c r="O15" s="111">
        <f t="shared" si="5"/>
        <v>2.7747999999999999</v>
      </c>
      <c r="P15" s="125">
        <v>10</v>
      </c>
      <c r="Q15" s="4">
        <v>12.5</v>
      </c>
      <c r="R15" s="49">
        <v>15</v>
      </c>
      <c r="S15" s="138">
        <v>138414</v>
      </c>
    </row>
    <row r="16" spans="1:19" ht="15.75" thickBot="1" x14ac:dyDescent="0.3">
      <c r="A16" s="31"/>
      <c r="B16" s="199"/>
      <c r="C16" s="5"/>
      <c r="D16" s="7"/>
      <c r="E16" s="3"/>
      <c r="F16" s="3"/>
      <c r="G16" s="77" t="s">
        <v>1202</v>
      </c>
      <c r="H16" s="5"/>
      <c r="I16" s="78"/>
      <c r="J16" s="4"/>
      <c r="K16" s="4"/>
      <c r="L16" s="5"/>
      <c r="M16" s="80"/>
      <c r="N16" s="78"/>
      <c r="O16" s="111"/>
      <c r="P16" s="137"/>
      <c r="Q16" s="40"/>
      <c r="R16" s="92"/>
      <c r="S16" s="138"/>
    </row>
    <row r="17" spans="1:19" ht="14.45" customHeight="1" thickBot="1" x14ac:dyDescent="0.3">
      <c r="A17" s="196">
        <v>2</v>
      </c>
      <c r="B17" s="201" t="s">
        <v>2631</v>
      </c>
      <c r="C17" s="197"/>
      <c r="D17" s="4"/>
      <c r="E17" s="4"/>
      <c r="F17" s="4"/>
      <c r="G17" s="77" t="s">
        <v>1202</v>
      </c>
      <c r="H17" s="5"/>
      <c r="I17" s="4"/>
      <c r="J17" s="4"/>
      <c r="K17" s="15"/>
      <c r="L17" s="4"/>
      <c r="M17" s="4"/>
      <c r="N17" s="5"/>
      <c r="O17" s="111"/>
      <c r="P17" s="125"/>
      <c r="Q17" s="4"/>
      <c r="R17" s="49"/>
      <c r="S17" s="138"/>
    </row>
    <row r="18" spans="1:19" ht="16.149999999999999" customHeight="1" x14ac:dyDescent="0.25">
      <c r="A18" s="31"/>
      <c r="B18" s="200" t="s">
        <v>25</v>
      </c>
      <c r="C18" s="5">
        <v>1</v>
      </c>
      <c r="D18" s="7">
        <v>0</v>
      </c>
      <c r="E18" s="3">
        <f t="shared" ref="E18" si="6">C18+(C18*D18)</f>
        <v>1</v>
      </c>
      <c r="F18" s="85" t="s">
        <v>867</v>
      </c>
      <c r="G18" s="77">
        <v>563</v>
      </c>
      <c r="H18" s="5" t="s">
        <v>0</v>
      </c>
      <c r="I18" s="78">
        <f t="shared" ref="I18" si="7">IF(H18="C",(G18/100)*E18,IF(H18="M",(G18/1000)*E18,G18*E18))</f>
        <v>5.63</v>
      </c>
      <c r="J18" s="110">
        <f>$O$4</f>
        <v>75</v>
      </c>
      <c r="K18" s="4">
        <v>14</v>
      </c>
      <c r="L18" s="5" t="s">
        <v>0</v>
      </c>
      <c r="M18" s="80">
        <f t="shared" ref="M18" si="8">IF(L18="C",(K18/100)*E18,IF(L18="M",(K18/1000)*E18,K18*E18))</f>
        <v>0.14000000000000001</v>
      </c>
      <c r="N18" s="78">
        <f t="shared" ref="N18" si="9">M18*J18</f>
        <v>10.500000000000002</v>
      </c>
      <c r="O18" s="111">
        <f t="shared" ref="O18" si="10">N18+I18</f>
        <v>16.130000000000003</v>
      </c>
      <c r="P18" s="125">
        <v>25</v>
      </c>
      <c r="Q18" s="4">
        <v>31.25</v>
      </c>
      <c r="R18" s="49">
        <v>37.5</v>
      </c>
      <c r="S18" s="138">
        <v>136872</v>
      </c>
    </row>
    <row r="19" spans="1:19" x14ac:dyDescent="0.25">
      <c r="A19" s="31"/>
      <c r="B19" s="8" t="s">
        <v>860</v>
      </c>
      <c r="C19" s="5">
        <f>C18</f>
        <v>1</v>
      </c>
      <c r="D19" s="7">
        <v>0</v>
      </c>
      <c r="E19" s="3">
        <f t="shared" ref="E19:E71" si="11">C19+(C19*D19)</f>
        <v>1</v>
      </c>
      <c r="F19" s="85" t="s">
        <v>867</v>
      </c>
      <c r="G19" s="77">
        <v>404.23</v>
      </c>
      <c r="H19" s="5" t="s">
        <v>0</v>
      </c>
      <c r="I19" s="78">
        <f t="shared" ref="I19:I71" si="12">IF(H19="C",(G19/100)*E19,IF(H19="M",(G19/1000)*E19,G19*E19))</f>
        <v>4.0423</v>
      </c>
      <c r="J19" s="110">
        <f t="shared" ref="J19:J23" si="13">$O$4</f>
        <v>75</v>
      </c>
      <c r="K19" s="4">
        <v>23</v>
      </c>
      <c r="L19" s="5" t="s">
        <v>0</v>
      </c>
      <c r="M19" s="80">
        <f t="shared" ref="M19:M71" si="14">IF(L19="C",(K19/100)*E19,IF(L19="M",(K19/1000)*E19,K19*E19))</f>
        <v>0.23</v>
      </c>
      <c r="N19" s="78">
        <f t="shared" ref="N19:N71" si="15">M19*J19</f>
        <v>17.25</v>
      </c>
      <c r="O19" s="111">
        <f t="shared" ref="O19:O71" si="16">N19+I19</f>
        <v>21.292300000000001</v>
      </c>
      <c r="P19" s="125">
        <v>30</v>
      </c>
      <c r="Q19" s="4">
        <v>35</v>
      </c>
      <c r="R19" s="49">
        <v>40</v>
      </c>
      <c r="S19" s="138">
        <v>124314</v>
      </c>
    </row>
    <row r="20" spans="1:19" x14ac:dyDescent="0.25">
      <c r="A20" s="31"/>
      <c r="B20" s="8" t="s">
        <v>2</v>
      </c>
      <c r="C20" s="5">
        <f>C18</f>
        <v>1</v>
      </c>
      <c r="D20" s="7">
        <v>0</v>
      </c>
      <c r="E20" s="3">
        <f t="shared" si="11"/>
        <v>1</v>
      </c>
      <c r="F20" s="85" t="s">
        <v>867</v>
      </c>
      <c r="G20" s="77">
        <v>258.01</v>
      </c>
      <c r="H20" s="5" t="s">
        <v>0</v>
      </c>
      <c r="I20" s="78">
        <f t="shared" si="12"/>
        <v>2.5800999999999998</v>
      </c>
      <c r="J20" s="110">
        <f t="shared" si="13"/>
        <v>75</v>
      </c>
      <c r="K20" s="4">
        <v>2.5</v>
      </c>
      <c r="L20" s="5" t="s">
        <v>0</v>
      </c>
      <c r="M20" s="80">
        <f t="shared" si="14"/>
        <v>2.5000000000000001E-2</v>
      </c>
      <c r="N20" s="78">
        <f t="shared" si="15"/>
        <v>1.875</v>
      </c>
      <c r="O20" s="111">
        <f t="shared" si="16"/>
        <v>4.4550999999999998</v>
      </c>
      <c r="P20" s="125">
        <v>15</v>
      </c>
      <c r="Q20" s="4">
        <v>20</v>
      </c>
      <c r="R20" s="49">
        <v>25</v>
      </c>
      <c r="S20" s="138">
        <v>124389</v>
      </c>
    </row>
    <row r="21" spans="1:19" x14ac:dyDescent="0.25">
      <c r="A21" s="31"/>
      <c r="B21" s="8" t="s">
        <v>3</v>
      </c>
      <c r="C21" s="5">
        <f>C18</f>
        <v>1</v>
      </c>
      <c r="D21" s="7">
        <v>0</v>
      </c>
      <c r="E21" s="3">
        <f t="shared" si="11"/>
        <v>1</v>
      </c>
      <c r="F21" s="85" t="s">
        <v>867</v>
      </c>
      <c r="G21" s="77">
        <v>138.57</v>
      </c>
      <c r="H21" s="5" t="s">
        <v>0</v>
      </c>
      <c r="I21" s="78">
        <f t="shared" si="12"/>
        <v>1.3856999999999999</v>
      </c>
      <c r="J21" s="110">
        <f t="shared" si="13"/>
        <v>75</v>
      </c>
      <c r="K21" s="4">
        <v>3</v>
      </c>
      <c r="L21" s="5" t="s">
        <v>0</v>
      </c>
      <c r="M21" s="80">
        <f t="shared" si="14"/>
        <v>0.03</v>
      </c>
      <c r="N21" s="78">
        <f t="shared" si="15"/>
        <v>2.25</v>
      </c>
      <c r="O21" s="111">
        <f t="shared" si="16"/>
        <v>3.6356999999999999</v>
      </c>
      <c r="P21" s="125">
        <v>6</v>
      </c>
      <c r="Q21" s="4">
        <v>8</v>
      </c>
      <c r="R21" s="49">
        <v>10</v>
      </c>
      <c r="S21" s="138">
        <v>124746</v>
      </c>
    </row>
    <row r="22" spans="1:19" x14ac:dyDescent="0.25">
      <c r="A22" s="31"/>
      <c r="B22" s="8" t="s">
        <v>16</v>
      </c>
      <c r="C22" s="5">
        <f>2*C18</f>
        <v>2</v>
      </c>
      <c r="D22" s="7">
        <v>0</v>
      </c>
      <c r="E22" s="3">
        <f t="shared" si="11"/>
        <v>2</v>
      </c>
      <c r="F22" s="85" t="s">
        <v>867</v>
      </c>
      <c r="G22" s="77">
        <v>13.02</v>
      </c>
      <c r="H22" s="5" t="s">
        <v>0</v>
      </c>
      <c r="I22" s="78">
        <f t="shared" si="12"/>
        <v>0.26039999999999996</v>
      </c>
      <c r="J22" s="110">
        <f t="shared" si="13"/>
        <v>75</v>
      </c>
      <c r="K22" s="4">
        <v>2.6</v>
      </c>
      <c r="L22" s="5" t="s">
        <v>0</v>
      </c>
      <c r="M22" s="80">
        <f t="shared" si="14"/>
        <v>5.2000000000000005E-2</v>
      </c>
      <c r="N22" s="78">
        <f t="shared" si="15"/>
        <v>3.9000000000000004</v>
      </c>
      <c r="O22" s="111">
        <f t="shared" si="16"/>
        <v>4.1604000000000001</v>
      </c>
      <c r="P22" s="125">
        <v>3.1</v>
      </c>
      <c r="Q22" s="4">
        <v>3.88</v>
      </c>
      <c r="R22" s="49">
        <v>4.84</v>
      </c>
      <c r="S22" s="138">
        <v>140166</v>
      </c>
    </row>
    <row r="23" spans="1:19" x14ac:dyDescent="0.25">
      <c r="A23" s="31"/>
      <c r="B23" s="8" t="s">
        <v>17</v>
      </c>
      <c r="C23" s="5">
        <f>C18</f>
        <v>1</v>
      </c>
      <c r="D23" s="7">
        <v>0</v>
      </c>
      <c r="E23" s="3">
        <f t="shared" si="11"/>
        <v>1</v>
      </c>
      <c r="F23" s="85" t="s">
        <v>867</v>
      </c>
      <c r="G23" s="77">
        <v>52.48</v>
      </c>
      <c r="H23" s="5" t="s">
        <v>0</v>
      </c>
      <c r="I23" s="78">
        <f t="shared" si="12"/>
        <v>0.52479999999999993</v>
      </c>
      <c r="J23" s="110">
        <f t="shared" si="13"/>
        <v>75</v>
      </c>
      <c r="K23" s="4">
        <v>3</v>
      </c>
      <c r="L23" s="5" t="s">
        <v>0</v>
      </c>
      <c r="M23" s="80">
        <f t="shared" si="14"/>
        <v>0.03</v>
      </c>
      <c r="N23" s="78">
        <f t="shared" si="15"/>
        <v>2.25</v>
      </c>
      <c r="O23" s="111">
        <f t="shared" si="16"/>
        <v>2.7747999999999999</v>
      </c>
      <c r="P23" s="125">
        <v>10</v>
      </c>
      <c r="Q23" s="4">
        <v>12.5</v>
      </c>
      <c r="R23" s="49">
        <v>15</v>
      </c>
      <c r="S23" s="138">
        <v>138414</v>
      </c>
    </row>
    <row r="24" spans="1:19" ht="15.75" thickBot="1" x14ac:dyDescent="0.3">
      <c r="A24" s="31"/>
      <c r="B24" s="199"/>
      <c r="C24" s="5"/>
      <c r="D24" s="7"/>
      <c r="E24" s="3"/>
      <c r="F24" s="3"/>
      <c r="G24" s="77" t="s">
        <v>1202</v>
      </c>
      <c r="H24" s="5"/>
      <c r="I24" s="78"/>
      <c r="J24" s="4"/>
      <c r="K24" s="4"/>
      <c r="L24" s="5"/>
      <c r="M24" s="80"/>
      <c r="N24" s="78"/>
      <c r="O24" s="111"/>
      <c r="P24" s="137"/>
      <c r="Q24" s="40"/>
      <c r="R24" s="92"/>
      <c r="S24" s="138"/>
    </row>
    <row r="25" spans="1:19" ht="15.75" thickBot="1" x14ac:dyDescent="0.3">
      <c r="A25" s="196">
        <v>2</v>
      </c>
      <c r="B25" s="201" t="s">
        <v>161</v>
      </c>
      <c r="C25" s="197"/>
      <c r="D25" s="7"/>
      <c r="E25" s="3"/>
      <c r="F25" s="4"/>
      <c r="G25" s="77" t="s">
        <v>1202</v>
      </c>
      <c r="H25" s="5"/>
      <c r="I25" s="78"/>
      <c r="J25" s="4"/>
      <c r="K25" s="4"/>
      <c r="L25" s="5"/>
      <c r="M25" s="80"/>
      <c r="N25" s="78"/>
      <c r="O25" s="111"/>
      <c r="P25" s="125"/>
      <c r="Q25" s="4"/>
      <c r="R25" s="49"/>
      <c r="S25" s="138"/>
    </row>
    <row r="26" spans="1:19" x14ac:dyDescent="0.25">
      <c r="A26" s="31"/>
      <c r="B26" s="200" t="s">
        <v>21</v>
      </c>
      <c r="C26" s="5">
        <v>10</v>
      </c>
      <c r="D26" s="7">
        <v>0</v>
      </c>
      <c r="E26" s="3">
        <f t="shared" si="11"/>
        <v>10</v>
      </c>
      <c r="F26" s="85" t="s">
        <v>867</v>
      </c>
      <c r="G26" s="77">
        <v>793</v>
      </c>
      <c r="H26" s="5" t="s">
        <v>0</v>
      </c>
      <c r="I26" s="78">
        <f t="shared" si="12"/>
        <v>79.3</v>
      </c>
      <c r="J26" s="110">
        <f>$O$4</f>
        <v>75</v>
      </c>
      <c r="K26" s="4">
        <v>20</v>
      </c>
      <c r="L26" s="5" t="s">
        <v>0</v>
      </c>
      <c r="M26" s="80">
        <f t="shared" si="14"/>
        <v>2</v>
      </c>
      <c r="N26" s="78">
        <f t="shared" si="15"/>
        <v>150</v>
      </c>
      <c r="O26" s="111">
        <f t="shared" si="16"/>
        <v>229.3</v>
      </c>
      <c r="P26" s="125">
        <v>30</v>
      </c>
      <c r="Q26" s="4">
        <v>43.75</v>
      </c>
      <c r="R26" s="49">
        <v>52.5</v>
      </c>
      <c r="S26" s="138">
        <v>136866</v>
      </c>
    </row>
    <row r="27" spans="1:19" x14ac:dyDescent="0.25">
      <c r="A27" s="31"/>
      <c r="B27" s="8" t="s">
        <v>860</v>
      </c>
      <c r="C27" s="5">
        <f>C26</f>
        <v>10</v>
      </c>
      <c r="D27" s="7">
        <v>0</v>
      </c>
      <c r="E27" s="3">
        <f t="shared" si="11"/>
        <v>10</v>
      </c>
      <c r="F27" s="85" t="s">
        <v>867</v>
      </c>
      <c r="G27" s="77">
        <v>404.23</v>
      </c>
      <c r="H27" s="5" t="s">
        <v>0</v>
      </c>
      <c r="I27" s="78">
        <f t="shared" si="12"/>
        <v>40.423000000000002</v>
      </c>
      <c r="J27" s="110">
        <f t="shared" ref="J27:J31" si="17">$O$4</f>
        <v>75</v>
      </c>
      <c r="K27" s="4">
        <v>23</v>
      </c>
      <c r="L27" s="5" t="s">
        <v>0</v>
      </c>
      <c r="M27" s="80">
        <f t="shared" si="14"/>
        <v>2.3000000000000003</v>
      </c>
      <c r="N27" s="78">
        <f t="shared" si="15"/>
        <v>172.50000000000003</v>
      </c>
      <c r="O27" s="111">
        <f t="shared" si="16"/>
        <v>212.92300000000003</v>
      </c>
      <c r="P27" s="125">
        <v>30</v>
      </c>
      <c r="Q27" s="4">
        <v>35</v>
      </c>
      <c r="R27" s="49">
        <v>40</v>
      </c>
      <c r="S27" s="138">
        <v>124314</v>
      </c>
    </row>
    <row r="28" spans="1:19" x14ac:dyDescent="0.25">
      <c r="A28" s="31"/>
      <c r="B28" s="8" t="s">
        <v>2</v>
      </c>
      <c r="C28" s="5">
        <f>C26</f>
        <v>10</v>
      </c>
      <c r="D28" s="7">
        <v>0</v>
      </c>
      <c r="E28" s="3">
        <f t="shared" si="11"/>
        <v>10</v>
      </c>
      <c r="F28" s="85" t="s">
        <v>867</v>
      </c>
      <c r="G28" s="77">
        <v>258.01</v>
      </c>
      <c r="H28" s="5" t="s">
        <v>0</v>
      </c>
      <c r="I28" s="78">
        <f t="shared" si="12"/>
        <v>25.800999999999998</v>
      </c>
      <c r="J28" s="110">
        <f t="shared" si="17"/>
        <v>75</v>
      </c>
      <c r="K28" s="4">
        <v>2.5</v>
      </c>
      <c r="L28" s="5" t="s">
        <v>0</v>
      </c>
      <c r="M28" s="80">
        <f t="shared" si="14"/>
        <v>0.25</v>
      </c>
      <c r="N28" s="78">
        <f t="shared" si="15"/>
        <v>18.75</v>
      </c>
      <c r="O28" s="111">
        <f t="shared" si="16"/>
        <v>44.551000000000002</v>
      </c>
      <c r="P28" s="125">
        <v>15</v>
      </c>
      <c r="Q28" s="4">
        <v>20</v>
      </c>
      <c r="R28" s="49">
        <v>25</v>
      </c>
      <c r="S28" s="138">
        <v>124389</v>
      </c>
    </row>
    <row r="29" spans="1:19" x14ac:dyDescent="0.25">
      <c r="A29" s="31"/>
      <c r="B29" s="8" t="s">
        <v>3</v>
      </c>
      <c r="C29" s="5">
        <f>C26</f>
        <v>10</v>
      </c>
      <c r="D29" s="7">
        <v>0</v>
      </c>
      <c r="E29" s="3">
        <f t="shared" si="11"/>
        <v>10</v>
      </c>
      <c r="F29" s="85" t="s">
        <v>867</v>
      </c>
      <c r="G29" s="77">
        <v>138.57</v>
      </c>
      <c r="H29" s="5" t="s">
        <v>0</v>
      </c>
      <c r="I29" s="78">
        <f t="shared" si="12"/>
        <v>13.856999999999999</v>
      </c>
      <c r="J29" s="110">
        <f t="shared" si="17"/>
        <v>75</v>
      </c>
      <c r="K29" s="4">
        <v>3</v>
      </c>
      <c r="L29" s="5" t="s">
        <v>0</v>
      </c>
      <c r="M29" s="80">
        <f t="shared" si="14"/>
        <v>0.3</v>
      </c>
      <c r="N29" s="78">
        <f t="shared" si="15"/>
        <v>22.5</v>
      </c>
      <c r="O29" s="111">
        <f t="shared" si="16"/>
        <v>36.356999999999999</v>
      </c>
      <c r="P29" s="125">
        <v>6</v>
      </c>
      <c r="Q29" s="4">
        <v>8</v>
      </c>
      <c r="R29" s="49">
        <v>10</v>
      </c>
      <c r="S29" s="138">
        <v>124746</v>
      </c>
    </row>
    <row r="30" spans="1:19" x14ac:dyDescent="0.25">
      <c r="A30" s="31"/>
      <c r="B30" s="8" t="s">
        <v>16</v>
      </c>
      <c r="C30" s="5">
        <f>2*C26</f>
        <v>20</v>
      </c>
      <c r="D30" s="7">
        <v>0</v>
      </c>
      <c r="E30" s="3">
        <f t="shared" si="11"/>
        <v>20</v>
      </c>
      <c r="F30" s="85" t="s">
        <v>867</v>
      </c>
      <c r="G30" s="77">
        <v>13.02</v>
      </c>
      <c r="H30" s="5" t="s">
        <v>0</v>
      </c>
      <c r="I30" s="78">
        <f t="shared" si="12"/>
        <v>2.6039999999999996</v>
      </c>
      <c r="J30" s="110">
        <f t="shared" si="17"/>
        <v>75</v>
      </c>
      <c r="K30" s="4">
        <v>2.6</v>
      </c>
      <c r="L30" s="5" t="s">
        <v>0</v>
      </c>
      <c r="M30" s="80">
        <f t="shared" si="14"/>
        <v>0.52</v>
      </c>
      <c r="N30" s="78">
        <f t="shared" si="15"/>
        <v>39</v>
      </c>
      <c r="O30" s="111">
        <f t="shared" si="16"/>
        <v>41.603999999999999</v>
      </c>
      <c r="P30" s="125">
        <v>3.1</v>
      </c>
      <c r="Q30" s="4">
        <v>3.88</v>
      </c>
      <c r="R30" s="49">
        <v>4.84</v>
      </c>
      <c r="S30" s="138">
        <v>140166</v>
      </c>
    </row>
    <row r="31" spans="1:19" x14ac:dyDescent="0.25">
      <c r="A31" s="31"/>
      <c r="B31" s="8" t="s">
        <v>17</v>
      </c>
      <c r="C31" s="5">
        <f>C26</f>
        <v>10</v>
      </c>
      <c r="D31" s="7">
        <v>0</v>
      </c>
      <c r="E31" s="3">
        <f t="shared" si="11"/>
        <v>10</v>
      </c>
      <c r="F31" s="85" t="s">
        <v>867</v>
      </c>
      <c r="G31" s="77">
        <v>52.48</v>
      </c>
      <c r="H31" s="5" t="s">
        <v>0</v>
      </c>
      <c r="I31" s="78">
        <f t="shared" si="12"/>
        <v>5.2479999999999993</v>
      </c>
      <c r="J31" s="110">
        <f t="shared" si="17"/>
        <v>75</v>
      </c>
      <c r="K31" s="4">
        <v>3</v>
      </c>
      <c r="L31" s="5" t="s">
        <v>0</v>
      </c>
      <c r="M31" s="80">
        <f t="shared" si="14"/>
        <v>0.3</v>
      </c>
      <c r="N31" s="78">
        <f t="shared" si="15"/>
        <v>22.5</v>
      </c>
      <c r="O31" s="111">
        <f t="shared" si="16"/>
        <v>27.747999999999998</v>
      </c>
      <c r="P31" s="125">
        <v>10</v>
      </c>
      <c r="Q31" s="4">
        <v>12.5</v>
      </c>
      <c r="R31" s="49">
        <v>15</v>
      </c>
      <c r="S31" s="138">
        <v>138414</v>
      </c>
    </row>
    <row r="32" spans="1:19" ht="15.75" thickBot="1" x14ac:dyDescent="0.3">
      <c r="A32" s="31"/>
      <c r="B32" s="199"/>
      <c r="C32" s="5"/>
      <c r="D32" s="7"/>
      <c r="E32" s="3"/>
      <c r="F32" s="3"/>
      <c r="G32" s="77" t="s">
        <v>1202</v>
      </c>
      <c r="H32" s="5"/>
      <c r="I32" s="78"/>
      <c r="J32" s="4"/>
      <c r="K32" s="4"/>
      <c r="L32" s="5"/>
      <c r="M32" s="80"/>
      <c r="N32" s="78"/>
      <c r="O32" s="111"/>
      <c r="P32" s="125"/>
      <c r="Q32" s="4"/>
      <c r="R32" s="49"/>
      <c r="S32" s="138"/>
    </row>
    <row r="33" spans="1:19" ht="15.75" thickBot="1" x14ac:dyDescent="0.3">
      <c r="A33" s="196">
        <v>3</v>
      </c>
      <c r="B33" s="201" t="s">
        <v>160</v>
      </c>
      <c r="C33" s="197"/>
      <c r="D33" s="7"/>
      <c r="E33" s="3"/>
      <c r="F33" s="3"/>
      <c r="G33" s="77" t="s">
        <v>1202</v>
      </c>
      <c r="H33" s="5"/>
      <c r="I33" s="78"/>
      <c r="J33" s="4"/>
      <c r="K33" s="4"/>
      <c r="L33" s="5"/>
      <c r="M33" s="80"/>
      <c r="N33" s="78"/>
      <c r="O33" s="111"/>
      <c r="P33" s="125"/>
      <c r="Q33" s="4"/>
      <c r="R33" s="49"/>
      <c r="S33" s="138"/>
    </row>
    <row r="34" spans="1:19" x14ac:dyDescent="0.25">
      <c r="A34" s="31"/>
      <c r="B34" s="200" t="s">
        <v>159</v>
      </c>
      <c r="C34" s="5">
        <v>1</v>
      </c>
      <c r="D34" s="7">
        <v>0</v>
      </c>
      <c r="E34" s="3">
        <f>C34+(C34*D34)</f>
        <v>1</v>
      </c>
      <c r="F34" s="85" t="s">
        <v>867</v>
      </c>
      <c r="G34" s="77">
        <v>2436</v>
      </c>
      <c r="H34" s="5" t="s">
        <v>0</v>
      </c>
      <c r="I34" s="78">
        <f>IF(H34="C",(G34/100)*E34,IF(H34="M",(G34/1000)*E34,G34*E34))</f>
        <v>24.36</v>
      </c>
      <c r="J34" s="110">
        <f>$O$4</f>
        <v>75</v>
      </c>
      <c r="K34" s="4">
        <v>22</v>
      </c>
      <c r="L34" s="5" t="s">
        <v>0</v>
      </c>
      <c r="M34" s="80">
        <f>IF(L34="C",(K34/100)*E34,IF(L34="M",(K34/1000)*E34,K34*E34))</f>
        <v>0.22</v>
      </c>
      <c r="N34" s="78">
        <f>M34*J34</f>
        <v>16.5</v>
      </c>
      <c r="O34" s="111">
        <f>N34+I34</f>
        <v>40.86</v>
      </c>
      <c r="P34" s="125">
        <v>40</v>
      </c>
      <c r="Q34" s="4">
        <v>50</v>
      </c>
      <c r="R34" s="49">
        <v>60</v>
      </c>
      <c r="S34" s="138">
        <v>136869</v>
      </c>
    </row>
    <row r="35" spans="1:19" x14ac:dyDescent="0.25">
      <c r="A35" s="31"/>
      <c r="B35" s="8" t="s">
        <v>860</v>
      </c>
      <c r="C35" s="5">
        <f>C34</f>
        <v>1</v>
      </c>
      <c r="D35" s="7">
        <v>0</v>
      </c>
      <c r="E35" s="3">
        <f t="shared" si="11"/>
        <v>1</v>
      </c>
      <c r="F35" s="85" t="s">
        <v>867</v>
      </c>
      <c r="G35" s="77">
        <v>404.23</v>
      </c>
      <c r="H35" s="5" t="s">
        <v>0</v>
      </c>
      <c r="I35" s="78">
        <f t="shared" si="12"/>
        <v>4.0423</v>
      </c>
      <c r="J35" s="110">
        <f t="shared" ref="J35:J39" si="18">$O$4</f>
        <v>75</v>
      </c>
      <c r="K35" s="4">
        <v>23</v>
      </c>
      <c r="L35" s="5" t="s">
        <v>0</v>
      </c>
      <c r="M35" s="80">
        <f t="shared" si="14"/>
        <v>0.23</v>
      </c>
      <c r="N35" s="78">
        <f t="shared" si="15"/>
        <v>17.25</v>
      </c>
      <c r="O35" s="111">
        <f t="shared" si="16"/>
        <v>21.292300000000001</v>
      </c>
      <c r="P35" s="125">
        <v>30</v>
      </c>
      <c r="Q35" s="4">
        <v>35</v>
      </c>
      <c r="R35" s="49">
        <v>40</v>
      </c>
      <c r="S35" s="138">
        <v>124314</v>
      </c>
    </row>
    <row r="36" spans="1:19" x14ac:dyDescent="0.25">
      <c r="A36" s="31"/>
      <c r="B36" s="8" t="s">
        <v>2</v>
      </c>
      <c r="C36" s="5">
        <f>C34</f>
        <v>1</v>
      </c>
      <c r="D36" s="7">
        <v>0</v>
      </c>
      <c r="E36" s="3">
        <f t="shared" si="11"/>
        <v>1</v>
      </c>
      <c r="F36" s="85" t="s">
        <v>867</v>
      </c>
      <c r="G36" s="77">
        <v>258.01</v>
      </c>
      <c r="H36" s="5" t="s">
        <v>0</v>
      </c>
      <c r="I36" s="78">
        <f t="shared" si="12"/>
        <v>2.5800999999999998</v>
      </c>
      <c r="J36" s="110">
        <f t="shared" si="18"/>
        <v>75</v>
      </c>
      <c r="K36" s="4">
        <v>2.5</v>
      </c>
      <c r="L36" s="5" t="s">
        <v>0</v>
      </c>
      <c r="M36" s="80">
        <f t="shared" si="14"/>
        <v>2.5000000000000001E-2</v>
      </c>
      <c r="N36" s="78">
        <f t="shared" si="15"/>
        <v>1.875</v>
      </c>
      <c r="O36" s="111">
        <f t="shared" si="16"/>
        <v>4.4550999999999998</v>
      </c>
      <c r="P36" s="125">
        <v>15</v>
      </c>
      <c r="Q36" s="4">
        <v>20</v>
      </c>
      <c r="R36" s="49">
        <v>25</v>
      </c>
      <c r="S36" s="138">
        <v>124389</v>
      </c>
    </row>
    <row r="37" spans="1:19" x14ac:dyDescent="0.25">
      <c r="A37" s="31"/>
      <c r="B37" s="8" t="s">
        <v>3</v>
      </c>
      <c r="C37" s="5">
        <f>C34</f>
        <v>1</v>
      </c>
      <c r="D37" s="7">
        <v>0</v>
      </c>
      <c r="E37" s="3">
        <f t="shared" si="11"/>
        <v>1</v>
      </c>
      <c r="F37" s="85" t="s">
        <v>867</v>
      </c>
      <c r="G37" s="77">
        <v>138.57</v>
      </c>
      <c r="H37" s="5" t="s">
        <v>0</v>
      </c>
      <c r="I37" s="78">
        <f t="shared" si="12"/>
        <v>1.3856999999999999</v>
      </c>
      <c r="J37" s="110">
        <f t="shared" si="18"/>
        <v>75</v>
      </c>
      <c r="K37" s="4">
        <v>3</v>
      </c>
      <c r="L37" s="5" t="s">
        <v>0</v>
      </c>
      <c r="M37" s="80">
        <f t="shared" si="14"/>
        <v>0.03</v>
      </c>
      <c r="N37" s="78">
        <f t="shared" si="15"/>
        <v>2.25</v>
      </c>
      <c r="O37" s="111">
        <f t="shared" si="16"/>
        <v>3.6356999999999999</v>
      </c>
      <c r="P37" s="125">
        <v>6</v>
      </c>
      <c r="Q37" s="4">
        <v>8</v>
      </c>
      <c r="R37" s="49">
        <v>10</v>
      </c>
      <c r="S37" s="138">
        <v>124746</v>
      </c>
    </row>
    <row r="38" spans="1:19" x14ac:dyDescent="0.25">
      <c r="A38" s="31"/>
      <c r="B38" s="8" t="s">
        <v>16</v>
      </c>
      <c r="C38" s="5">
        <f>C34*2</f>
        <v>2</v>
      </c>
      <c r="D38" s="7">
        <v>0</v>
      </c>
      <c r="E38" s="3">
        <f t="shared" si="11"/>
        <v>2</v>
      </c>
      <c r="F38" s="85" t="s">
        <v>867</v>
      </c>
      <c r="G38" s="77">
        <v>13.02</v>
      </c>
      <c r="H38" s="5" t="s">
        <v>0</v>
      </c>
      <c r="I38" s="78">
        <f t="shared" si="12"/>
        <v>0.26039999999999996</v>
      </c>
      <c r="J38" s="110">
        <f t="shared" si="18"/>
        <v>75</v>
      </c>
      <c r="K38" s="4">
        <v>2.6</v>
      </c>
      <c r="L38" s="5" t="s">
        <v>0</v>
      </c>
      <c r="M38" s="80">
        <f t="shared" si="14"/>
        <v>5.2000000000000005E-2</v>
      </c>
      <c r="N38" s="78">
        <f t="shared" si="15"/>
        <v>3.9000000000000004</v>
      </c>
      <c r="O38" s="111">
        <f t="shared" si="16"/>
        <v>4.1604000000000001</v>
      </c>
      <c r="P38" s="125">
        <v>3.1</v>
      </c>
      <c r="Q38" s="4">
        <v>3.88</v>
      </c>
      <c r="R38" s="49">
        <v>4.84</v>
      </c>
      <c r="S38" s="138">
        <v>140166</v>
      </c>
    </row>
    <row r="39" spans="1:19" x14ac:dyDescent="0.25">
      <c r="A39" s="31"/>
      <c r="B39" s="8" t="s">
        <v>17</v>
      </c>
      <c r="C39" s="5">
        <f>C34</f>
        <v>1</v>
      </c>
      <c r="D39" s="7">
        <v>0</v>
      </c>
      <c r="E39" s="3">
        <f t="shared" si="11"/>
        <v>1</v>
      </c>
      <c r="F39" s="85" t="s">
        <v>867</v>
      </c>
      <c r="G39" s="77">
        <v>52.48</v>
      </c>
      <c r="H39" s="5" t="s">
        <v>0</v>
      </c>
      <c r="I39" s="78">
        <f t="shared" si="12"/>
        <v>0.52479999999999993</v>
      </c>
      <c r="J39" s="110">
        <f t="shared" si="18"/>
        <v>75</v>
      </c>
      <c r="K39" s="4">
        <v>3</v>
      </c>
      <c r="L39" s="5" t="s">
        <v>0</v>
      </c>
      <c r="M39" s="80">
        <f t="shared" si="14"/>
        <v>0.03</v>
      </c>
      <c r="N39" s="78">
        <f t="shared" si="15"/>
        <v>2.25</v>
      </c>
      <c r="O39" s="111">
        <f t="shared" si="16"/>
        <v>2.7747999999999999</v>
      </c>
      <c r="P39" s="125">
        <v>10</v>
      </c>
      <c r="Q39" s="4">
        <v>12.5</v>
      </c>
      <c r="R39" s="49">
        <v>15</v>
      </c>
      <c r="S39" s="138">
        <v>138414</v>
      </c>
    </row>
    <row r="40" spans="1:19" ht="15.75" thickBot="1" x14ac:dyDescent="0.3">
      <c r="A40" s="31"/>
      <c r="B40" s="199"/>
      <c r="C40" s="5"/>
      <c r="D40" s="7"/>
      <c r="E40" s="3"/>
      <c r="F40" s="3"/>
      <c r="G40" s="77" t="s">
        <v>1202</v>
      </c>
      <c r="H40" s="5"/>
      <c r="I40" s="78"/>
      <c r="J40" s="4"/>
      <c r="K40" s="4"/>
      <c r="L40" s="5"/>
      <c r="M40" s="80"/>
      <c r="N40" s="78"/>
      <c r="O40" s="111"/>
      <c r="P40" s="125"/>
      <c r="Q40" s="4"/>
      <c r="R40" s="49"/>
      <c r="S40" s="138"/>
    </row>
    <row r="41" spans="1:19" ht="15.75" thickBot="1" x14ac:dyDescent="0.3">
      <c r="A41" s="196">
        <v>4</v>
      </c>
      <c r="B41" s="201" t="s">
        <v>1231</v>
      </c>
      <c r="C41" s="197">
        <v>10</v>
      </c>
      <c r="D41" s="7">
        <v>0</v>
      </c>
      <c r="E41" s="3">
        <f t="shared" si="11"/>
        <v>10</v>
      </c>
      <c r="F41" s="3"/>
      <c r="G41" s="77" t="s">
        <v>1202</v>
      </c>
      <c r="H41" s="5"/>
      <c r="I41" s="78"/>
      <c r="J41" s="110"/>
      <c r="K41" s="4"/>
      <c r="L41" s="5"/>
      <c r="M41" s="80"/>
      <c r="N41" s="78"/>
      <c r="O41" s="111"/>
      <c r="P41" s="125"/>
      <c r="Q41" s="4"/>
      <c r="R41" s="49"/>
      <c r="S41" s="138"/>
    </row>
    <row r="42" spans="1:19" x14ac:dyDescent="0.25">
      <c r="A42" s="31"/>
      <c r="B42" s="200" t="s">
        <v>18</v>
      </c>
      <c r="C42" s="5">
        <f>C41*2</f>
        <v>20</v>
      </c>
      <c r="D42" s="7">
        <v>0</v>
      </c>
      <c r="E42" s="3">
        <f t="shared" si="11"/>
        <v>20</v>
      </c>
      <c r="F42" s="85" t="s">
        <v>867</v>
      </c>
      <c r="G42" s="77">
        <v>531</v>
      </c>
      <c r="H42" s="5" t="s">
        <v>0</v>
      </c>
      <c r="I42" s="78">
        <f t="shared" si="12"/>
        <v>106.19999999999999</v>
      </c>
      <c r="J42" s="110">
        <f>$O$4</f>
        <v>75</v>
      </c>
      <c r="K42" s="4">
        <v>14</v>
      </c>
      <c r="L42" s="5" t="s">
        <v>0</v>
      </c>
      <c r="M42" s="80">
        <f t="shared" si="14"/>
        <v>2.8000000000000003</v>
      </c>
      <c r="N42" s="78">
        <f t="shared" si="15"/>
        <v>210.00000000000003</v>
      </c>
      <c r="O42" s="111">
        <f t="shared" si="16"/>
        <v>316.20000000000005</v>
      </c>
      <c r="P42" s="125">
        <v>20</v>
      </c>
      <c r="Q42" s="4">
        <v>25</v>
      </c>
      <c r="R42" s="49">
        <v>30</v>
      </c>
      <c r="S42" s="138">
        <v>136860</v>
      </c>
    </row>
    <row r="43" spans="1:19" x14ac:dyDescent="0.25">
      <c r="A43" s="31"/>
      <c r="B43" s="8" t="s">
        <v>860</v>
      </c>
      <c r="C43" s="5">
        <f>C41</f>
        <v>10</v>
      </c>
      <c r="D43" s="7">
        <v>0</v>
      </c>
      <c r="E43" s="3">
        <f t="shared" si="11"/>
        <v>10</v>
      </c>
      <c r="F43" s="85" t="s">
        <v>867</v>
      </c>
      <c r="G43" s="77">
        <v>404.23</v>
      </c>
      <c r="H43" s="5" t="s">
        <v>0</v>
      </c>
      <c r="I43" s="78">
        <f t="shared" si="12"/>
        <v>40.423000000000002</v>
      </c>
      <c r="J43" s="110">
        <f t="shared" ref="J43:J47" si="19">$O$4</f>
        <v>75</v>
      </c>
      <c r="K43" s="4">
        <v>23</v>
      </c>
      <c r="L43" s="5" t="s">
        <v>0</v>
      </c>
      <c r="M43" s="80">
        <f t="shared" si="14"/>
        <v>2.3000000000000003</v>
      </c>
      <c r="N43" s="78">
        <f t="shared" si="15"/>
        <v>172.50000000000003</v>
      </c>
      <c r="O43" s="111">
        <f t="shared" si="16"/>
        <v>212.92300000000003</v>
      </c>
      <c r="P43" s="125">
        <v>30</v>
      </c>
      <c r="Q43" s="4">
        <v>35</v>
      </c>
      <c r="R43" s="49">
        <v>40</v>
      </c>
      <c r="S43" s="138">
        <v>124314</v>
      </c>
    </row>
    <row r="44" spans="1:19" x14ac:dyDescent="0.25">
      <c r="A44" s="31"/>
      <c r="B44" s="8" t="s">
        <v>11</v>
      </c>
      <c r="C44" s="5">
        <f>C41</f>
        <v>10</v>
      </c>
      <c r="D44" s="7">
        <v>0</v>
      </c>
      <c r="E44" s="3">
        <f t="shared" si="11"/>
        <v>10</v>
      </c>
      <c r="F44" s="85" t="s">
        <v>867</v>
      </c>
      <c r="G44" s="77">
        <v>344.33</v>
      </c>
      <c r="H44" s="5" t="s">
        <v>0</v>
      </c>
      <c r="I44" s="78">
        <f t="shared" si="12"/>
        <v>34.433</v>
      </c>
      <c r="J44" s="110">
        <f t="shared" si="19"/>
        <v>75</v>
      </c>
      <c r="K44" s="4">
        <v>2.5</v>
      </c>
      <c r="L44" s="5" t="s">
        <v>0</v>
      </c>
      <c r="M44" s="80">
        <f t="shared" si="14"/>
        <v>0.25</v>
      </c>
      <c r="N44" s="78">
        <f t="shared" si="15"/>
        <v>18.75</v>
      </c>
      <c r="O44" s="111">
        <f t="shared" si="16"/>
        <v>53.183</v>
      </c>
      <c r="P44" s="125">
        <v>15</v>
      </c>
      <c r="Q44" s="4">
        <v>20</v>
      </c>
      <c r="R44" s="49">
        <v>25</v>
      </c>
      <c r="S44" s="138">
        <v>124401</v>
      </c>
    </row>
    <row r="45" spans="1:19" x14ac:dyDescent="0.25">
      <c r="A45" s="31"/>
      <c r="B45" s="8" t="s">
        <v>3</v>
      </c>
      <c r="C45" s="5">
        <f>C41</f>
        <v>10</v>
      </c>
      <c r="D45" s="7">
        <v>0</v>
      </c>
      <c r="E45" s="3">
        <f t="shared" si="11"/>
        <v>10</v>
      </c>
      <c r="F45" s="85" t="s">
        <v>867</v>
      </c>
      <c r="G45" s="77">
        <v>138.57</v>
      </c>
      <c r="H45" s="5" t="s">
        <v>0</v>
      </c>
      <c r="I45" s="78">
        <f t="shared" si="12"/>
        <v>13.856999999999999</v>
      </c>
      <c r="J45" s="110">
        <f t="shared" si="19"/>
        <v>75</v>
      </c>
      <c r="K45" s="4">
        <v>3</v>
      </c>
      <c r="L45" s="5" t="s">
        <v>0</v>
      </c>
      <c r="M45" s="80">
        <f t="shared" si="14"/>
        <v>0.3</v>
      </c>
      <c r="N45" s="78">
        <f t="shared" si="15"/>
        <v>22.5</v>
      </c>
      <c r="O45" s="111">
        <f t="shared" si="16"/>
        <v>36.356999999999999</v>
      </c>
      <c r="P45" s="125">
        <v>6</v>
      </c>
      <c r="Q45" s="4">
        <v>8</v>
      </c>
      <c r="R45" s="49">
        <v>10</v>
      </c>
      <c r="S45" s="138">
        <v>124746</v>
      </c>
    </row>
    <row r="46" spans="1:19" x14ac:dyDescent="0.25">
      <c r="A46" s="31"/>
      <c r="B46" s="8" t="s">
        <v>16</v>
      </c>
      <c r="C46" s="5">
        <f>C41*2</f>
        <v>20</v>
      </c>
      <c r="D46" s="7">
        <v>0</v>
      </c>
      <c r="E46" s="3">
        <f t="shared" si="11"/>
        <v>20</v>
      </c>
      <c r="F46" s="85" t="s">
        <v>867</v>
      </c>
      <c r="G46" s="77">
        <v>13.02</v>
      </c>
      <c r="H46" s="5" t="s">
        <v>0</v>
      </c>
      <c r="I46" s="78">
        <f t="shared" si="12"/>
        <v>2.6039999999999996</v>
      </c>
      <c r="J46" s="110">
        <f t="shared" si="19"/>
        <v>75</v>
      </c>
      <c r="K46" s="4">
        <v>2.6</v>
      </c>
      <c r="L46" s="5" t="s">
        <v>0</v>
      </c>
      <c r="M46" s="80">
        <f t="shared" si="14"/>
        <v>0.52</v>
      </c>
      <c r="N46" s="78">
        <f t="shared" si="15"/>
        <v>39</v>
      </c>
      <c r="O46" s="111">
        <f t="shared" si="16"/>
        <v>41.603999999999999</v>
      </c>
      <c r="P46" s="125">
        <v>3.1</v>
      </c>
      <c r="Q46" s="4">
        <v>3.88</v>
      </c>
      <c r="R46" s="49">
        <v>4.84</v>
      </c>
      <c r="S46" s="138">
        <v>140166</v>
      </c>
    </row>
    <row r="47" spans="1:19" x14ac:dyDescent="0.25">
      <c r="A47" s="31"/>
      <c r="B47" s="8" t="s">
        <v>20</v>
      </c>
      <c r="C47" s="5">
        <f>C41</f>
        <v>10</v>
      </c>
      <c r="D47" s="7">
        <v>0</v>
      </c>
      <c r="E47" s="3">
        <f t="shared" si="11"/>
        <v>10</v>
      </c>
      <c r="F47" s="85" t="s">
        <v>867</v>
      </c>
      <c r="G47" s="77">
        <v>101.91</v>
      </c>
      <c r="H47" s="5" t="s">
        <v>0</v>
      </c>
      <c r="I47" s="78">
        <f t="shared" si="12"/>
        <v>10.190999999999999</v>
      </c>
      <c r="J47" s="110">
        <f t="shared" si="19"/>
        <v>75</v>
      </c>
      <c r="K47" s="4">
        <v>4.5</v>
      </c>
      <c r="L47" s="5" t="s">
        <v>0</v>
      </c>
      <c r="M47" s="80">
        <f t="shared" si="14"/>
        <v>0.44999999999999996</v>
      </c>
      <c r="N47" s="78">
        <f t="shared" si="15"/>
        <v>33.75</v>
      </c>
      <c r="O47" s="111">
        <f t="shared" si="16"/>
        <v>43.941000000000003</v>
      </c>
      <c r="P47" s="125">
        <v>12</v>
      </c>
      <c r="Q47" s="4">
        <v>15</v>
      </c>
      <c r="R47" s="49">
        <v>18</v>
      </c>
      <c r="S47" s="138">
        <v>138417</v>
      </c>
    </row>
    <row r="48" spans="1:19" ht="15.75" thickBot="1" x14ac:dyDescent="0.3">
      <c r="A48" s="31"/>
      <c r="B48" s="199"/>
      <c r="C48" s="5"/>
      <c r="D48" s="7"/>
      <c r="E48" s="3"/>
      <c r="F48" s="3"/>
      <c r="G48" s="77" t="s">
        <v>1202</v>
      </c>
      <c r="H48" s="5"/>
      <c r="I48" s="78"/>
      <c r="J48" s="4"/>
      <c r="K48" s="4"/>
      <c r="L48" s="5"/>
      <c r="M48" s="80"/>
      <c r="N48" s="78"/>
      <c r="O48" s="111"/>
      <c r="P48" s="125"/>
      <c r="Q48" s="4"/>
      <c r="R48" s="49"/>
      <c r="S48" s="138"/>
    </row>
    <row r="49" spans="1:19" ht="15.75" thickBot="1" x14ac:dyDescent="0.3">
      <c r="A49" s="196">
        <v>5</v>
      </c>
      <c r="B49" s="201" t="s">
        <v>1231</v>
      </c>
      <c r="C49" s="197">
        <v>1</v>
      </c>
      <c r="D49" s="7">
        <v>0</v>
      </c>
      <c r="E49" s="3">
        <f t="shared" si="11"/>
        <v>1</v>
      </c>
      <c r="F49" s="3"/>
      <c r="G49" s="77" t="s">
        <v>1202</v>
      </c>
      <c r="H49" s="5"/>
      <c r="I49" s="78"/>
      <c r="J49" s="110"/>
      <c r="K49" s="4"/>
      <c r="L49" s="5"/>
      <c r="M49" s="80"/>
      <c r="N49" s="78"/>
      <c r="O49" s="111"/>
      <c r="P49" s="125"/>
      <c r="Q49" s="4"/>
      <c r="R49" s="49"/>
      <c r="S49" s="138"/>
    </row>
    <row r="50" spans="1:19" x14ac:dyDescent="0.25">
      <c r="A50" s="31"/>
      <c r="B50" s="200" t="s">
        <v>19</v>
      </c>
      <c r="C50" s="5">
        <f>2*C49</f>
        <v>2</v>
      </c>
      <c r="D50" s="7">
        <v>0</v>
      </c>
      <c r="E50" s="3">
        <f t="shared" si="11"/>
        <v>2</v>
      </c>
      <c r="F50" s="85" t="s">
        <v>867</v>
      </c>
      <c r="G50" s="77">
        <v>755</v>
      </c>
      <c r="H50" s="5" t="s">
        <v>0</v>
      </c>
      <c r="I50" s="78">
        <f t="shared" si="12"/>
        <v>15.1</v>
      </c>
      <c r="J50" s="110">
        <f>$O$4</f>
        <v>75</v>
      </c>
      <c r="K50" s="4">
        <v>20</v>
      </c>
      <c r="L50" s="5" t="s">
        <v>0</v>
      </c>
      <c r="M50" s="80">
        <f t="shared" si="14"/>
        <v>0.4</v>
      </c>
      <c r="N50" s="78">
        <f t="shared" si="15"/>
        <v>30</v>
      </c>
      <c r="O50" s="111">
        <f t="shared" si="16"/>
        <v>45.1</v>
      </c>
      <c r="P50" s="125">
        <v>40</v>
      </c>
      <c r="Q50" s="4">
        <v>50</v>
      </c>
      <c r="R50" s="49">
        <v>60</v>
      </c>
      <c r="S50" s="138">
        <v>136878</v>
      </c>
    </row>
    <row r="51" spans="1:19" x14ac:dyDescent="0.25">
      <c r="A51" s="31"/>
      <c r="B51" s="8" t="s">
        <v>860</v>
      </c>
      <c r="C51" s="5">
        <f>C49</f>
        <v>1</v>
      </c>
      <c r="D51" s="7">
        <v>0</v>
      </c>
      <c r="E51" s="3">
        <f t="shared" si="11"/>
        <v>1</v>
      </c>
      <c r="F51" s="85" t="s">
        <v>867</v>
      </c>
      <c r="G51" s="77">
        <v>404.23</v>
      </c>
      <c r="H51" s="5" t="s">
        <v>0</v>
      </c>
      <c r="I51" s="78">
        <f t="shared" si="12"/>
        <v>4.0423</v>
      </c>
      <c r="J51" s="110">
        <f t="shared" ref="J51:J55" si="20">$O$4</f>
        <v>75</v>
      </c>
      <c r="K51" s="4">
        <v>23</v>
      </c>
      <c r="L51" s="5" t="s">
        <v>0</v>
      </c>
      <c r="M51" s="80">
        <f t="shared" si="14"/>
        <v>0.23</v>
      </c>
      <c r="N51" s="78">
        <f t="shared" si="15"/>
        <v>17.25</v>
      </c>
      <c r="O51" s="111">
        <f t="shared" si="16"/>
        <v>21.292300000000001</v>
      </c>
      <c r="P51" s="125">
        <v>30</v>
      </c>
      <c r="Q51" s="4">
        <v>35</v>
      </c>
      <c r="R51" s="49">
        <v>40</v>
      </c>
      <c r="S51" s="138">
        <v>124314</v>
      </c>
    </row>
    <row r="52" spans="1:19" x14ac:dyDescent="0.25">
      <c r="A52" s="31"/>
      <c r="B52" s="8" t="s">
        <v>11</v>
      </c>
      <c r="C52" s="5">
        <f>C49</f>
        <v>1</v>
      </c>
      <c r="D52" s="7">
        <v>0</v>
      </c>
      <c r="E52" s="3">
        <f t="shared" si="11"/>
        <v>1</v>
      </c>
      <c r="F52" s="85" t="s">
        <v>867</v>
      </c>
      <c r="G52" s="77">
        <v>344.33</v>
      </c>
      <c r="H52" s="5" t="s">
        <v>0</v>
      </c>
      <c r="I52" s="78">
        <f t="shared" si="12"/>
        <v>3.4432999999999998</v>
      </c>
      <c r="J52" s="110">
        <f t="shared" si="20"/>
        <v>75</v>
      </c>
      <c r="K52" s="4">
        <v>2.5</v>
      </c>
      <c r="L52" s="5" t="s">
        <v>0</v>
      </c>
      <c r="M52" s="80">
        <f t="shared" si="14"/>
        <v>2.5000000000000001E-2</v>
      </c>
      <c r="N52" s="78">
        <f t="shared" si="15"/>
        <v>1.875</v>
      </c>
      <c r="O52" s="111">
        <f t="shared" si="16"/>
        <v>5.3182999999999998</v>
      </c>
      <c r="P52" s="125">
        <v>15</v>
      </c>
      <c r="Q52" s="4">
        <v>20</v>
      </c>
      <c r="R52" s="49">
        <v>25</v>
      </c>
      <c r="S52" s="138">
        <v>124401</v>
      </c>
    </row>
    <row r="53" spans="1:19" x14ac:dyDescent="0.25">
      <c r="A53" s="31"/>
      <c r="B53" s="8" t="s">
        <v>3</v>
      </c>
      <c r="C53" s="5">
        <f>C49</f>
        <v>1</v>
      </c>
      <c r="D53" s="7">
        <v>0</v>
      </c>
      <c r="E53" s="3">
        <f t="shared" si="11"/>
        <v>1</v>
      </c>
      <c r="F53" s="85" t="s">
        <v>867</v>
      </c>
      <c r="G53" s="77">
        <v>138.57</v>
      </c>
      <c r="H53" s="5" t="s">
        <v>0</v>
      </c>
      <c r="I53" s="78">
        <f t="shared" si="12"/>
        <v>1.3856999999999999</v>
      </c>
      <c r="J53" s="110">
        <f t="shared" si="20"/>
        <v>75</v>
      </c>
      <c r="K53" s="4">
        <v>3</v>
      </c>
      <c r="L53" s="5" t="s">
        <v>0</v>
      </c>
      <c r="M53" s="80">
        <f t="shared" si="14"/>
        <v>0.03</v>
      </c>
      <c r="N53" s="78">
        <f t="shared" si="15"/>
        <v>2.25</v>
      </c>
      <c r="O53" s="111">
        <f t="shared" si="16"/>
        <v>3.6356999999999999</v>
      </c>
      <c r="P53" s="125">
        <v>6</v>
      </c>
      <c r="Q53" s="4">
        <v>8</v>
      </c>
      <c r="R53" s="49">
        <v>10</v>
      </c>
      <c r="S53" s="138">
        <v>124746</v>
      </c>
    </row>
    <row r="54" spans="1:19" x14ac:dyDescent="0.25">
      <c r="A54" s="31"/>
      <c r="B54" s="8" t="s">
        <v>16</v>
      </c>
      <c r="C54" s="5">
        <f>2*C49</f>
        <v>2</v>
      </c>
      <c r="D54" s="7">
        <v>0</v>
      </c>
      <c r="E54" s="3">
        <f t="shared" si="11"/>
        <v>2</v>
      </c>
      <c r="F54" s="85" t="s">
        <v>867</v>
      </c>
      <c r="G54" s="77">
        <v>13.02</v>
      </c>
      <c r="H54" s="5" t="s">
        <v>0</v>
      </c>
      <c r="I54" s="78">
        <f t="shared" si="12"/>
        <v>0.26039999999999996</v>
      </c>
      <c r="J54" s="110">
        <f t="shared" si="20"/>
        <v>75</v>
      </c>
      <c r="K54" s="4">
        <v>2.6</v>
      </c>
      <c r="L54" s="5" t="s">
        <v>0</v>
      </c>
      <c r="M54" s="80">
        <f t="shared" si="14"/>
        <v>5.2000000000000005E-2</v>
      </c>
      <c r="N54" s="78">
        <f t="shared" si="15"/>
        <v>3.9000000000000004</v>
      </c>
      <c r="O54" s="111">
        <f t="shared" si="16"/>
        <v>4.1604000000000001</v>
      </c>
      <c r="P54" s="125">
        <v>3.1</v>
      </c>
      <c r="Q54" s="4">
        <v>3.88</v>
      </c>
      <c r="R54" s="49">
        <v>4.84</v>
      </c>
      <c r="S54" s="138">
        <v>140166</v>
      </c>
    </row>
    <row r="55" spans="1:19" x14ac:dyDescent="0.25">
      <c r="A55" s="31"/>
      <c r="B55" s="8" t="s">
        <v>20</v>
      </c>
      <c r="C55" s="5">
        <f>C49</f>
        <v>1</v>
      </c>
      <c r="D55" s="7">
        <v>0</v>
      </c>
      <c r="E55" s="3">
        <f t="shared" si="11"/>
        <v>1</v>
      </c>
      <c r="F55" s="85" t="s">
        <v>867</v>
      </c>
      <c r="G55" s="77">
        <v>101.91</v>
      </c>
      <c r="H55" s="5" t="s">
        <v>0</v>
      </c>
      <c r="I55" s="78">
        <f t="shared" si="12"/>
        <v>1.0190999999999999</v>
      </c>
      <c r="J55" s="110">
        <f t="shared" si="20"/>
        <v>75</v>
      </c>
      <c r="K55" s="4">
        <v>4.5</v>
      </c>
      <c r="L55" s="5" t="s">
        <v>0</v>
      </c>
      <c r="M55" s="80">
        <f t="shared" si="14"/>
        <v>4.4999999999999998E-2</v>
      </c>
      <c r="N55" s="78">
        <f t="shared" si="15"/>
        <v>3.375</v>
      </c>
      <c r="O55" s="111">
        <f t="shared" si="16"/>
        <v>4.3940999999999999</v>
      </c>
      <c r="P55" s="125">
        <v>12</v>
      </c>
      <c r="Q55" s="4">
        <v>15</v>
      </c>
      <c r="R55" s="49">
        <v>18</v>
      </c>
      <c r="S55" s="138">
        <v>138417</v>
      </c>
    </row>
    <row r="56" spans="1:19" ht="15.75" thickBot="1" x14ac:dyDescent="0.3">
      <c r="A56" s="31"/>
      <c r="B56" s="199"/>
      <c r="C56" s="5"/>
      <c r="D56" s="7"/>
      <c r="E56" s="3"/>
      <c r="F56" s="3"/>
      <c r="G56" s="77" t="s">
        <v>1202</v>
      </c>
      <c r="H56" s="5"/>
      <c r="I56" s="78"/>
      <c r="J56" s="4"/>
      <c r="K56" s="4"/>
      <c r="L56" s="5"/>
      <c r="M56" s="80"/>
      <c r="N56" s="78"/>
      <c r="O56" s="111"/>
      <c r="P56" s="125"/>
      <c r="Q56" s="4"/>
      <c r="R56" s="49"/>
      <c r="S56" s="138"/>
    </row>
    <row r="57" spans="1:19" ht="15.75" thickBot="1" x14ac:dyDescent="0.3">
      <c r="A57" s="196">
        <v>6</v>
      </c>
      <c r="B57" s="201" t="s">
        <v>1232</v>
      </c>
      <c r="C57" s="197">
        <v>10</v>
      </c>
      <c r="D57" s="7">
        <v>0</v>
      </c>
      <c r="E57" s="3">
        <f t="shared" si="11"/>
        <v>10</v>
      </c>
      <c r="F57" s="3"/>
      <c r="G57" s="77" t="s">
        <v>1202</v>
      </c>
      <c r="H57" s="5"/>
      <c r="I57" s="78"/>
      <c r="J57" s="110"/>
      <c r="K57" s="4"/>
      <c r="L57" s="5"/>
      <c r="M57" s="80"/>
      <c r="N57" s="78"/>
      <c r="O57" s="111"/>
      <c r="P57" s="125"/>
      <c r="Q57" s="4"/>
      <c r="R57" s="49"/>
      <c r="S57" s="138"/>
    </row>
    <row r="58" spans="1:19" x14ac:dyDescent="0.25">
      <c r="A58" s="31"/>
      <c r="B58" s="200" t="s">
        <v>21</v>
      </c>
      <c r="C58" s="5">
        <f>3*C57</f>
        <v>30</v>
      </c>
      <c r="D58" s="7">
        <v>0</v>
      </c>
      <c r="E58" s="3">
        <f t="shared" si="11"/>
        <v>30</v>
      </c>
      <c r="F58" s="85" t="s">
        <v>867</v>
      </c>
      <c r="G58" s="77">
        <v>793</v>
      </c>
      <c r="H58" s="5" t="s">
        <v>0</v>
      </c>
      <c r="I58" s="78">
        <f t="shared" si="12"/>
        <v>237.89999999999998</v>
      </c>
      <c r="J58" s="110">
        <f>$O$4</f>
        <v>75</v>
      </c>
      <c r="K58" s="4">
        <v>20</v>
      </c>
      <c r="L58" s="5" t="s">
        <v>0</v>
      </c>
      <c r="M58" s="80">
        <f t="shared" si="14"/>
        <v>6</v>
      </c>
      <c r="N58" s="78">
        <f t="shared" si="15"/>
        <v>450</v>
      </c>
      <c r="O58" s="111">
        <f t="shared" si="16"/>
        <v>687.9</v>
      </c>
      <c r="P58" s="125">
        <v>35</v>
      </c>
      <c r="Q58" s="4">
        <v>43.75</v>
      </c>
      <c r="R58" s="49">
        <v>52.5</v>
      </c>
      <c r="S58" s="138">
        <v>136866</v>
      </c>
    </row>
    <row r="59" spans="1:19" x14ac:dyDescent="0.25">
      <c r="A59" s="31"/>
      <c r="B59" s="8" t="s">
        <v>22</v>
      </c>
      <c r="C59" s="5">
        <f>C57</f>
        <v>10</v>
      </c>
      <c r="D59" s="7">
        <v>0</v>
      </c>
      <c r="E59" s="3">
        <f t="shared" si="11"/>
        <v>10</v>
      </c>
      <c r="F59" s="85" t="s">
        <v>867</v>
      </c>
      <c r="G59" s="77">
        <v>3413.8</v>
      </c>
      <c r="H59" s="5" t="s">
        <v>0</v>
      </c>
      <c r="I59" s="78">
        <f t="shared" si="12"/>
        <v>341.38000000000005</v>
      </c>
      <c r="J59" s="110">
        <f t="shared" ref="J59:J63" si="21">$O$4</f>
        <v>75</v>
      </c>
      <c r="K59" s="4">
        <v>26</v>
      </c>
      <c r="L59" s="5" t="s">
        <v>0</v>
      </c>
      <c r="M59" s="80">
        <f t="shared" si="14"/>
        <v>2.6</v>
      </c>
      <c r="N59" s="78">
        <f t="shared" si="15"/>
        <v>195</v>
      </c>
      <c r="O59" s="111">
        <f t="shared" si="16"/>
        <v>536.38000000000011</v>
      </c>
      <c r="P59" s="125">
        <v>27</v>
      </c>
      <c r="Q59" s="4">
        <v>32</v>
      </c>
      <c r="R59" s="49">
        <v>37</v>
      </c>
      <c r="S59" s="138">
        <v>124662</v>
      </c>
    </row>
    <row r="60" spans="1:19" x14ac:dyDescent="0.25">
      <c r="A60" s="31"/>
      <c r="B60" s="8" t="s">
        <v>23</v>
      </c>
      <c r="C60" s="5">
        <f>C57</f>
        <v>10</v>
      </c>
      <c r="D60" s="7">
        <v>0</v>
      </c>
      <c r="E60" s="3">
        <f t="shared" si="11"/>
        <v>10</v>
      </c>
      <c r="F60" s="85" t="s">
        <v>867</v>
      </c>
      <c r="G60" s="77">
        <v>1047.7</v>
      </c>
      <c r="H60" s="5" t="s">
        <v>0</v>
      </c>
      <c r="I60" s="78">
        <f t="shared" si="12"/>
        <v>104.77000000000001</v>
      </c>
      <c r="J60" s="110">
        <f t="shared" si="21"/>
        <v>75</v>
      </c>
      <c r="K60" s="4">
        <v>3.5</v>
      </c>
      <c r="L60" s="5" t="s">
        <v>0</v>
      </c>
      <c r="M60" s="80">
        <f t="shared" si="14"/>
        <v>0.35000000000000003</v>
      </c>
      <c r="N60" s="78">
        <f t="shared" si="15"/>
        <v>26.250000000000004</v>
      </c>
      <c r="O60" s="111">
        <f t="shared" si="16"/>
        <v>131.02000000000001</v>
      </c>
      <c r="P60" s="125">
        <v>15</v>
      </c>
      <c r="Q60" s="4">
        <v>20</v>
      </c>
      <c r="R60" s="49">
        <v>25</v>
      </c>
      <c r="S60" s="138">
        <v>124689</v>
      </c>
    </row>
    <row r="61" spans="1:19" x14ac:dyDescent="0.25">
      <c r="A61" s="31"/>
      <c r="B61" s="8" t="s">
        <v>3</v>
      </c>
      <c r="C61" s="5">
        <f>C57</f>
        <v>10</v>
      </c>
      <c r="D61" s="7">
        <v>0</v>
      </c>
      <c r="E61" s="3">
        <f t="shared" si="11"/>
        <v>10</v>
      </c>
      <c r="F61" s="85" t="s">
        <v>867</v>
      </c>
      <c r="G61" s="77">
        <v>138.57</v>
      </c>
      <c r="H61" s="5" t="s">
        <v>0</v>
      </c>
      <c r="I61" s="78">
        <f t="shared" si="12"/>
        <v>13.856999999999999</v>
      </c>
      <c r="J61" s="110">
        <f t="shared" si="21"/>
        <v>75</v>
      </c>
      <c r="K61" s="4">
        <v>3</v>
      </c>
      <c r="L61" s="5" t="s">
        <v>0</v>
      </c>
      <c r="M61" s="80">
        <f t="shared" si="14"/>
        <v>0.3</v>
      </c>
      <c r="N61" s="78">
        <f t="shared" si="15"/>
        <v>22.5</v>
      </c>
      <c r="O61" s="111">
        <f t="shared" si="16"/>
        <v>36.356999999999999</v>
      </c>
      <c r="P61" s="125">
        <v>6</v>
      </c>
      <c r="Q61" s="4">
        <v>8</v>
      </c>
      <c r="R61" s="49">
        <v>10</v>
      </c>
      <c r="S61" s="138">
        <v>124746</v>
      </c>
    </row>
    <row r="62" spans="1:19" x14ac:dyDescent="0.25">
      <c r="A62" s="31"/>
      <c r="B62" s="8" t="s">
        <v>16</v>
      </c>
      <c r="C62" s="5">
        <f>2*C57</f>
        <v>20</v>
      </c>
      <c r="D62" s="7">
        <v>0</v>
      </c>
      <c r="E62" s="3">
        <f t="shared" si="11"/>
        <v>20</v>
      </c>
      <c r="F62" s="85" t="s">
        <v>867</v>
      </c>
      <c r="G62" s="77">
        <v>13.02</v>
      </c>
      <c r="H62" s="5" t="s">
        <v>0</v>
      </c>
      <c r="I62" s="78">
        <f t="shared" si="12"/>
        <v>2.6039999999999996</v>
      </c>
      <c r="J62" s="110">
        <f t="shared" si="21"/>
        <v>75</v>
      </c>
      <c r="K62" s="4">
        <v>2.6</v>
      </c>
      <c r="L62" s="5" t="s">
        <v>0</v>
      </c>
      <c r="M62" s="80">
        <f t="shared" si="14"/>
        <v>0.52</v>
      </c>
      <c r="N62" s="78">
        <f t="shared" si="15"/>
        <v>39</v>
      </c>
      <c r="O62" s="111">
        <f t="shared" si="16"/>
        <v>41.603999999999999</v>
      </c>
      <c r="P62" s="125">
        <v>3.1</v>
      </c>
      <c r="Q62" s="4">
        <v>3.88</v>
      </c>
      <c r="R62" s="49">
        <v>4.84</v>
      </c>
      <c r="S62" s="138">
        <v>140166</v>
      </c>
    </row>
    <row r="63" spans="1:19" x14ac:dyDescent="0.25">
      <c r="A63" s="31"/>
      <c r="B63" s="8" t="s">
        <v>24</v>
      </c>
      <c r="C63" s="5">
        <f>C57</f>
        <v>10</v>
      </c>
      <c r="D63" s="7">
        <v>0</v>
      </c>
      <c r="E63" s="3">
        <f t="shared" si="11"/>
        <v>10</v>
      </c>
      <c r="F63" s="85" t="s">
        <v>867</v>
      </c>
      <c r="G63" s="77">
        <v>155.94</v>
      </c>
      <c r="H63" s="5" t="s">
        <v>0</v>
      </c>
      <c r="I63" s="78">
        <f t="shared" si="12"/>
        <v>15.593999999999999</v>
      </c>
      <c r="J63" s="110">
        <f t="shared" si="21"/>
        <v>75</v>
      </c>
      <c r="K63" s="4">
        <v>6</v>
      </c>
      <c r="L63" s="5" t="s">
        <v>0</v>
      </c>
      <c r="M63" s="80">
        <f t="shared" si="14"/>
        <v>0.6</v>
      </c>
      <c r="N63" s="78">
        <f t="shared" si="15"/>
        <v>45</v>
      </c>
      <c r="O63" s="111">
        <f t="shared" si="16"/>
        <v>60.594000000000001</v>
      </c>
      <c r="P63" s="125">
        <v>14</v>
      </c>
      <c r="Q63" s="4">
        <v>17.5</v>
      </c>
      <c r="R63" s="49">
        <v>21</v>
      </c>
      <c r="S63" s="138">
        <v>138420</v>
      </c>
    </row>
    <row r="64" spans="1:19" ht="15.75" thickBot="1" x14ac:dyDescent="0.3">
      <c r="A64" s="31"/>
      <c r="B64" s="199"/>
      <c r="C64" s="5"/>
      <c r="D64" s="7"/>
      <c r="E64" s="3"/>
      <c r="F64" s="3"/>
      <c r="G64" s="77" t="s">
        <v>1202</v>
      </c>
      <c r="H64" s="5"/>
      <c r="I64" s="78"/>
      <c r="J64" s="4"/>
      <c r="K64" s="4"/>
      <c r="L64" s="5"/>
      <c r="M64" s="80"/>
      <c r="N64" s="78"/>
      <c r="O64" s="111"/>
      <c r="P64" s="125"/>
      <c r="Q64" s="4"/>
      <c r="R64" s="49"/>
      <c r="S64" s="138"/>
    </row>
    <row r="65" spans="1:19" ht="15.75" thickBot="1" x14ac:dyDescent="0.3">
      <c r="A65" s="196">
        <v>7</v>
      </c>
      <c r="B65" s="201" t="s">
        <v>1232</v>
      </c>
      <c r="C65" s="197">
        <v>1</v>
      </c>
      <c r="D65" s="7">
        <v>0</v>
      </c>
      <c r="E65" s="3">
        <f t="shared" si="11"/>
        <v>1</v>
      </c>
      <c r="F65" s="3"/>
      <c r="G65" s="77" t="s">
        <v>1202</v>
      </c>
      <c r="H65" s="5"/>
      <c r="I65" s="78"/>
      <c r="J65" s="110"/>
      <c r="K65" s="4"/>
      <c r="L65" s="5"/>
      <c r="M65" s="80"/>
      <c r="N65" s="78"/>
      <c r="O65" s="111"/>
      <c r="P65" s="125"/>
      <c r="Q65" s="4"/>
      <c r="R65" s="49"/>
      <c r="S65" s="138"/>
    </row>
    <row r="66" spans="1:19" ht="16.149999999999999" customHeight="1" x14ac:dyDescent="0.25">
      <c r="A66" s="31"/>
      <c r="B66" s="200" t="s">
        <v>25</v>
      </c>
      <c r="C66" s="5">
        <f>3*C65</f>
        <v>3</v>
      </c>
      <c r="D66" s="7">
        <v>0</v>
      </c>
      <c r="E66" s="3">
        <f t="shared" si="11"/>
        <v>3</v>
      </c>
      <c r="F66" s="85" t="s">
        <v>867</v>
      </c>
      <c r="G66" s="77">
        <v>563</v>
      </c>
      <c r="H66" s="5" t="s">
        <v>0</v>
      </c>
      <c r="I66" s="78">
        <f t="shared" si="12"/>
        <v>16.89</v>
      </c>
      <c r="J66" s="110">
        <f>$O$4</f>
        <v>75</v>
      </c>
      <c r="K66" s="4">
        <v>14</v>
      </c>
      <c r="L66" s="5" t="s">
        <v>0</v>
      </c>
      <c r="M66" s="80">
        <f t="shared" si="14"/>
        <v>0.42000000000000004</v>
      </c>
      <c r="N66" s="78">
        <f t="shared" si="15"/>
        <v>31.500000000000004</v>
      </c>
      <c r="O66" s="111">
        <f t="shared" si="16"/>
        <v>48.39</v>
      </c>
      <c r="P66" s="125">
        <v>25</v>
      </c>
      <c r="Q66" s="4">
        <v>31.25</v>
      </c>
      <c r="R66" s="49">
        <v>37.5</v>
      </c>
      <c r="S66" s="138">
        <v>136872</v>
      </c>
    </row>
    <row r="67" spans="1:19" x14ac:dyDescent="0.25">
      <c r="A67" s="31"/>
      <c r="B67" s="8" t="s">
        <v>22</v>
      </c>
      <c r="C67" s="5">
        <f>C65</f>
        <v>1</v>
      </c>
      <c r="D67" s="7">
        <v>0</v>
      </c>
      <c r="E67" s="3">
        <f t="shared" si="11"/>
        <v>1</v>
      </c>
      <c r="F67" s="85" t="s">
        <v>867</v>
      </c>
      <c r="G67" s="77">
        <v>3413.8</v>
      </c>
      <c r="H67" s="5" t="s">
        <v>0</v>
      </c>
      <c r="I67" s="78">
        <f t="shared" si="12"/>
        <v>34.138000000000005</v>
      </c>
      <c r="J67" s="110">
        <f t="shared" ref="J67:J71" si="22">$O$4</f>
        <v>75</v>
      </c>
      <c r="K67" s="4">
        <v>26</v>
      </c>
      <c r="L67" s="5" t="s">
        <v>0</v>
      </c>
      <c r="M67" s="80">
        <f t="shared" si="14"/>
        <v>0.26</v>
      </c>
      <c r="N67" s="78">
        <f t="shared" si="15"/>
        <v>19.5</v>
      </c>
      <c r="O67" s="111">
        <f t="shared" si="16"/>
        <v>53.638000000000005</v>
      </c>
      <c r="P67" s="125">
        <v>27</v>
      </c>
      <c r="Q67" s="4">
        <v>32</v>
      </c>
      <c r="R67" s="49">
        <v>37</v>
      </c>
      <c r="S67" s="138">
        <v>124662</v>
      </c>
    </row>
    <row r="68" spans="1:19" x14ac:dyDescent="0.25">
      <c r="A68" s="31"/>
      <c r="B68" s="8" t="s">
        <v>23</v>
      </c>
      <c r="C68" s="5">
        <f>C65</f>
        <v>1</v>
      </c>
      <c r="D68" s="7">
        <v>0</v>
      </c>
      <c r="E68" s="3">
        <f t="shared" si="11"/>
        <v>1</v>
      </c>
      <c r="F68" s="85" t="s">
        <v>867</v>
      </c>
      <c r="G68" s="77">
        <v>1047.7</v>
      </c>
      <c r="H68" s="5" t="s">
        <v>0</v>
      </c>
      <c r="I68" s="78">
        <f t="shared" si="12"/>
        <v>10.477</v>
      </c>
      <c r="J68" s="110">
        <f t="shared" si="22"/>
        <v>75</v>
      </c>
      <c r="K68" s="4">
        <v>3.5</v>
      </c>
      <c r="L68" s="5" t="s">
        <v>0</v>
      </c>
      <c r="M68" s="80">
        <f t="shared" si="14"/>
        <v>3.5000000000000003E-2</v>
      </c>
      <c r="N68" s="78">
        <f t="shared" si="15"/>
        <v>2.6250000000000004</v>
      </c>
      <c r="O68" s="111">
        <f t="shared" si="16"/>
        <v>13.102</v>
      </c>
      <c r="P68" s="125">
        <v>15</v>
      </c>
      <c r="Q68" s="4">
        <v>20</v>
      </c>
      <c r="R68" s="49">
        <v>25</v>
      </c>
      <c r="S68" s="138">
        <v>124689</v>
      </c>
    </row>
    <row r="69" spans="1:19" x14ac:dyDescent="0.25">
      <c r="A69" s="31"/>
      <c r="B69" s="8" t="s">
        <v>3</v>
      </c>
      <c r="C69" s="5">
        <f>C65</f>
        <v>1</v>
      </c>
      <c r="D69" s="7">
        <v>0</v>
      </c>
      <c r="E69" s="3">
        <f t="shared" si="11"/>
        <v>1</v>
      </c>
      <c r="F69" s="85" t="s">
        <v>867</v>
      </c>
      <c r="G69" s="77">
        <v>138.57</v>
      </c>
      <c r="H69" s="5" t="s">
        <v>0</v>
      </c>
      <c r="I69" s="78">
        <f t="shared" si="12"/>
        <v>1.3856999999999999</v>
      </c>
      <c r="J69" s="110">
        <f t="shared" si="22"/>
        <v>75</v>
      </c>
      <c r="K69" s="4">
        <v>3</v>
      </c>
      <c r="L69" s="5" t="s">
        <v>0</v>
      </c>
      <c r="M69" s="80">
        <f t="shared" si="14"/>
        <v>0.03</v>
      </c>
      <c r="N69" s="78">
        <f t="shared" si="15"/>
        <v>2.25</v>
      </c>
      <c r="O69" s="111">
        <f t="shared" si="16"/>
        <v>3.6356999999999999</v>
      </c>
      <c r="P69" s="125">
        <v>6</v>
      </c>
      <c r="Q69" s="4">
        <v>8</v>
      </c>
      <c r="R69" s="49">
        <v>10</v>
      </c>
      <c r="S69" s="138">
        <v>124746</v>
      </c>
    </row>
    <row r="70" spans="1:19" x14ac:dyDescent="0.25">
      <c r="A70" s="31"/>
      <c r="B70" s="8" t="s">
        <v>16</v>
      </c>
      <c r="C70" s="5">
        <f>2*C65</f>
        <v>2</v>
      </c>
      <c r="D70" s="7">
        <v>0</v>
      </c>
      <c r="E70" s="3">
        <f t="shared" si="11"/>
        <v>2</v>
      </c>
      <c r="F70" s="85" t="s">
        <v>867</v>
      </c>
      <c r="G70" s="77">
        <v>13.02</v>
      </c>
      <c r="H70" s="5" t="s">
        <v>0</v>
      </c>
      <c r="I70" s="78">
        <f t="shared" si="12"/>
        <v>0.26039999999999996</v>
      </c>
      <c r="J70" s="110">
        <f t="shared" si="22"/>
        <v>75</v>
      </c>
      <c r="K70" s="4">
        <v>2.6</v>
      </c>
      <c r="L70" s="5" t="s">
        <v>0</v>
      </c>
      <c r="M70" s="80">
        <f t="shared" si="14"/>
        <v>5.2000000000000005E-2</v>
      </c>
      <c r="N70" s="78">
        <f t="shared" si="15"/>
        <v>3.9000000000000004</v>
      </c>
      <c r="O70" s="111">
        <f t="shared" si="16"/>
        <v>4.1604000000000001</v>
      </c>
      <c r="P70" s="125">
        <v>3.1</v>
      </c>
      <c r="Q70" s="4">
        <v>3.88</v>
      </c>
      <c r="R70" s="49">
        <v>4.84</v>
      </c>
      <c r="S70" s="138">
        <v>140166</v>
      </c>
    </row>
    <row r="71" spans="1:19" x14ac:dyDescent="0.25">
      <c r="A71" s="31"/>
      <c r="B71" s="8" t="s">
        <v>24</v>
      </c>
      <c r="C71" s="5">
        <f>C65</f>
        <v>1</v>
      </c>
      <c r="D71" s="7">
        <v>0</v>
      </c>
      <c r="E71" s="3">
        <f t="shared" si="11"/>
        <v>1</v>
      </c>
      <c r="F71" s="85" t="s">
        <v>867</v>
      </c>
      <c r="G71" s="77">
        <v>155.94</v>
      </c>
      <c r="H71" s="5" t="s">
        <v>0</v>
      </c>
      <c r="I71" s="78">
        <f t="shared" si="12"/>
        <v>1.5593999999999999</v>
      </c>
      <c r="J71" s="110">
        <f t="shared" si="22"/>
        <v>75</v>
      </c>
      <c r="K71" s="4">
        <v>6</v>
      </c>
      <c r="L71" s="5" t="s">
        <v>0</v>
      </c>
      <c r="M71" s="80">
        <f t="shared" si="14"/>
        <v>0.06</v>
      </c>
      <c r="N71" s="78">
        <f t="shared" si="15"/>
        <v>4.5</v>
      </c>
      <c r="O71" s="111">
        <f t="shared" si="16"/>
        <v>6.0594000000000001</v>
      </c>
      <c r="P71" s="125">
        <v>14</v>
      </c>
      <c r="Q71" s="4">
        <v>17.5</v>
      </c>
      <c r="R71" s="49">
        <v>21</v>
      </c>
      <c r="S71" s="138">
        <v>138420</v>
      </c>
    </row>
    <row r="72" spans="1:19" ht="15.75" thickBot="1" x14ac:dyDescent="0.3">
      <c r="A72" s="31"/>
      <c r="B72" s="121"/>
      <c r="C72" s="5"/>
      <c r="D72" s="7"/>
      <c r="E72" s="3"/>
      <c r="F72" s="3"/>
      <c r="G72" s="77" t="s">
        <v>1202</v>
      </c>
      <c r="H72" s="5"/>
      <c r="I72" s="78"/>
      <c r="J72" s="4"/>
      <c r="K72" s="4"/>
      <c r="L72" s="5"/>
      <c r="M72" s="80"/>
      <c r="N72" s="78"/>
      <c r="O72" s="111"/>
      <c r="P72" s="125"/>
      <c r="Q72" s="4"/>
      <c r="R72" s="49"/>
      <c r="S72" s="138"/>
    </row>
    <row r="73" spans="1:19" ht="15.75" thickBot="1" x14ac:dyDescent="0.3">
      <c r="A73" s="196">
        <v>8</v>
      </c>
      <c r="B73" s="201" t="s">
        <v>1233</v>
      </c>
      <c r="C73" s="197">
        <v>1</v>
      </c>
      <c r="D73" s="7">
        <v>0</v>
      </c>
      <c r="E73" s="3">
        <f t="shared" ref="E73:E78" si="23">C73+(C73*D73)</f>
        <v>1</v>
      </c>
      <c r="F73" s="3"/>
      <c r="G73" s="77" t="s">
        <v>1202</v>
      </c>
      <c r="H73" s="5"/>
      <c r="I73" s="78"/>
      <c r="J73" s="110"/>
      <c r="K73" s="4"/>
      <c r="L73" s="5"/>
      <c r="M73" s="80"/>
      <c r="N73" s="78"/>
      <c r="O73" s="111"/>
      <c r="P73" s="125"/>
      <c r="Q73" s="4"/>
      <c r="R73" s="49"/>
      <c r="S73" s="138"/>
    </row>
    <row r="74" spans="1:19" ht="16.149999999999999" customHeight="1" x14ac:dyDescent="0.25">
      <c r="A74" s="31"/>
      <c r="B74" s="200" t="s">
        <v>25</v>
      </c>
      <c r="C74" s="5">
        <f>4*C73</f>
        <v>4</v>
      </c>
      <c r="D74" s="7">
        <v>0</v>
      </c>
      <c r="E74" s="3">
        <f t="shared" si="23"/>
        <v>4</v>
      </c>
      <c r="F74" s="85" t="s">
        <v>867</v>
      </c>
      <c r="G74" s="77">
        <v>563</v>
      </c>
      <c r="H74" s="5" t="s">
        <v>0</v>
      </c>
      <c r="I74" s="78">
        <f t="shared" ref="I74:I78" si="24">IF(H74="C",(G74/100)*E74,IF(H74="M",(G74/1000)*E74,G74*E74))</f>
        <v>22.52</v>
      </c>
      <c r="J74" s="110">
        <f>$O$4</f>
        <v>75</v>
      </c>
      <c r="K74" s="4">
        <v>14</v>
      </c>
      <c r="L74" s="5" t="s">
        <v>0</v>
      </c>
      <c r="M74" s="80">
        <f t="shared" ref="M74:M78" si="25">IF(L74="C",(K74/100)*E74,IF(L74="M",(K74/1000)*E74,K74*E74))</f>
        <v>0.56000000000000005</v>
      </c>
      <c r="N74" s="78">
        <f t="shared" ref="N74:N78" si="26">M74*J74</f>
        <v>42.000000000000007</v>
      </c>
      <c r="O74" s="111">
        <f t="shared" ref="O74:O78" si="27">N74+I74</f>
        <v>64.52000000000001</v>
      </c>
      <c r="P74" s="125">
        <v>25</v>
      </c>
      <c r="Q74" s="4">
        <v>31.25</v>
      </c>
      <c r="R74" s="49">
        <v>37.5</v>
      </c>
      <c r="S74" s="138">
        <v>136872</v>
      </c>
    </row>
    <row r="75" spans="1:19" x14ac:dyDescent="0.25">
      <c r="A75" s="31"/>
      <c r="B75" s="8" t="s">
        <v>1234</v>
      </c>
      <c r="C75" s="5">
        <f>C73</f>
        <v>1</v>
      </c>
      <c r="D75" s="7">
        <v>0</v>
      </c>
      <c r="E75" s="3">
        <f t="shared" si="23"/>
        <v>1</v>
      </c>
      <c r="F75" s="85" t="s">
        <v>867</v>
      </c>
      <c r="G75" s="77">
        <v>4568.5200000000004</v>
      </c>
      <c r="H75" s="5" t="s">
        <v>0</v>
      </c>
      <c r="I75" s="78">
        <f t="shared" si="24"/>
        <v>45.685200000000002</v>
      </c>
      <c r="J75" s="110">
        <f t="shared" ref="J75:J78" si="28">$O$4</f>
        <v>75</v>
      </c>
      <c r="K75" s="4">
        <v>32</v>
      </c>
      <c r="L75" s="5" t="s">
        <v>0</v>
      </c>
      <c r="M75" s="80">
        <f t="shared" si="25"/>
        <v>0.32</v>
      </c>
      <c r="N75" s="78">
        <f t="shared" si="26"/>
        <v>24</v>
      </c>
      <c r="O75" s="111">
        <f t="shared" si="27"/>
        <v>69.685200000000009</v>
      </c>
      <c r="P75" s="125">
        <v>27</v>
      </c>
      <c r="Q75" s="4">
        <v>32</v>
      </c>
      <c r="R75" s="49">
        <v>37</v>
      </c>
      <c r="S75" s="138">
        <v>124662</v>
      </c>
    </row>
    <row r="76" spans="1:19" x14ac:dyDescent="0.25">
      <c r="A76" s="31"/>
      <c r="B76" s="8" t="s">
        <v>3</v>
      </c>
      <c r="C76" s="5">
        <f>C73</f>
        <v>1</v>
      </c>
      <c r="D76" s="7">
        <v>0</v>
      </c>
      <c r="E76" s="3">
        <f t="shared" si="23"/>
        <v>1</v>
      </c>
      <c r="F76" s="85" t="s">
        <v>867</v>
      </c>
      <c r="G76" s="77">
        <v>138.57</v>
      </c>
      <c r="H76" s="5" t="s">
        <v>0</v>
      </c>
      <c r="I76" s="78">
        <f t="shared" si="24"/>
        <v>1.3856999999999999</v>
      </c>
      <c r="J76" s="110">
        <f t="shared" si="28"/>
        <v>75</v>
      </c>
      <c r="K76" s="4">
        <v>3</v>
      </c>
      <c r="L76" s="5" t="s">
        <v>0</v>
      </c>
      <c r="M76" s="80">
        <f t="shared" si="25"/>
        <v>0.03</v>
      </c>
      <c r="N76" s="78">
        <f t="shared" si="26"/>
        <v>2.25</v>
      </c>
      <c r="O76" s="111">
        <f t="shared" si="27"/>
        <v>3.6356999999999999</v>
      </c>
      <c r="P76" s="125">
        <v>6</v>
      </c>
      <c r="Q76" s="4">
        <v>8</v>
      </c>
      <c r="R76" s="49">
        <v>10</v>
      </c>
      <c r="S76" s="138">
        <v>124746</v>
      </c>
    </row>
    <row r="77" spans="1:19" x14ac:dyDescent="0.25">
      <c r="A77" s="31"/>
      <c r="B77" s="8" t="s">
        <v>16</v>
      </c>
      <c r="C77" s="5">
        <f>2*C73</f>
        <v>2</v>
      </c>
      <c r="D77" s="7">
        <v>0</v>
      </c>
      <c r="E77" s="3">
        <f t="shared" si="23"/>
        <v>2</v>
      </c>
      <c r="F77" s="85" t="s">
        <v>867</v>
      </c>
      <c r="G77" s="77">
        <v>13.02</v>
      </c>
      <c r="H77" s="5" t="s">
        <v>0</v>
      </c>
      <c r="I77" s="78">
        <f t="shared" si="24"/>
        <v>0.26039999999999996</v>
      </c>
      <c r="J77" s="110">
        <f t="shared" si="28"/>
        <v>75</v>
      </c>
      <c r="K77" s="4">
        <v>2.6</v>
      </c>
      <c r="L77" s="5" t="s">
        <v>0</v>
      </c>
      <c r="M77" s="80">
        <f t="shared" si="25"/>
        <v>5.2000000000000005E-2</v>
      </c>
      <c r="N77" s="78">
        <f t="shared" si="26"/>
        <v>3.9000000000000004</v>
      </c>
      <c r="O77" s="111">
        <f t="shared" si="27"/>
        <v>4.1604000000000001</v>
      </c>
      <c r="P77" s="125">
        <v>3.1</v>
      </c>
      <c r="Q77" s="4">
        <v>3.88</v>
      </c>
      <c r="R77" s="49">
        <v>4.84</v>
      </c>
      <c r="S77" s="138">
        <v>140166</v>
      </c>
    </row>
    <row r="78" spans="1:19" x14ac:dyDescent="0.25">
      <c r="A78" s="31"/>
      <c r="B78" s="8" t="s">
        <v>1235</v>
      </c>
      <c r="C78" s="5">
        <f>C73</f>
        <v>1</v>
      </c>
      <c r="D78" s="7">
        <v>0</v>
      </c>
      <c r="E78" s="3">
        <f t="shared" si="23"/>
        <v>1</v>
      </c>
      <c r="F78" s="85" t="s">
        <v>867</v>
      </c>
      <c r="G78" s="77">
        <v>257.75</v>
      </c>
      <c r="H78" s="5" t="s">
        <v>0</v>
      </c>
      <c r="I78" s="78">
        <f t="shared" si="24"/>
        <v>2.5775000000000001</v>
      </c>
      <c r="J78" s="110">
        <f t="shared" si="28"/>
        <v>75</v>
      </c>
      <c r="K78" s="4">
        <v>7.5</v>
      </c>
      <c r="L78" s="5" t="s">
        <v>0</v>
      </c>
      <c r="M78" s="80">
        <f t="shared" si="25"/>
        <v>7.4999999999999997E-2</v>
      </c>
      <c r="N78" s="78">
        <f t="shared" si="26"/>
        <v>5.625</v>
      </c>
      <c r="O78" s="111">
        <f t="shared" si="27"/>
        <v>8.2025000000000006</v>
      </c>
      <c r="P78" s="125">
        <v>14</v>
      </c>
      <c r="Q78" s="4">
        <v>17.5</v>
      </c>
      <c r="R78" s="49">
        <v>21</v>
      </c>
      <c r="S78" s="138">
        <v>138420</v>
      </c>
    </row>
    <row r="79" spans="1:19" ht="15.75" thickBot="1" x14ac:dyDescent="0.3">
      <c r="A79" s="31"/>
      <c r="B79" s="121"/>
      <c r="C79" s="5"/>
      <c r="D79" s="7"/>
      <c r="E79" s="3"/>
      <c r="F79" s="3"/>
      <c r="G79" s="77" t="s">
        <v>1202</v>
      </c>
      <c r="H79" s="5"/>
      <c r="I79" s="78"/>
      <c r="J79" s="4"/>
      <c r="K79" s="4"/>
      <c r="L79" s="5"/>
      <c r="M79" s="80"/>
      <c r="N79" s="78"/>
      <c r="O79" s="111"/>
      <c r="P79" s="125"/>
      <c r="Q79" s="4"/>
      <c r="R79" s="49"/>
      <c r="S79" s="138"/>
    </row>
    <row r="80" spans="1:19" ht="15.75" thickBot="1" x14ac:dyDescent="0.3">
      <c r="A80" s="196">
        <v>9</v>
      </c>
      <c r="B80" s="201" t="s">
        <v>1236</v>
      </c>
      <c r="C80" s="197">
        <v>1</v>
      </c>
      <c r="D80" s="7">
        <v>0</v>
      </c>
      <c r="E80" s="3">
        <f t="shared" ref="E80:E85" si="29">C80+(C80*D80)</f>
        <v>1</v>
      </c>
      <c r="F80" s="3"/>
      <c r="G80" s="77" t="s">
        <v>1202</v>
      </c>
      <c r="H80" s="5"/>
      <c r="I80" s="78"/>
      <c r="J80" s="110"/>
      <c r="K80" s="4"/>
      <c r="L80" s="5"/>
      <c r="M80" s="80"/>
      <c r="N80" s="78"/>
      <c r="O80" s="111"/>
      <c r="P80" s="125"/>
      <c r="Q80" s="4"/>
      <c r="R80" s="49"/>
      <c r="S80" s="138"/>
    </row>
    <row r="81" spans="1:19" ht="16.149999999999999" customHeight="1" x14ac:dyDescent="0.25">
      <c r="A81" s="31"/>
      <c r="B81" s="200" t="s">
        <v>25</v>
      </c>
      <c r="C81" s="5">
        <f>5*C80</f>
        <v>5</v>
      </c>
      <c r="D81" s="7">
        <v>0</v>
      </c>
      <c r="E81" s="3">
        <f t="shared" si="29"/>
        <v>5</v>
      </c>
      <c r="F81" s="85" t="s">
        <v>867</v>
      </c>
      <c r="G81" s="77">
        <v>563</v>
      </c>
      <c r="H81" s="5" t="s">
        <v>0</v>
      </c>
      <c r="I81" s="78">
        <f t="shared" ref="I81:I85" si="30">IF(H81="C",(G81/100)*E81,IF(H81="M",(G81/1000)*E81,G81*E81))</f>
        <v>28.15</v>
      </c>
      <c r="J81" s="110">
        <f>$O$4</f>
        <v>75</v>
      </c>
      <c r="K81" s="4">
        <v>14</v>
      </c>
      <c r="L81" s="5" t="s">
        <v>0</v>
      </c>
      <c r="M81" s="80">
        <f t="shared" ref="M81:M85" si="31">IF(L81="C",(K81/100)*E81,IF(L81="M",(K81/1000)*E81,K81*E81))</f>
        <v>0.70000000000000007</v>
      </c>
      <c r="N81" s="78">
        <f t="shared" ref="N81:N85" si="32">M81*J81</f>
        <v>52.500000000000007</v>
      </c>
      <c r="O81" s="111">
        <f t="shared" ref="O81:O85" si="33">N81+I81</f>
        <v>80.650000000000006</v>
      </c>
      <c r="P81" s="125">
        <v>25</v>
      </c>
      <c r="Q81" s="4">
        <v>31.25</v>
      </c>
      <c r="R81" s="49">
        <v>37.5</v>
      </c>
      <c r="S81" s="138">
        <v>136872</v>
      </c>
    </row>
    <row r="82" spans="1:19" x14ac:dyDescent="0.25">
      <c r="A82" s="31"/>
      <c r="B82" s="8" t="s">
        <v>1237</v>
      </c>
      <c r="C82" s="5">
        <f>C80</f>
        <v>1</v>
      </c>
      <c r="D82" s="7">
        <v>0</v>
      </c>
      <c r="E82" s="3">
        <f t="shared" si="29"/>
        <v>1</v>
      </c>
      <c r="F82" s="85" t="s">
        <v>867</v>
      </c>
      <c r="G82" s="77">
        <v>7124.64</v>
      </c>
      <c r="H82" s="5" t="s">
        <v>0</v>
      </c>
      <c r="I82" s="78">
        <f t="shared" si="30"/>
        <v>71.246400000000008</v>
      </c>
      <c r="J82" s="110">
        <f t="shared" ref="J82:J85" si="34">$O$4</f>
        <v>75</v>
      </c>
      <c r="K82" s="4">
        <v>38</v>
      </c>
      <c r="L82" s="5" t="s">
        <v>0</v>
      </c>
      <c r="M82" s="80">
        <f t="shared" si="31"/>
        <v>0.38</v>
      </c>
      <c r="N82" s="78">
        <f t="shared" si="32"/>
        <v>28.5</v>
      </c>
      <c r="O82" s="111">
        <f t="shared" si="33"/>
        <v>99.746400000000008</v>
      </c>
      <c r="P82" s="125">
        <v>27</v>
      </c>
      <c r="Q82" s="4">
        <v>32</v>
      </c>
      <c r="R82" s="49">
        <v>37</v>
      </c>
      <c r="S82" s="138">
        <v>124662</v>
      </c>
    </row>
    <row r="83" spans="1:19" x14ac:dyDescent="0.25">
      <c r="A83" s="31"/>
      <c r="B83" s="8" t="s">
        <v>3</v>
      </c>
      <c r="C83" s="5">
        <f>C80</f>
        <v>1</v>
      </c>
      <c r="D83" s="7">
        <v>0</v>
      </c>
      <c r="E83" s="3">
        <f t="shared" si="29"/>
        <v>1</v>
      </c>
      <c r="F83" s="85" t="s">
        <v>867</v>
      </c>
      <c r="G83" s="77">
        <v>138.57</v>
      </c>
      <c r="H83" s="5" t="s">
        <v>0</v>
      </c>
      <c r="I83" s="78">
        <f t="shared" si="30"/>
        <v>1.3856999999999999</v>
      </c>
      <c r="J83" s="110">
        <f t="shared" si="34"/>
        <v>75</v>
      </c>
      <c r="K83" s="4">
        <v>3</v>
      </c>
      <c r="L83" s="5" t="s">
        <v>0</v>
      </c>
      <c r="M83" s="80">
        <f t="shared" si="31"/>
        <v>0.03</v>
      </c>
      <c r="N83" s="78">
        <f t="shared" si="32"/>
        <v>2.25</v>
      </c>
      <c r="O83" s="111">
        <f t="shared" si="33"/>
        <v>3.6356999999999999</v>
      </c>
      <c r="P83" s="125">
        <v>6</v>
      </c>
      <c r="Q83" s="4">
        <v>8</v>
      </c>
      <c r="R83" s="49">
        <v>10</v>
      </c>
      <c r="S83" s="138">
        <v>124746</v>
      </c>
    </row>
    <row r="84" spans="1:19" x14ac:dyDescent="0.25">
      <c r="A84" s="31"/>
      <c r="B84" s="8" t="s">
        <v>16</v>
      </c>
      <c r="C84" s="5">
        <f>2*C80</f>
        <v>2</v>
      </c>
      <c r="D84" s="7">
        <v>0</v>
      </c>
      <c r="E84" s="3">
        <f t="shared" si="29"/>
        <v>2</v>
      </c>
      <c r="F84" s="85" t="s">
        <v>867</v>
      </c>
      <c r="G84" s="77">
        <v>13.02</v>
      </c>
      <c r="H84" s="5" t="s">
        <v>0</v>
      </c>
      <c r="I84" s="78">
        <f t="shared" si="30"/>
        <v>0.26039999999999996</v>
      </c>
      <c r="J84" s="110">
        <f t="shared" si="34"/>
        <v>75</v>
      </c>
      <c r="K84" s="4">
        <v>2.6</v>
      </c>
      <c r="L84" s="5" t="s">
        <v>0</v>
      </c>
      <c r="M84" s="80">
        <f t="shared" si="31"/>
        <v>5.2000000000000005E-2</v>
      </c>
      <c r="N84" s="78">
        <f t="shared" si="32"/>
        <v>3.9000000000000004</v>
      </c>
      <c r="O84" s="111">
        <f t="shared" si="33"/>
        <v>4.1604000000000001</v>
      </c>
      <c r="P84" s="125">
        <v>3.1</v>
      </c>
      <c r="Q84" s="4">
        <v>3.88</v>
      </c>
      <c r="R84" s="49">
        <v>4.84</v>
      </c>
      <c r="S84" s="138">
        <v>140166</v>
      </c>
    </row>
    <row r="85" spans="1:19" x14ac:dyDescent="0.25">
      <c r="A85" s="31"/>
      <c r="B85" s="8" t="s">
        <v>1238</v>
      </c>
      <c r="C85" s="5">
        <f>C80</f>
        <v>1</v>
      </c>
      <c r="D85" s="7">
        <v>0</v>
      </c>
      <c r="E85" s="3">
        <f t="shared" si="29"/>
        <v>1</v>
      </c>
      <c r="F85" s="85" t="s">
        <v>867</v>
      </c>
      <c r="G85" s="77">
        <v>2057.65</v>
      </c>
      <c r="H85" s="5" t="s">
        <v>0</v>
      </c>
      <c r="I85" s="78">
        <f t="shared" si="30"/>
        <v>20.576499999999999</v>
      </c>
      <c r="J85" s="110">
        <f t="shared" si="34"/>
        <v>75</v>
      </c>
      <c r="K85" s="4">
        <v>9</v>
      </c>
      <c r="L85" s="5" t="s">
        <v>0</v>
      </c>
      <c r="M85" s="80">
        <f t="shared" si="31"/>
        <v>0.09</v>
      </c>
      <c r="N85" s="78">
        <f t="shared" si="32"/>
        <v>6.75</v>
      </c>
      <c r="O85" s="111">
        <f t="shared" si="33"/>
        <v>27.326499999999999</v>
      </c>
      <c r="P85" s="125">
        <v>14</v>
      </c>
      <c r="Q85" s="4">
        <v>17.5</v>
      </c>
      <c r="R85" s="49">
        <v>21</v>
      </c>
      <c r="S85" s="138">
        <v>138420</v>
      </c>
    </row>
    <row r="86" spans="1:19" ht="15.75" thickBot="1" x14ac:dyDescent="0.3">
      <c r="A86" s="31"/>
      <c r="B86" s="121"/>
      <c r="C86" s="5"/>
      <c r="D86" s="7"/>
      <c r="E86" s="3"/>
      <c r="F86" s="3"/>
      <c r="G86" s="77" t="s">
        <v>1202</v>
      </c>
      <c r="H86" s="5"/>
      <c r="I86" s="78"/>
      <c r="J86" s="4"/>
      <c r="K86" s="4"/>
      <c r="L86" s="5"/>
      <c r="M86" s="80"/>
      <c r="N86" s="78"/>
      <c r="O86" s="111"/>
      <c r="P86" s="125"/>
      <c r="Q86" s="4"/>
      <c r="R86" s="49"/>
      <c r="S86" s="138"/>
    </row>
    <row r="87" spans="1:19" ht="15.75" thickBot="1" x14ac:dyDescent="0.3">
      <c r="A87" s="196">
        <v>10</v>
      </c>
      <c r="B87" s="201" t="s">
        <v>1239</v>
      </c>
      <c r="C87" s="197">
        <v>1</v>
      </c>
      <c r="D87" s="7">
        <v>0</v>
      </c>
      <c r="E87" s="3">
        <f t="shared" ref="E87:E92" si="35">C87+(C87*D87)</f>
        <v>1</v>
      </c>
      <c r="F87" s="3"/>
      <c r="G87" s="77" t="s">
        <v>1202</v>
      </c>
      <c r="H87" s="5"/>
      <c r="I87" s="78"/>
      <c r="J87" s="110"/>
      <c r="K87" s="4"/>
      <c r="L87" s="5"/>
      <c r="M87" s="80"/>
      <c r="N87" s="78"/>
      <c r="O87" s="111"/>
      <c r="P87" s="125"/>
      <c r="Q87" s="4"/>
      <c r="R87" s="49"/>
      <c r="S87" s="138"/>
    </row>
    <row r="88" spans="1:19" ht="16.149999999999999" customHeight="1" x14ac:dyDescent="0.25">
      <c r="A88" s="31"/>
      <c r="B88" s="200" t="s">
        <v>25</v>
      </c>
      <c r="C88" s="5">
        <f>6*C87</f>
        <v>6</v>
      </c>
      <c r="D88" s="7">
        <v>0</v>
      </c>
      <c r="E88" s="3">
        <f t="shared" si="35"/>
        <v>6</v>
      </c>
      <c r="F88" s="85" t="s">
        <v>867</v>
      </c>
      <c r="G88" s="77">
        <v>563</v>
      </c>
      <c r="H88" s="5" t="s">
        <v>0</v>
      </c>
      <c r="I88" s="78">
        <f t="shared" ref="I88:I92" si="36">IF(H88="C",(G88/100)*E88,IF(H88="M",(G88/1000)*E88,G88*E88))</f>
        <v>33.78</v>
      </c>
      <c r="J88" s="110">
        <f>$O$4</f>
        <v>75</v>
      </c>
      <c r="K88" s="4">
        <v>14</v>
      </c>
      <c r="L88" s="5" t="s">
        <v>0</v>
      </c>
      <c r="M88" s="80">
        <f t="shared" ref="M88:M92" si="37">IF(L88="C",(K88/100)*E88,IF(L88="M",(K88/1000)*E88,K88*E88))</f>
        <v>0.84000000000000008</v>
      </c>
      <c r="N88" s="78">
        <f t="shared" ref="N88:N92" si="38">M88*J88</f>
        <v>63.000000000000007</v>
      </c>
      <c r="O88" s="111">
        <f t="shared" ref="O88:O92" si="39">N88+I88</f>
        <v>96.78</v>
      </c>
      <c r="P88" s="125">
        <v>25</v>
      </c>
      <c r="Q88" s="4">
        <v>31.25</v>
      </c>
      <c r="R88" s="49">
        <v>37.5</v>
      </c>
      <c r="S88" s="138">
        <v>136872</v>
      </c>
    </row>
    <row r="89" spans="1:19" x14ac:dyDescent="0.25">
      <c r="A89" s="31"/>
      <c r="B89" s="8" t="s">
        <v>1240</v>
      </c>
      <c r="C89" s="5">
        <f>C87</f>
        <v>1</v>
      </c>
      <c r="D89" s="7">
        <v>0</v>
      </c>
      <c r="E89" s="3">
        <f t="shared" si="35"/>
        <v>1</v>
      </c>
      <c r="F89" s="85" t="s">
        <v>867</v>
      </c>
      <c r="G89" s="77">
        <v>13006.44</v>
      </c>
      <c r="H89" s="5" t="s">
        <v>0</v>
      </c>
      <c r="I89" s="78">
        <f t="shared" si="36"/>
        <v>130.06440000000001</v>
      </c>
      <c r="J89" s="110">
        <f t="shared" ref="J89:J92" si="40">$O$4</f>
        <v>75</v>
      </c>
      <c r="K89" s="4">
        <v>44</v>
      </c>
      <c r="L89" s="5" t="s">
        <v>0</v>
      </c>
      <c r="M89" s="80">
        <f t="shared" si="37"/>
        <v>0.44</v>
      </c>
      <c r="N89" s="78">
        <f t="shared" si="38"/>
        <v>33</v>
      </c>
      <c r="O89" s="111">
        <f t="shared" si="39"/>
        <v>163.06440000000001</v>
      </c>
      <c r="P89" s="125">
        <v>27</v>
      </c>
      <c r="Q89" s="4">
        <v>32</v>
      </c>
      <c r="R89" s="49">
        <v>37</v>
      </c>
      <c r="S89" s="138">
        <v>124662</v>
      </c>
    </row>
    <row r="90" spans="1:19" x14ac:dyDescent="0.25">
      <c r="A90" s="31"/>
      <c r="B90" s="8" t="s">
        <v>3</v>
      </c>
      <c r="C90" s="5">
        <f>C87</f>
        <v>1</v>
      </c>
      <c r="D90" s="7">
        <v>0</v>
      </c>
      <c r="E90" s="3">
        <f t="shared" si="35"/>
        <v>1</v>
      </c>
      <c r="F90" s="85" t="s">
        <v>867</v>
      </c>
      <c r="G90" s="77">
        <v>138.57</v>
      </c>
      <c r="H90" s="5" t="s">
        <v>0</v>
      </c>
      <c r="I90" s="78">
        <f t="shared" si="36"/>
        <v>1.3856999999999999</v>
      </c>
      <c r="J90" s="110">
        <f t="shared" si="40"/>
        <v>75</v>
      </c>
      <c r="K90" s="4">
        <v>3</v>
      </c>
      <c r="L90" s="5" t="s">
        <v>0</v>
      </c>
      <c r="M90" s="80">
        <f t="shared" si="37"/>
        <v>0.03</v>
      </c>
      <c r="N90" s="78">
        <f t="shared" si="38"/>
        <v>2.25</v>
      </c>
      <c r="O90" s="111">
        <f t="shared" si="39"/>
        <v>3.6356999999999999</v>
      </c>
      <c r="P90" s="125">
        <v>6</v>
      </c>
      <c r="Q90" s="4">
        <v>8</v>
      </c>
      <c r="R90" s="49">
        <v>10</v>
      </c>
      <c r="S90" s="138">
        <v>124746</v>
      </c>
    </row>
    <row r="91" spans="1:19" x14ac:dyDescent="0.25">
      <c r="A91" s="31"/>
      <c r="B91" s="8" t="s">
        <v>16</v>
      </c>
      <c r="C91" s="5">
        <f>2*C87</f>
        <v>2</v>
      </c>
      <c r="D91" s="7">
        <v>0</v>
      </c>
      <c r="E91" s="3">
        <f t="shared" si="35"/>
        <v>2</v>
      </c>
      <c r="F91" s="85" t="s">
        <v>867</v>
      </c>
      <c r="G91" s="77">
        <v>13.02</v>
      </c>
      <c r="H91" s="5" t="s">
        <v>0</v>
      </c>
      <c r="I91" s="78">
        <f t="shared" si="36"/>
        <v>0.26039999999999996</v>
      </c>
      <c r="J91" s="110">
        <f t="shared" si="40"/>
        <v>75</v>
      </c>
      <c r="K91" s="4">
        <v>2.6</v>
      </c>
      <c r="L91" s="5" t="s">
        <v>0</v>
      </c>
      <c r="M91" s="80">
        <f t="shared" si="37"/>
        <v>5.2000000000000005E-2</v>
      </c>
      <c r="N91" s="78">
        <f t="shared" si="38"/>
        <v>3.9000000000000004</v>
      </c>
      <c r="O91" s="111">
        <f t="shared" si="39"/>
        <v>4.1604000000000001</v>
      </c>
      <c r="P91" s="125">
        <v>3.1</v>
      </c>
      <c r="Q91" s="4">
        <v>3.88</v>
      </c>
      <c r="R91" s="49">
        <v>4.84</v>
      </c>
      <c r="S91" s="138">
        <v>140166</v>
      </c>
    </row>
    <row r="92" spans="1:19" x14ac:dyDescent="0.25">
      <c r="A92" s="31"/>
      <c r="B92" s="8" t="s">
        <v>1241</v>
      </c>
      <c r="C92" s="5">
        <f>C87</f>
        <v>1</v>
      </c>
      <c r="D92" s="7">
        <v>0</v>
      </c>
      <c r="E92" s="3">
        <f t="shared" si="35"/>
        <v>1</v>
      </c>
      <c r="F92" s="85" t="s">
        <v>867</v>
      </c>
      <c r="G92" s="77">
        <v>2926.43</v>
      </c>
      <c r="H92" s="5" t="s">
        <v>0</v>
      </c>
      <c r="I92" s="78">
        <f t="shared" si="36"/>
        <v>29.264299999999999</v>
      </c>
      <c r="J92" s="110">
        <f t="shared" si="40"/>
        <v>75</v>
      </c>
      <c r="K92" s="4">
        <v>10.5</v>
      </c>
      <c r="L92" s="5" t="s">
        <v>0</v>
      </c>
      <c r="M92" s="80">
        <f t="shared" si="37"/>
        <v>0.105</v>
      </c>
      <c r="N92" s="78">
        <f t="shared" si="38"/>
        <v>7.875</v>
      </c>
      <c r="O92" s="111">
        <f t="shared" si="39"/>
        <v>37.139299999999999</v>
      </c>
      <c r="P92" s="125">
        <v>14</v>
      </c>
      <c r="Q92" s="4">
        <v>17.5</v>
      </c>
      <c r="R92" s="49">
        <v>21</v>
      </c>
      <c r="S92" s="138">
        <v>138420</v>
      </c>
    </row>
    <row r="93" spans="1:19" ht="15.75" thickBot="1" x14ac:dyDescent="0.3">
      <c r="A93" s="31"/>
      <c r="B93" s="121"/>
      <c r="C93" s="5"/>
      <c r="D93" s="7"/>
      <c r="E93" s="3"/>
      <c r="F93" s="3"/>
      <c r="G93" s="77" t="s">
        <v>1202</v>
      </c>
      <c r="H93" s="5"/>
      <c r="I93" s="78"/>
      <c r="J93" s="4"/>
      <c r="K93" s="4"/>
      <c r="L93" s="5"/>
      <c r="M93" s="80"/>
      <c r="N93" s="78"/>
      <c r="O93" s="111"/>
      <c r="P93" s="125"/>
      <c r="Q93" s="4"/>
      <c r="R93" s="49"/>
      <c r="S93" s="138"/>
    </row>
    <row r="94" spans="1:19" ht="15.75" thickBot="1" x14ac:dyDescent="0.3">
      <c r="A94" s="196">
        <v>11</v>
      </c>
      <c r="B94" s="201" t="s">
        <v>1242</v>
      </c>
      <c r="C94" s="197">
        <v>1</v>
      </c>
      <c r="D94" s="7">
        <v>0</v>
      </c>
      <c r="E94" s="3">
        <f t="shared" ref="E94:E99" si="41">C94+(C94*D94)</f>
        <v>1</v>
      </c>
      <c r="F94" s="3"/>
      <c r="G94" s="77" t="s">
        <v>1202</v>
      </c>
      <c r="H94" s="5"/>
      <c r="I94" s="78"/>
      <c r="J94" s="110"/>
      <c r="K94" s="4"/>
      <c r="L94" s="5"/>
      <c r="M94" s="80"/>
      <c r="N94" s="78"/>
      <c r="O94" s="111"/>
      <c r="P94" s="125"/>
      <c r="Q94" s="4"/>
      <c r="R94" s="49"/>
      <c r="S94" s="138"/>
    </row>
    <row r="95" spans="1:19" ht="16.149999999999999" customHeight="1" x14ac:dyDescent="0.25">
      <c r="A95" s="31"/>
      <c r="B95" s="200" t="s">
        <v>25</v>
      </c>
      <c r="C95" s="5">
        <f>7*C94</f>
        <v>7</v>
      </c>
      <c r="D95" s="7">
        <v>0</v>
      </c>
      <c r="E95" s="3">
        <f t="shared" si="41"/>
        <v>7</v>
      </c>
      <c r="F95" s="85" t="s">
        <v>867</v>
      </c>
      <c r="G95" s="77">
        <v>563</v>
      </c>
      <c r="H95" s="5" t="s">
        <v>0</v>
      </c>
      <c r="I95" s="78">
        <f t="shared" ref="I95:I99" si="42">IF(H95="C",(G95/100)*E95,IF(H95="M",(G95/1000)*E95,G95*E95))</f>
        <v>39.409999999999997</v>
      </c>
      <c r="J95" s="110">
        <f>$O$4</f>
        <v>75</v>
      </c>
      <c r="K95" s="4">
        <v>14</v>
      </c>
      <c r="L95" s="5" t="s">
        <v>0</v>
      </c>
      <c r="M95" s="80">
        <f t="shared" ref="M95:M99" si="43">IF(L95="C",(K95/100)*E95,IF(L95="M",(K95/1000)*E95,K95*E95))</f>
        <v>0.98000000000000009</v>
      </c>
      <c r="N95" s="78">
        <f t="shared" ref="N95:N99" si="44">M95*J95</f>
        <v>73.5</v>
      </c>
      <c r="O95" s="111">
        <f t="shared" ref="O95:O99" si="45">N95+I95</f>
        <v>112.91</v>
      </c>
      <c r="P95" s="125">
        <v>25</v>
      </c>
      <c r="Q95" s="4">
        <v>31.25</v>
      </c>
      <c r="R95" s="49">
        <v>37.5</v>
      </c>
      <c r="S95" s="138">
        <v>136872</v>
      </c>
    </row>
    <row r="96" spans="1:19" ht="15.75" customHeight="1" x14ac:dyDescent="0.25">
      <c r="A96" s="31"/>
      <c r="B96" s="8" t="s">
        <v>1243</v>
      </c>
      <c r="C96" s="5">
        <f>C94</f>
        <v>1</v>
      </c>
      <c r="D96" s="7">
        <v>0</v>
      </c>
      <c r="E96" s="3">
        <f t="shared" si="41"/>
        <v>1</v>
      </c>
      <c r="F96" s="85" t="s">
        <v>867</v>
      </c>
      <c r="G96" s="77">
        <v>60413.55</v>
      </c>
      <c r="H96" s="5" t="s">
        <v>0</v>
      </c>
      <c r="I96" s="78">
        <f t="shared" si="42"/>
        <v>604.13549999999998</v>
      </c>
      <c r="J96" s="110">
        <f t="shared" ref="J96:J99" si="46">$O$4</f>
        <v>75</v>
      </c>
      <c r="K96" s="4">
        <v>50</v>
      </c>
      <c r="L96" s="5" t="s">
        <v>0</v>
      </c>
      <c r="M96" s="80">
        <f t="shared" si="43"/>
        <v>0.5</v>
      </c>
      <c r="N96" s="78">
        <f t="shared" si="44"/>
        <v>37.5</v>
      </c>
      <c r="O96" s="111">
        <f t="shared" si="45"/>
        <v>641.63549999999998</v>
      </c>
      <c r="P96" s="125">
        <v>27</v>
      </c>
      <c r="Q96" s="4">
        <v>32</v>
      </c>
      <c r="R96" s="49">
        <v>37</v>
      </c>
      <c r="S96" s="138">
        <v>124662</v>
      </c>
    </row>
    <row r="97" spans="1:19" x14ac:dyDescent="0.25">
      <c r="A97" s="31"/>
      <c r="B97" s="8" t="s">
        <v>3</v>
      </c>
      <c r="C97" s="5">
        <f>C94</f>
        <v>1</v>
      </c>
      <c r="D97" s="7">
        <v>0</v>
      </c>
      <c r="E97" s="3">
        <f t="shared" si="41"/>
        <v>1</v>
      </c>
      <c r="F97" s="85" t="s">
        <v>867</v>
      </c>
      <c r="G97" s="77">
        <v>138.57</v>
      </c>
      <c r="H97" s="5" t="s">
        <v>0</v>
      </c>
      <c r="I97" s="78">
        <f t="shared" si="42"/>
        <v>1.3856999999999999</v>
      </c>
      <c r="J97" s="110">
        <f t="shared" si="46"/>
        <v>75</v>
      </c>
      <c r="K97" s="4">
        <v>3</v>
      </c>
      <c r="L97" s="5" t="s">
        <v>0</v>
      </c>
      <c r="M97" s="80">
        <f t="shared" si="43"/>
        <v>0.03</v>
      </c>
      <c r="N97" s="78">
        <f t="shared" si="44"/>
        <v>2.25</v>
      </c>
      <c r="O97" s="111">
        <f t="shared" si="45"/>
        <v>3.6356999999999999</v>
      </c>
      <c r="P97" s="125">
        <v>6</v>
      </c>
      <c r="Q97" s="4">
        <v>8</v>
      </c>
      <c r="R97" s="49">
        <v>10</v>
      </c>
      <c r="S97" s="138">
        <v>124746</v>
      </c>
    </row>
    <row r="98" spans="1:19" x14ac:dyDescent="0.25">
      <c r="A98" s="31"/>
      <c r="B98" s="8" t="s">
        <v>16</v>
      </c>
      <c r="C98" s="5">
        <f>2*C94</f>
        <v>2</v>
      </c>
      <c r="D98" s="7">
        <v>0</v>
      </c>
      <c r="E98" s="3">
        <f t="shared" si="41"/>
        <v>2</v>
      </c>
      <c r="F98" s="85" t="s">
        <v>867</v>
      </c>
      <c r="G98" s="77">
        <v>13.02</v>
      </c>
      <c r="H98" s="5" t="s">
        <v>0</v>
      </c>
      <c r="I98" s="78">
        <f t="shared" si="42"/>
        <v>0.26039999999999996</v>
      </c>
      <c r="J98" s="110">
        <f t="shared" si="46"/>
        <v>75</v>
      </c>
      <c r="K98" s="4">
        <v>2.6</v>
      </c>
      <c r="L98" s="5" t="s">
        <v>0</v>
      </c>
      <c r="M98" s="80">
        <f t="shared" si="43"/>
        <v>5.2000000000000005E-2</v>
      </c>
      <c r="N98" s="78">
        <f t="shared" si="44"/>
        <v>3.9000000000000004</v>
      </c>
      <c r="O98" s="111">
        <f t="shared" si="45"/>
        <v>4.1604000000000001</v>
      </c>
      <c r="P98" s="125">
        <v>3.1</v>
      </c>
      <c r="Q98" s="4">
        <v>3.88</v>
      </c>
      <c r="R98" s="49">
        <v>4.84</v>
      </c>
      <c r="S98" s="138">
        <v>140166</v>
      </c>
    </row>
    <row r="99" spans="1:19" x14ac:dyDescent="0.25">
      <c r="A99" s="31"/>
      <c r="B99" s="8" t="s">
        <v>1244</v>
      </c>
      <c r="C99" s="5">
        <f>C94</f>
        <v>1</v>
      </c>
      <c r="D99" s="7">
        <v>0</v>
      </c>
      <c r="E99" s="3">
        <f t="shared" si="41"/>
        <v>1</v>
      </c>
      <c r="F99" s="85" t="s">
        <v>867</v>
      </c>
      <c r="G99" s="77"/>
      <c r="H99" s="5" t="s">
        <v>0</v>
      </c>
      <c r="I99" s="78">
        <f t="shared" si="42"/>
        <v>0</v>
      </c>
      <c r="J99" s="110">
        <f t="shared" si="46"/>
        <v>75</v>
      </c>
      <c r="K99" s="4">
        <v>10.5</v>
      </c>
      <c r="L99" s="5" t="s">
        <v>0</v>
      </c>
      <c r="M99" s="80">
        <f t="shared" si="43"/>
        <v>0.105</v>
      </c>
      <c r="N99" s="78">
        <f t="shared" si="44"/>
        <v>7.875</v>
      </c>
      <c r="O99" s="111">
        <f t="shared" si="45"/>
        <v>7.875</v>
      </c>
      <c r="P99" s="125">
        <v>14</v>
      </c>
      <c r="Q99" s="4">
        <v>17.5</v>
      </c>
      <c r="R99" s="49">
        <v>21</v>
      </c>
      <c r="S99" s="138">
        <v>138420</v>
      </c>
    </row>
    <row r="100" spans="1:19" ht="15.75" thickBot="1" x14ac:dyDescent="0.3">
      <c r="A100" s="31"/>
      <c r="B100" s="121"/>
      <c r="C100" s="5"/>
      <c r="D100" s="7"/>
      <c r="E100" s="3"/>
      <c r="F100" s="3"/>
      <c r="G100" s="77" t="s">
        <v>1202</v>
      </c>
      <c r="H100" s="5"/>
      <c r="I100" s="78"/>
      <c r="J100" s="4"/>
      <c r="K100" s="4"/>
      <c r="L100" s="5"/>
      <c r="M100" s="80"/>
      <c r="N100" s="78"/>
      <c r="O100" s="111"/>
      <c r="P100" s="125"/>
      <c r="Q100" s="4"/>
      <c r="R100" s="49"/>
      <c r="S100" s="138"/>
    </row>
    <row r="101" spans="1:19" ht="15.75" thickBot="1" x14ac:dyDescent="0.3">
      <c r="A101" s="196">
        <v>12</v>
      </c>
      <c r="B101" s="201" t="s">
        <v>1245</v>
      </c>
      <c r="C101" s="197">
        <v>1</v>
      </c>
      <c r="D101" s="7">
        <v>0</v>
      </c>
      <c r="E101" s="3">
        <f t="shared" ref="E101:E106" si="47">C101+(C101*D101)</f>
        <v>1</v>
      </c>
      <c r="F101" s="3"/>
      <c r="G101" s="77" t="s">
        <v>1202</v>
      </c>
      <c r="H101" s="5"/>
      <c r="I101" s="78"/>
      <c r="J101" s="110"/>
      <c r="K101" s="4"/>
      <c r="L101" s="5"/>
      <c r="M101" s="80"/>
      <c r="N101" s="78"/>
      <c r="O101" s="111"/>
      <c r="P101" s="125"/>
      <c r="Q101" s="4"/>
      <c r="R101" s="49"/>
      <c r="S101" s="138"/>
    </row>
    <row r="102" spans="1:19" ht="16.149999999999999" customHeight="1" x14ac:dyDescent="0.25">
      <c r="A102" s="31"/>
      <c r="B102" s="200" t="s">
        <v>25</v>
      </c>
      <c r="C102" s="5">
        <f>8*C101</f>
        <v>8</v>
      </c>
      <c r="D102" s="7">
        <v>0</v>
      </c>
      <c r="E102" s="3">
        <f t="shared" si="47"/>
        <v>8</v>
      </c>
      <c r="F102" s="85" t="s">
        <v>867</v>
      </c>
      <c r="G102" s="77">
        <v>563</v>
      </c>
      <c r="H102" s="5" t="s">
        <v>0</v>
      </c>
      <c r="I102" s="78">
        <f t="shared" ref="I102:I106" si="48">IF(H102="C",(G102/100)*E102,IF(H102="M",(G102/1000)*E102,G102*E102))</f>
        <v>45.04</v>
      </c>
      <c r="J102" s="110">
        <f>$O$4</f>
        <v>75</v>
      </c>
      <c r="K102" s="4">
        <v>14</v>
      </c>
      <c r="L102" s="5" t="s">
        <v>0</v>
      </c>
      <c r="M102" s="80">
        <f t="shared" ref="M102:M106" si="49">IF(L102="C",(K102/100)*E102,IF(L102="M",(K102/1000)*E102,K102*E102))</f>
        <v>1.1200000000000001</v>
      </c>
      <c r="N102" s="78">
        <f t="shared" ref="N102:N106" si="50">M102*J102</f>
        <v>84.000000000000014</v>
      </c>
      <c r="O102" s="111">
        <f t="shared" ref="O102:O106" si="51">N102+I102</f>
        <v>129.04000000000002</v>
      </c>
      <c r="P102" s="125">
        <v>25</v>
      </c>
      <c r="Q102" s="4">
        <v>31.25</v>
      </c>
      <c r="R102" s="49">
        <v>37.5</v>
      </c>
      <c r="S102" s="138">
        <v>136872</v>
      </c>
    </row>
    <row r="103" spans="1:19" x14ac:dyDescent="0.25">
      <c r="A103" s="31"/>
      <c r="B103" s="8" t="s">
        <v>1246</v>
      </c>
      <c r="C103" s="5">
        <f>C101</f>
        <v>1</v>
      </c>
      <c r="D103" s="7">
        <v>0</v>
      </c>
      <c r="E103" s="3">
        <f t="shared" si="47"/>
        <v>1</v>
      </c>
      <c r="F103" s="85" t="s">
        <v>867</v>
      </c>
      <c r="G103" s="77">
        <v>67542.39</v>
      </c>
      <c r="H103" s="5" t="s">
        <v>0</v>
      </c>
      <c r="I103" s="78">
        <f t="shared" si="48"/>
        <v>675.4239</v>
      </c>
      <c r="J103" s="110">
        <f t="shared" ref="J103:J106" si="52">$O$4</f>
        <v>75</v>
      </c>
      <c r="K103" s="4">
        <v>56</v>
      </c>
      <c r="L103" s="5" t="s">
        <v>0</v>
      </c>
      <c r="M103" s="80">
        <f t="shared" si="49"/>
        <v>0.56000000000000005</v>
      </c>
      <c r="N103" s="78">
        <f t="shared" si="50"/>
        <v>42.000000000000007</v>
      </c>
      <c r="O103" s="111">
        <f t="shared" si="51"/>
        <v>717.4239</v>
      </c>
      <c r="P103" s="125">
        <v>27</v>
      </c>
      <c r="Q103" s="4">
        <v>32</v>
      </c>
      <c r="R103" s="49">
        <v>37</v>
      </c>
      <c r="S103" s="138">
        <v>124662</v>
      </c>
    </row>
    <row r="104" spans="1:19" x14ac:dyDescent="0.25">
      <c r="A104" s="31"/>
      <c r="B104" s="8" t="s">
        <v>3</v>
      </c>
      <c r="C104" s="5">
        <f>C101</f>
        <v>1</v>
      </c>
      <c r="D104" s="7">
        <v>0</v>
      </c>
      <c r="E104" s="3">
        <f t="shared" si="47"/>
        <v>1</v>
      </c>
      <c r="F104" s="85" t="s">
        <v>867</v>
      </c>
      <c r="G104" s="77">
        <v>138.57</v>
      </c>
      <c r="H104" s="5" t="s">
        <v>0</v>
      </c>
      <c r="I104" s="78">
        <f t="shared" si="48"/>
        <v>1.3856999999999999</v>
      </c>
      <c r="J104" s="110">
        <f t="shared" si="52"/>
        <v>75</v>
      </c>
      <c r="K104" s="4">
        <v>3</v>
      </c>
      <c r="L104" s="5" t="s">
        <v>0</v>
      </c>
      <c r="M104" s="80">
        <f t="shared" si="49"/>
        <v>0.03</v>
      </c>
      <c r="N104" s="78">
        <f t="shared" si="50"/>
        <v>2.25</v>
      </c>
      <c r="O104" s="111">
        <f t="shared" si="51"/>
        <v>3.6356999999999999</v>
      </c>
      <c r="P104" s="125">
        <v>6</v>
      </c>
      <c r="Q104" s="4">
        <v>8</v>
      </c>
      <c r="R104" s="49">
        <v>10</v>
      </c>
      <c r="S104" s="138">
        <v>124746</v>
      </c>
    </row>
    <row r="105" spans="1:19" x14ac:dyDescent="0.25">
      <c r="A105" s="31"/>
      <c r="B105" s="8" t="s">
        <v>16</v>
      </c>
      <c r="C105" s="5">
        <f>2*C101</f>
        <v>2</v>
      </c>
      <c r="D105" s="7">
        <v>0</v>
      </c>
      <c r="E105" s="3">
        <f t="shared" si="47"/>
        <v>2</v>
      </c>
      <c r="F105" s="85" t="s">
        <v>867</v>
      </c>
      <c r="G105" s="77">
        <v>13.02</v>
      </c>
      <c r="H105" s="5" t="s">
        <v>0</v>
      </c>
      <c r="I105" s="78">
        <f t="shared" si="48"/>
        <v>0.26039999999999996</v>
      </c>
      <c r="J105" s="110">
        <f t="shared" si="52"/>
        <v>75</v>
      </c>
      <c r="K105" s="4">
        <v>2.6</v>
      </c>
      <c r="L105" s="5" t="s">
        <v>0</v>
      </c>
      <c r="M105" s="80">
        <f t="shared" si="49"/>
        <v>5.2000000000000005E-2</v>
      </c>
      <c r="N105" s="78">
        <f t="shared" si="50"/>
        <v>3.9000000000000004</v>
      </c>
      <c r="O105" s="111">
        <f t="shared" si="51"/>
        <v>4.1604000000000001</v>
      </c>
      <c r="P105" s="125">
        <v>3.1</v>
      </c>
      <c r="Q105" s="4">
        <v>3.88</v>
      </c>
      <c r="R105" s="49">
        <v>4.84</v>
      </c>
      <c r="S105" s="138">
        <v>140166</v>
      </c>
    </row>
    <row r="106" spans="1:19" x14ac:dyDescent="0.25">
      <c r="A106" s="31"/>
      <c r="B106" s="8" t="s">
        <v>1247</v>
      </c>
      <c r="C106" s="5">
        <f>C101</f>
        <v>1</v>
      </c>
      <c r="D106" s="7">
        <v>0</v>
      </c>
      <c r="E106" s="3">
        <f t="shared" si="47"/>
        <v>1</v>
      </c>
      <c r="F106" s="85" t="s">
        <v>867</v>
      </c>
      <c r="G106" s="77"/>
      <c r="H106" s="5" t="s">
        <v>0</v>
      </c>
      <c r="I106" s="78">
        <f t="shared" si="48"/>
        <v>0</v>
      </c>
      <c r="J106" s="110">
        <f t="shared" si="52"/>
        <v>75</v>
      </c>
      <c r="K106" s="4">
        <v>10.5</v>
      </c>
      <c r="L106" s="5" t="s">
        <v>0</v>
      </c>
      <c r="M106" s="80">
        <f t="shared" si="49"/>
        <v>0.105</v>
      </c>
      <c r="N106" s="78">
        <f t="shared" si="50"/>
        <v>7.875</v>
      </c>
      <c r="O106" s="111">
        <f t="shared" si="51"/>
        <v>7.875</v>
      </c>
      <c r="P106" s="125">
        <v>14</v>
      </c>
      <c r="Q106" s="4">
        <v>17.5</v>
      </c>
      <c r="R106" s="49">
        <v>21</v>
      </c>
      <c r="S106" s="138">
        <v>138420</v>
      </c>
    </row>
    <row r="107" spans="1:19" ht="15.75" thickBot="1" x14ac:dyDescent="0.3">
      <c r="A107" s="31"/>
      <c r="B107" s="121"/>
      <c r="C107" s="5"/>
      <c r="D107" s="7"/>
      <c r="E107" s="3"/>
      <c r="F107" s="3"/>
      <c r="G107" s="77" t="s">
        <v>1202</v>
      </c>
      <c r="H107" s="5"/>
      <c r="I107" s="78"/>
      <c r="J107" s="4"/>
      <c r="K107" s="4"/>
      <c r="L107" s="5"/>
      <c r="M107" s="80"/>
      <c r="N107" s="78"/>
      <c r="O107" s="111"/>
      <c r="P107" s="125"/>
      <c r="Q107" s="4"/>
      <c r="R107" s="49"/>
      <c r="S107" s="138"/>
    </row>
    <row r="108" spans="1:19" ht="15.75" thickBot="1" x14ac:dyDescent="0.3">
      <c r="A108" s="196">
        <v>13</v>
      </c>
      <c r="B108" s="201" t="s">
        <v>1248</v>
      </c>
      <c r="C108" s="197">
        <v>1</v>
      </c>
      <c r="D108" s="7">
        <v>0</v>
      </c>
      <c r="E108" s="3">
        <f t="shared" ref="E108:E113" si="53">C108+(C108*D108)</f>
        <v>1</v>
      </c>
      <c r="F108" s="3"/>
      <c r="G108" s="77" t="s">
        <v>1202</v>
      </c>
      <c r="H108" s="5"/>
      <c r="I108" s="78"/>
      <c r="J108" s="110"/>
      <c r="K108" s="4"/>
      <c r="L108" s="5"/>
      <c r="M108" s="80"/>
      <c r="N108" s="78"/>
      <c r="O108" s="111"/>
      <c r="P108" s="125"/>
      <c r="Q108" s="4"/>
      <c r="R108" s="49"/>
      <c r="S108" s="138"/>
    </row>
    <row r="109" spans="1:19" ht="16.149999999999999" customHeight="1" x14ac:dyDescent="0.25">
      <c r="A109" s="31"/>
      <c r="B109" s="200" t="s">
        <v>25</v>
      </c>
      <c r="C109" s="5">
        <f>9*C108</f>
        <v>9</v>
      </c>
      <c r="D109" s="7">
        <v>0</v>
      </c>
      <c r="E109" s="3">
        <f t="shared" si="53"/>
        <v>9</v>
      </c>
      <c r="F109" s="85" t="s">
        <v>867</v>
      </c>
      <c r="G109" s="77">
        <v>563</v>
      </c>
      <c r="H109" s="5" t="s">
        <v>0</v>
      </c>
      <c r="I109" s="78">
        <f t="shared" ref="I109:I113" si="54">IF(H109="C",(G109/100)*E109,IF(H109="M",(G109/1000)*E109,G109*E109))</f>
        <v>50.67</v>
      </c>
      <c r="J109" s="110">
        <f>$O$4</f>
        <v>75</v>
      </c>
      <c r="K109" s="4">
        <v>14</v>
      </c>
      <c r="L109" s="5" t="s">
        <v>0</v>
      </c>
      <c r="M109" s="80">
        <f t="shared" ref="M109:M113" si="55">IF(L109="C",(K109/100)*E109,IF(L109="M",(K109/1000)*E109,K109*E109))</f>
        <v>1.2600000000000002</v>
      </c>
      <c r="N109" s="78">
        <f t="shared" ref="N109:N113" si="56">M109*J109</f>
        <v>94.500000000000014</v>
      </c>
      <c r="O109" s="111">
        <f t="shared" ref="O109:O113" si="57">N109+I109</f>
        <v>145.17000000000002</v>
      </c>
      <c r="P109" s="125">
        <v>25</v>
      </c>
      <c r="Q109" s="4">
        <v>31.25</v>
      </c>
      <c r="R109" s="49">
        <v>37.5</v>
      </c>
      <c r="S109" s="138">
        <v>136872</v>
      </c>
    </row>
    <row r="110" spans="1:19" x14ac:dyDescent="0.25">
      <c r="A110" s="31"/>
      <c r="B110" s="8" t="s">
        <v>1246</v>
      </c>
      <c r="C110" s="5">
        <f>C108</f>
        <v>1</v>
      </c>
      <c r="D110" s="7">
        <v>0</v>
      </c>
      <c r="E110" s="3">
        <f t="shared" si="53"/>
        <v>1</v>
      </c>
      <c r="F110" s="85" t="s">
        <v>867</v>
      </c>
      <c r="G110" s="77">
        <v>91260.31</v>
      </c>
      <c r="H110" s="5" t="s">
        <v>0</v>
      </c>
      <c r="I110" s="78">
        <f t="shared" si="54"/>
        <v>912.60309999999993</v>
      </c>
      <c r="J110" s="110">
        <f t="shared" ref="J110:J113" si="58">$O$4</f>
        <v>75</v>
      </c>
      <c r="K110" s="4">
        <v>62</v>
      </c>
      <c r="L110" s="5" t="s">
        <v>0</v>
      </c>
      <c r="M110" s="80">
        <f t="shared" si="55"/>
        <v>0.62</v>
      </c>
      <c r="N110" s="78">
        <f t="shared" si="56"/>
        <v>46.5</v>
      </c>
      <c r="O110" s="111">
        <f t="shared" si="57"/>
        <v>959.10309999999993</v>
      </c>
      <c r="P110" s="125">
        <v>27</v>
      </c>
      <c r="Q110" s="4">
        <v>32</v>
      </c>
      <c r="R110" s="49">
        <v>37</v>
      </c>
      <c r="S110" s="138">
        <v>124662</v>
      </c>
    </row>
    <row r="111" spans="1:19" x14ac:dyDescent="0.25">
      <c r="A111" s="31"/>
      <c r="B111" s="8" t="s">
        <v>3</v>
      </c>
      <c r="C111" s="5">
        <f>C108</f>
        <v>1</v>
      </c>
      <c r="D111" s="7">
        <v>0</v>
      </c>
      <c r="E111" s="3">
        <f t="shared" si="53"/>
        <v>1</v>
      </c>
      <c r="F111" s="85" t="s">
        <v>867</v>
      </c>
      <c r="G111" s="77">
        <v>138.57</v>
      </c>
      <c r="H111" s="5" t="s">
        <v>0</v>
      </c>
      <c r="I111" s="78">
        <f t="shared" si="54"/>
        <v>1.3856999999999999</v>
      </c>
      <c r="J111" s="110">
        <f t="shared" si="58"/>
        <v>75</v>
      </c>
      <c r="K111" s="4">
        <v>3</v>
      </c>
      <c r="L111" s="5" t="s">
        <v>0</v>
      </c>
      <c r="M111" s="80">
        <f t="shared" si="55"/>
        <v>0.03</v>
      </c>
      <c r="N111" s="78">
        <f t="shared" si="56"/>
        <v>2.25</v>
      </c>
      <c r="O111" s="111">
        <f t="shared" si="57"/>
        <v>3.6356999999999999</v>
      </c>
      <c r="P111" s="125">
        <v>6</v>
      </c>
      <c r="Q111" s="4">
        <v>8</v>
      </c>
      <c r="R111" s="49">
        <v>10</v>
      </c>
      <c r="S111" s="138">
        <v>124746</v>
      </c>
    </row>
    <row r="112" spans="1:19" x14ac:dyDescent="0.25">
      <c r="A112" s="31"/>
      <c r="B112" s="8" t="s">
        <v>16</v>
      </c>
      <c r="C112" s="5">
        <f>2*C108</f>
        <v>2</v>
      </c>
      <c r="D112" s="7">
        <v>0</v>
      </c>
      <c r="E112" s="3">
        <f t="shared" si="53"/>
        <v>2</v>
      </c>
      <c r="F112" s="85" t="s">
        <v>867</v>
      </c>
      <c r="G112" s="77">
        <v>13.02</v>
      </c>
      <c r="H112" s="5" t="s">
        <v>0</v>
      </c>
      <c r="I112" s="78">
        <f t="shared" si="54"/>
        <v>0.26039999999999996</v>
      </c>
      <c r="J112" s="110">
        <f t="shared" si="58"/>
        <v>75</v>
      </c>
      <c r="K112" s="4">
        <v>2.6</v>
      </c>
      <c r="L112" s="5" t="s">
        <v>0</v>
      </c>
      <c r="M112" s="80">
        <f t="shared" si="55"/>
        <v>5.2000000000000005E-2</v>
      </c>
      <c r="N112" s="78">
        <f t="shared" si="56"/>
        <v>3.9000000000000004</v>
      </c>
      <c r="O112" s="111">
        <f t="shared" si="57"/>
        <v>4.1604000000000001</v>
      </c>
      <c r="P112" s="125">
        <v>3.1</v>
      </c>
      <c r="Q112" s="4">
        <v>3.88</v>
      </c>
      <c r="R112" s="49">
        <v>4.84</v>
      </c>
      <c r="S112" s="138">
        <v>140166</v>
      </c>
    </row>
    <row r="113" spans="1:19" x14ac:dyDescent="0.25">
      <c r="A113" s="31"/>
      <c r="B113" s="8" t="s">
        <v>1249</v>
      </c>
      <c r="C113" s="5">
        <f>C108</f>
        <v>1</v>
      </c>
      <c r="D113" s="7">
        <v>0</v>
      </c>
      <c r="E113" s="3">
        <f t="shared" si="53"/>
        <v>1</v>
      </c>
      <c r="F113" s="85" t="s">
        <v>867</v>
      </c>
      <c r="G113" s="77"/>
      <c r="H113" s="5" t="s">
        <v>0</v>
      </c>
      <c r="I113" s="78">
        <f t="shared" si="54"/>
        <v>0</v>
      </c>
      <c r="J113" s="110">
        <f t="shared" si="58"/>
        <v>75</v>
      </c>
      <c r="K113" s="4">
        <v>10.5</v>
      </c>
      <c r="L113" s="5" t="s">
        <v>0</v>
      </c>
      <c r="M113" s="80">
        <f t="shared" si="55"/>
        <v>0.105</v>
      </c>
      <c r="N113" s="78">
        <f t="shared" si="56"/>
        <v>7.875</v>
      </c>
      <c r="O113" s="111">
        <f t="shared" si="57"/>
        <v>7.875</v>
      </c>
      <c r="P113" s="125">
        <v>14</v>
      </c>
      <c r="Q113" s="4">
        <v>17.5</v>
      </c>
      <c r="R113" s="49">
        <v>21</v>
      </c>
      <c r="S113" s="138">
        <v>138420</v>
      </c>
    </row>
    <row r="114" spans="1:19" ht="15.75" thickBot="1" x14ac:dyDescent="0.3">
      <c r="A114" s="31"/>
      <c r="B114" s="121"/>
      <c r="C114" s="5"/>
      <c r="D114" s="7"/>
      <c r="E114" s="3"/>
      <c r="F114" s="3"/>
      <c r="G114" s="77" t="s">
        <v>1202</v>
      </c>
      <c r="H114" s="5"/>
      <c r="I114" s="78"/>
      <c r="J114" s="4"/>
      <c r="K114" s="4"/>
      <c r="L114" s="5"/>
      <c r="M114" s="80"/>
      <c r="N114" s="78"/>
      <c r="O114" s="111"/>
      <c r="P114" s="125"/>
      <c r="Q114" s="4"/>
      <c r="R114" s="49"/>
      <c r="S114" s="138"/>
    </row>
    <row r="115" spans="1:19" ht="15.75" thickBot="1" x14ac:dyDescent="0.3">
      <c r="A115" s="196">
        <v>14</v>
      </c>
      <c r="B115" s="201" t="s">
        <v>1227</v>
      </c>
      <c r="C115" s="197">
        <v>10</v>
      </c>
      <c r="D115" s="7">
        <v>0</v>
      </c>
      <c r="E115" s="3">
        <f t="shared" ref="E115:E120" si="59">C115+(C115*D115)</f>
        <v>10</v>
      </c>
      <c r="F115" s="85" t="s">
        <v>867</v>
      </c>
      <c r="G115" s="77">
        <v>21.45</v>
      </c>
      <c r="H115" s="5" t="s">
        <v>1</v>
      </c>
      <c r="I115" s="78">
        <f t="shared" ref="I115:I120" si="60">IF(H115="C",(G115/100)*E115,IF(H115="M",(G115/1000)*E115,G115*E115))</f>
        <v>214.5</v>
      </c>
      <c r="J115" s="110">
        <f>$O$4</f>
        <v>75</v>
      </c>
      <c r="K115" s="4">
        <v>0.3</v>
      </c>
      <c r="L115" s="5" t="s">
        <v>1</v>
      </c>
      <c r="M115" s="80">
        <f>IF(L115="C",(K115/100)*E115,IF(L115="M",(K115/1000)*E115,K115*E115))</f>
        <v>3</v>
      </c>
      <c r="N115" s="78">
        <f>M115*J115</f>
        <v>225</v>
      </c>
      <c r="O115" s="111">
        <f>N115+I115</f>
        <v>439.5</v>
      </c>
      <c r="P115" s="125">
        <v>20</v>
      </c>
      <c r="Q115" s="4">
        <v>25</v>
      </c>
      <c r="R115" s="49">
        <v>30</v>
      </c>
      <c r="S115" s="138">
        <v>136860</v>
      </c>
    </row>
    <row r="116" spans="1:19" x14ac:dyDescent="0.25">
      <c r="A116" s="31"/>
      <c r="B116" s="200" t="s">
        <v>860</v>
      </c>
      <c r="C116" s="5">
        <f>C115</f>
        <v>10</v>
      </c>
      <c r="D116" s="7">
        <v>0</v>
      </c>
      <c r="E116" s="3">
        <f t="shared" si="59"/>
        <v>10</v>
      </c>
      <c r="F116" s="85" t="s">
        <v>867</v>
      </c>
      <c r="G116" s="77">
        <v>404.23</v>
      </c>
      <c r="H116" s="5" t="s">
        <v>0</v>
      </c>
      <c r="I116" s="78">
        <f t="shared" si="60"/>
        <v>40.423000000000002</v>
      </c>
      <c r="J116" s="110">
        <f t="shared" ref="J116:J120" si="61">$O$4</f>
        <v>75</v>
      </c>
      <c r="K116" s="4">
        <v>23</v>
      </c>
      <c r="L116" s="5" t="s">
        <v>0</v>
      </c>
      <c r="M116" s="80">
        <f t="shared" ref="M116:M120" si="62">IF(L116="C",(K116/100)*E116,IF(L116="M",(K116/1000)*E116,K116*E116))</f>
        <v>2.3000000000000003</v>
      </c>
      <c r="N116" s="78">
        <f t="shared" ref="N116:N120" si="63">M116*J116</f>
        <v>172.50000000000003</v>
      </c>
      <c r="O116" s="111">
        <f t="shared" ref="O116:O120" si="64">N116+I116</f>
        <v>212.92300000000003</v>
      </c>
      <c r="P116" s="125">
        <v>30</v>
      </c>
      <c r="Q116" s="4">
        <v>35</v>
      </c>
      <c r="R116" s="49">
        <v>40</v>
      </c>
      <c r="S116" s="138">
        <v>124314</v>
      </c>
    </row>
    <row r="117" spans="1:19" x14ac:dyDescent="0.25">
      <c r="A117" s="31"/>
      <c r="B117" s="8" t="s">
        <v>2</v>
      </c>
      <c r="C117" s="5">
        <f>C115</f>
        <v>10</v>
      </c>
      <c r="D117" s="7">
        <v>0</v>
      </c>
      <c r="E117" s="3">
        <f t="shared" si="59"/>
        <v>10</v>
      </c>
      <c r="F117" s="85" t="s">
        <v>867</v>
      </c>
      <c r="G117" s="77">
        <v>258.01</v>
      </c>
      <c r="H117" s="5" t="s">
        <v>0</v>
      </c>
      <c r="I117" s="78">
        <f t="shared" si="60"/>
        <v>25.800999999999998</v>
      </c>
      <c r="J117" s="110">
        <f t="shared" si="61"/>
        <v>75</v>
      </c>
      <c r="K117" s="4">
        <v>2.5</v>
      </c>
      <c r="L117" s="5" t="s">
        <v>0</v>
      </c>
      <c r="M117" s="80">
        <f t="shared" si="62"/>
        <v>0.25</v>
      </c>
      <c r="N117" s="78">
        <f t="shared" si="63"/>
        <v>18.75</v>
      </c>
      <c r="O117" s="111">
        <f t="shared" si="64"/>
        <v>44.551000000000002</v>
      </c>
      <c r="P117" s="125">
        <v>15</v>
      </c>
      <c r="Q117" s="4">
        <v>20</v>
      </c>
      <c r="R117" s="49">
        <v>25</v>
      </c>
      <c r="S117" s="138">
        <v>124389</v>
      </c>
    </row>
    <row r="118" spans="1:19" x14ac:dyDescent="0.25">
      <c r="A118" s="31"/>
      <c r="B118" s="8" t="s">
        <v>3</v>
      </c>
      <c r="C118" s="5">
        <f>C115</f>
        <v>10</v>
      </c>
      <c r="D118" s="7">
        <v>0</v>
      </c>
      <c r="E118" s="3">
        <f t="shared" si="59"/>
        <v>10</v>
      </c>
      <c r="F118" s="85" t="s">
        <v>867</v>
      </c>
      <c r="G118" s="77">
        <v>138.57</v>
      </c>
      <c r="H118" s="5" t="s">
        <v>0</v>
      </c>
      <c r="I118" s="78">
        <f t="shared" si="60"/>
        <v>13.856999999999999</v>
      </c>
      <c r="J118" s="110">
        <f t="shared" si="61"/>
        <v>75</v>
      </c>
      <c r="K118" s="4">
        <v>3</v>
      </c>
      <c r="L118" s="5" t="s">
        <v>0</v>
      </c>
      <c r="M118" s="80">
        <f t="shared" si="62"/>
        <v>0.3</v>
      </c>
      <c r="N118" s="78">
        <f t="shared" si="63"/>
        <v>22.5</v>
      </c>
      <c r="O118" s="111">
        <f t="shared" si="64"/>
        <v>36.356999999999999</v>
      </c>
      <c r="P118" s="125">
        <v>6</v>
      </c>
      <c r="Q118" s="4">
        <v>8</v>
      </c>
      <c r="R118" s="49">
        <v>10</v>
      </c>
      <c r="S118" s="138">
        <v>124746</v>
      </c>
    </row>
    <row r="119" spans="1:19" x14ac:dyDescent="0.25">
      <c r="A119" s="31"/>
      <c r="B119" s="8" t="s">
        <v>16</v>
      </c>
      <c r="C119" s="5">
        <f>2*C115</f>
        <v>20</v>
      </c>
      <c r="D119" s="7">
        <v>0</v>
      </c>
      <c r="E119" s="3">
        <f t="shared" si="59"/>
        <v>20</v>
      </c>
      <c r="F119" s="85" t="s">
        <v>867</v>
      </c>
      <c r="G119" s="77">
        <v>13.02</v>
      </c>
      <c r="H119" s="5" t="s">
        <v>0</v>
      </c>
      <c r="I119" s="78">
        <f t="shared" si="60"/>
        <v>2.6039999999999996</v>
      </c>
      <c r="J119" s="110">
        <f t="shared" si="61"/>
        <v>75</v>
      </c>
      <c r="K119" s="4">
        <v>2.6</v>
      </c>
      <c r="L119" s="5" t="s">
        <v>0</v>
      </c>
      <c r="M119" s="80">
        <f t="shared" si="62"/>
        <v>0.52</v>
      </c>
      <c r="N119" s="78">
        <f t="shared" si="63"/>
        <v>39</v>
      </c>
      <c r="O119" s="111">
        <f t="shared" si="64"/>
        <v>41.603999999999999</v>
      </c>
      <c r="P119" s="125">
        <v>3.1</v>
      </c>
      <c r="Q119" s="4">
        <v>3.88</v>
      </c>
      <c r="R119" s="49">
        <v>4.84</v>
      </c>
      <c r="S119" s="138">
        <v>140166</v>
      </c>
    </row>
    <row r="120" spans="1:19" x14ac:dyDescent="0.25">
      <c r="A120" s="31"/>
      <c r="B120" s="8" t="s">
        <v>17</v>
      </c>
      <c r="C120" s="5">
        <f>C115</f>
        <v>10</v>
      </c>
      <c r="D120" s="7">
        <v>0</v>
      </c>
      <c r="E120" s="3">
        <f t="shared" si="59"/>
        <v>10</v>
      </c>
      <c r="F120" s="85" t="s">
        <v>867</v>
      </c>
      <c r="G120" s="77">
        <v>52.48</v>
      </c>
      <c r="H120" s="5" t="s">
        <v>0</v>
      </c>
      <c r="I120" s="78">
        <f t="shared" si="60"/>
        <v>5.2479999999999993</v>
      </c>
      <c r="J120" s="110">
        <f t="shared" si="61"/>
        <v>75</v>
      </c>
      <c r="K120" s="4">
        <v>3</v>
      </c>
      <c r="L120" s="5" t="s">
        <v>0</v>
      </c>
      <c r="M120" s="80">
        <f t="shared" si="62"/>
        <v>0.3</v>
      </c>
      <c r="N120" s="78">
        <f t="shared" si="63"/>
        <v>22.5</v>
      </c>
      <c r="O120" s="111">
        <f t="shared" si="64"/>
        <v>27.747999999999998</v>
      </c>
      <c r="P120" s="125">
        <v>10</v>
      </c>
      <c r="Q120" s="4">
        <v>12.5</v>
      </c>
      <c r="R120" s="49">
        <v>15</v>
      </c>
      <c r="S120" s="138">
        <v>138414</v>
      </c>
    </row>
    <row r="121" spans="1:19" ht="15.75" thickBot="1" x14ac:dyDescent="0.3">
      <c r="A121" s="31"/>
      <c r="B121" s="199"/>
      <c r="C121" s="5"/>
      <c r="D121" s="7"/>
      <c r="E121" s="3"/>
      <c r="F121" s="3"/>
      <c r="G121" s="77" t="s">
        <v>1202</v>
      </c>
      <c r="H121" s="5"/>
      <c r="I121" s="78"/>
      <c r="J121" s="4"/>
      <c r="K121" s="4"/>
      <c r="L121" s="5"/>
      <c r="M121" s="80"/>
      <c r="N121" s="78"/>
      <c r="O121" s="111"/>
      <c r="P121" s="137"/>
      <c r="Q121" s="40"/>
      <c r="R121" s="92"/>
      <c r="S121" s="138"/>
    </row>
    <row r="122" spans="1:19" ht="15.75" thickBot="1" x14ac:dyDescent="0.3">
      <c r="A122" s="196">
        <v>15</v>
      </c>
      <c r="B122" s="201" t="s">
        <v>1228</v>
      </c>
      <c r="C122" s="197">
        <v>10</v>
      </c>
      <c r="D122" s="7">
        <v>0</v>
      </c>
      <c r="E122" s="3">
        <f t="shared" ref="E122:E127" si="65">C122+(C122*D122)</f>
        <v>10</v>
      </c>
      <c r="F122" s="85" t="s">
        <v>867</v>
      </c>
      <c r="G122" s="77">
        <v>74.58</v>
      </c>
      <c r="H122" s="5" t="s">
        <v>1</v>
      </c>
      <c r="I122" s="78">
        <f t="shared" ref="I122:I127" si="66">IF(H122="C",(G122/100)*E122,IF(H122="M",(G122/1000)*E122,G122*E122))</f>
        <v>745.8</v>
      </c>
      <c r="J122" s="110">
        <f>$O$4</f>
        <v>75</v>
      </c>
      <c r="K122" s="4">
        <v>0.3</v>
      </c>
      <c r="L122" s="5" t="s">
        <v>1</v>
      </c>
      <c r="M122" s="80">
        <f>IF(L122="C",(K122/100)*E122,IF(L122="M",(K122/1000)*E122,K122*E122))</f>
        <v>3</v>
      </c>
      <c r="N122" s="78">
        <f>M122*J122</f>
        <v>225</v>
      </c>
      <c r="O122" s="111">
        <f>N122+I122</f>
        <v>970.8</v>
      </c>
      <c r="P122" s="125">
        <v>20</v>
      </c>
      <c r="Q122" s="4">
        <v>25</v>
      </c>
      <c r="R122" s="49">
        <v>30</v>
      </c>
      <c r="S122" s="138">
        <v>136860</v>
      </c>
    </row>
    <row r="123" spans="1:19" x14ac:dyDescent="0.25">
      <c r="A123" s="31"/>
      <c r="B123" s="200" t="s">
        <v>860</v>
      </c>
      <c r="C123" s="5">
        <f>C122</f>
        <v>10</v>
      </c>
      <c r="D123" s="7">
        <v>0</v>
      </c>
      <c r="E123" s="3">
        <f t="shared" si="65"/>
        <v>10</v>
      </c>
      <c r="F123" s="85" t="s">
        <v>867</v>
      </c>
      <c r="G123" s="77">
        <v>404.23</v>
      </c>
      <c r="H123" s="5" t="s">
        <v>0</v>
      </c>
      <c r="I123" s="78">
        <f t="shared" si="66"/>
        <v>40.423000000000002</v>
      </c>
      <c r="J123" s="110">
        <f t="shared" ref="J123:J127" si="67">$O$4</f>
        <v>75</v>
      </c>
      <c r="K123" s="4">
        <v>23</v>
      </c>
      <c r="L123" s="5" t="s">
        <v>0</v>
      </c>
      <c r="M123" s="80">
        <f t="shared" ref="M123:M127" si="68">IF(L123="C",(K123/100)*E123,IF(L123="M",(K123/1000)*E123,K123*E123))</f>
        <v>2.3000000000000003</v>
      </c>
      <c r="N123" s="78">
        <f t="shared" ref="N123:N127" si="69">M123*J123</f>
        <v>172.50000000000003</v>
      </c>
      <c r="O123" s="111">
        <f t="shared" ref="O123:O127" si="70">N123+I123</f>
        <v>212.92300000000003</v>
      </c>
      <c r="P123" s="125">
        <v>30</v>
      </c>
      <c r="Q123" s="4">
        <v>35</v>
      </c>
      <c r="R123" s="49">
        <v>40</v>
      </c>
      <c r="S123" s="138">
        <v>124314</v>
      </c>
    </row>
    <row r="124" spans="1:19" x14ac:dyDescent="0.25">
      <c r="A124" s="31"/>
      <c r="B124" s="8" t="s">
        <v>2</v>
      </c>
      <c r="C124" s="5">
        <f>C122</f>
        <v>10</v>
      </c>
      <c r="D124" s="7">
        <v>0</v>
      </c>
      <c r="E124" s="3">
        <f t="shared" si="65"/>
        <v>10</v>
      </c>
      <c r="F124" s="85" t="s">
        <v>867</v>
      </c>
      <c r="G124" s="77">
        <v>258.01</v>
      </c>
      <c r="H124" s="5" t="s">
        <v>0</v>
      </c>
      <c r="I124" s="78">
        <f t="shared" si="66"/>
        <v>25.800999999999998</v>
      </c>
      <c r="J124" s="110">
        <f t="shared" si="67"/>
        <v>75</v>
      </c>
      <c r="K124" s="4">
        <v>2.5</v>
      </c>
      <c r="L124" s="5" t="s">
        <v>0</v>
      </c>
      <c r="M124" s="80">
        <f t="shared" si="68"/>
        <v>0.25</v>
      </c>
      <c r="N124" s="78">
        <f t="shared" si="69"/>
        <v>18.75</v>
      </c>
      <c r="O124" s="111">
        <f t="shared" si="70"/>
        <v>44.551000000000002</v>
      </c>
      <c r="P124" s="125">
        <v>15</v>
      </c>
      <c r="Q124" s="4">
        <v>20</v>
      </c>
      <c r="R124" s="49">
        <v>25</v>
      </c>
      <c r="S124" s="138">
        <v>124389</v>
      </c>
    </row>
    <row r="125" spans="1:19" x14ac:dyDescent="0.25">
      <c r="A125" s="31"/>
      <c r="B125" s="8" t="s">
        <v>3</v>
      </c>
      <c r="C125" s="5">
        <f>C122</f>
        <v>10</v>
      </c>
      <c r="D125" s="7">
        <v>0</v>
      </c>
      <c r="E125" s="3">
        <f t="shared" si="65"/>
        <v>10</v>
      </c>
      <c r="F125" s="85" t="s">
        <v>867</v>
      </c>
      <c r="G125" s="77">
        <v>138.57</v>
      </c>
      <c r="H125" s="5" t="s">
        <v>0</v>
      </c>
      <c r="I125" s="78">
        <f t="shared" si="66"/>
        <v>13.856999999999999</v>
      </c>
      <c r="J125" s="110">
        <f t="shared" si="67"/>
        <v>75</v>
      </c>
      <c r="K125" s="4">
        <v>3</v>
      </c>
      <c r="L125" s="5" t="s">
        <v>0</v>
      </c>
      <c r="M125" s="80">
        <f t="shared" si="68"/>
        <v>0.3</v>
      </c>
      <c r="N125" s="78">
        <f t="shared" si="69"/>
        <v>22.5</v>
      </c>
      <c r="O125" s="111">
        <f t="shared" si="70"/>
        <v>36.356999999999999</v>
      </c>
      <c r="P125" s="125">
        <v>6</v>
      </c>
      <c r="Q125" s="4">
        <v>8</v>
      </c>
      <c r="R125" s="49">
        <v>10</v>
      </c>
      <c r="S125" s="138">
        <v>124746</v>
      </c>
    </row>
    <row r="126" spans="1:19" x14ac:dyDescent="0.25">
      <c r="A126" s="31"/>
      <c r="B126" s="8" t="s">
        <v>16</v>
      </c>
      <c r="C126" s="5">
        <f>2*C122</f>
        <v>20</v>
      </c>
      <c r="D126" s="7">
        <v>0</v>
      </c>
      <c r="E126" s="3">
        <f t="shared" si="65"/>
        <v>20</v>
      </c>
      <c r="F126" s="85" t="s">
        <v>867</v>
      </c>
      <c r="G126" s="77">
        <v>13.02</v>
      </c>
      <c r="H126" s="5" t="s">
        <v>0</v>
      </c>
      <c r="I126" s="78">
        <f t="shared" si="66"/>
        <v>2.6039999999999996</v>
      </c>
      <c r="J126" s="110">
        <f t="shared" si="67"/>
        <v>75</v>
      </c>
      <c r="K126" s="4">
        <v>2.6</v>
      </c>
      <c r="L126" s="5" t="s">
        <v>0</v>
      </c>
      <c r="M126" s="80">
        <f t="shared" si="68"/>
        <v>0.52</v>
      </c>
      <c r="N126" s="78">
        <f t="shared" si="69"/>
        <v>39</v>
      </c>
      <c r="O126" s="111">
        <f t="shared" si="70"/>
        <v>41.603999999999999</v>
      </c>
      <c r="P126" s="125">
        <v>3.1</v>
      </c>
      <c r="Q126" s="4">
        <v>3.88</v>
      </c>
      <c r="R126" s="49">
        <v>4.84</v>
      </c>
      <c r="S126" s="138">
        <v>140166</v>
      </c>
    </row>
    <row r="127" spans="1:19" x14ac:dyDescent="0.25">
      <c r="A127" s="31"/>
      <c r="B127" s="8" t="s">
        <v>17</v>
      </c>
      <c r="C127" s="5">
        <f>C122</f>
        <v>10</v>
      </c>
      <c r="D127" s="7">
        <v>0</v>
      </c>
      <c r="E127" s="3">
        <f t="shared" si="65"/>
        <v>10</v>
      </c>
      <c r="F127" s="85" t="s">
        <v>867</v>
      </c>
      <c r="G127" s="77">
        <v>52.48</v>
      </c>
      <c r="H127" s="5" t="s">
        <v>0</v>
      </c>
      <c r="I127" s="78">
        <f t="shared" si="66"/>
        <v>5.2479999999999993</v>
      </c>
      <c r="J127" s="110">
        <f t="shared" si="67"/>
        <v>75</v>
      </c>
      <c r="K127" s="4">
        <v>3</v>
      </c>
      <c r="L127" s="5" t="s">
        <v>0</v>
      </c>
      <c r="M127" s="80">
        <f t="shared" si="68"/>
        <v>0.3</v>
      </c>
      <c r="N127" s="78">
        <f t="shared" si="69"/>
        <v>22.5</v>
      </c>
      <c r="O127" s="111">
        <f t="shared" si="70"/>
        <v>27.747999999999998</v>
      </c>
      <c r="P127" s="125">
        <v>10</v>
      </c>
      <c r="Q127" s="4">
        <v>12.5</v>
      </c>
      <c r="R127" s="49">
        <v>15</v>
      </c>
      <c r="S127" s="138">
        <v>138414</v>
      </c>
    </row>
    <row r="128" spans="1:19" ht="15.75" thickBot="1" x14ac:dyDescent="0.3">
      <c r="A128" s="31"/>
      <c r="B128" s="199"/>
      <c r="C128" s="5"/>
      <c r="D128" s="7"/>
      <c r="E128" s="3"/>
      <c r="F128" s="3"/>
      <c r="G128" s="77" t="s">
        <v>1202</v>
      </c>
      <c r="H128" s="5"/>
      <c r="I128" s="78"/>
      <c r="J128" s="4"/>
      <c r="K128" s="4"/>
      <c r="L128" s="5"/>
      <c r="M128" s="80"/>
      <c r="N128" s="78"/>
      <c r="O128" s="111"/>
      <c r="P128" s="137"/>
      <c r="Q128" s="40"/>
      <c r="R128" s="92"/>
      <c r="S128" s="138"/>
    </row>
    <row r="129" spans="1:19" ht="15.75" thickBot="1" x14ac:dyDescent="0.3">
      <c r="A129" s="196">
        <v>16</v>
      </c>
      <c r="B129" s="201" t="s">
        <v>1229</v>
      </c>
      <c r="C129" s="197">
        <v>10</v>
      </c>
      <c r="D129" s="7">
        <v>0</v>
      </c>
      <c r="E129" s="3">
        <f t="shared" ref="E129:E134" si="71">C129+(C129*D129)</f>
        <v>10</v>
      </c>
      <c r="F129" s="85" t="s">
        <v>867</v>
      </c>
      <c r="G129" s="77">
        <v>78.25</v>
      </c>
      <c r="H129" s="5" t="s">
        <v>1</v>
      </c>
      <c r="I129" s="78">
        <f t="shared" ref="I129:I134" si="72">IF(H129="C",(G129/100)*E129,IF(H129="M",(G129/1000)*E129,G129*E129))</f>
        <v>782.5</v>
      </c>
      <c r="J129" s="110">
        <f>$O$4</f>
        <v>75</v>
      </c>
      <c r="K129" s="4">
        <v>0.3</v>
      </c>
      <c r="L129" s="5" t="s">
        <v>1</v>
      </c>
      <c r="M129" s="80">
        <f>IF(L129="C",(K129/100)*E129,IF(L129="M",(K129/1000)*E129,K129*E129))</f>
        <v>3</v>
      </c>
      <c r="N129" s="78">
        <f>M129*J129</f>
        <v>225</v>
      </c>
      <c r="O129" s="111">
        <f>N129+I129</f>
        <v>1007.5</v>
      </c>
      <c r="P129" s="125">
        <v>20</v>
      </c>
      <c r="Q129" s="4">
        <v>25</v>
      </c>
      <c r="R129" s="49">
        <v>30</v>
      </c>
      <c r="S129" s="138">
        <v>136860</v>
      </c>
    </row>
    <row r="130" spans="1:19" x14ac:dyDescent="0.25">
      <c r="A130" s="31"/>
      <c r="B130" s="200" t="s">
        <v>860</v>
      </c>
      <c r="C130" s="5">
        <f>C129</f>
        <v>10</v>
      </c>
      <c r="D130" s="7">
        <v>0</v>
      </c>
      <c r="E130" s="3">
        <f t="shared" si="71"/>
        <v>10</v>
      </c>
      <c r="F130" s="85" t="s">
        <v>867</v>
      </c>
      <c r="G130" s="77">
        <v>404.23</v>
      </c>
      <c r="H130" s="5" t="s">
        <v>0</v>
      </c>
      <c r="I130" s="78">
        <f t="shared" si="72"/>
        <v>40.423000000000002</v>
      </c>
      <c r="J130" s="110">
        <f t="shared" ref="J130:J134" si="73">$O$4</f>
        <v>75</v>
      </c>
      <c r="K130" s="4">
        <v>23</v>
      </c>
      <c r="L130" s="5" t="s">
        <v>0</v>
      </c>
      <c r="M130" s="80">
        <f t="shared" ref="M130:M134" si="74">IF(L130="C",(K130/100)*E130,IF(L130="M",(K130/1000)*E130,K130*E130))</f>
        <v>2.3000000000000003</v>
      </c>
      <c r="N130" s="78">
        <f t="shared" ref="N130:N134" si="75">M130*J130</f>
        <v>172.50000000000003</v>
      </c>
      <c r="O130" s="111">
        <f t="shared" ref="O130:O134" si="76">N130+I130</f>
        <v>212.92300000000003</v>
      </c>
      <c r="P130" s="125">
        <v>30</v>
      </c>
      <c r="Q130" s="4">
        <v>35</v>
      </c>
      <c r="R130" s="49">
        <v>40</v>
      </c>
      <c r="S130" s="138">
        <v>124314</v>
      </c>
    </row>
    <row r="131" spans="1:19" x14ac:dyDescent="0.25">
      <c r="A131" s="31"/>
      <c r="B131" s="8" t="s">
        <v>2</v>
      </c>
      <c r="C131" s="5">
        <f>C129</f>
        <v>10</v>
      </c>
      <c r="D131" s="7">
        <v>0</v>
      </c>
      <c r="E131" s="3">
        <f t="shared" si="71"/>
        <v>10</v>
      </c>
      <c r="F131" s="85" t="s">
        <v>867</v>
      </c>
      <c r="G131" s="77">
        <v>258.01</v>
      </c>
      <c r="H131" s="5" t="s">
        <v>0</v>
      </c>
      <c r="I131" s="78">
        <f t="shared" si="72"/>
        <v>25.800999999999998</v>
      </c>
      <c r="J131" s="110">
        <f t="shared" si="73"/>
        <v>75</v>
      </c>
      <c r="K131" s="4">
        <v>2.5</v>
      </c>
      <c r="L131" s="5" t="s">
        <v>0</v>
      </c>
      <c r="M131" s="80">
        <f t="shared" si="74"/>
        <v>0.25</v>
      </c>
      <c r="N131" s="78">
        <f t="shared" si="75"/>
        <v>18.75</v>
      </c>
      <c r="O131" s="111">
        <f t="shared" si="76"/>
        <v>44.551000000000002</v>
      </c>
      <c r="P131" s="125">
        <v>15</v>
      </c>
      <c r="Q131" s="4">
        <v>20</v>
      </c>
      <c r="R131" s="49">
        <v>25</v>
      </c>
      <c r="S131" s="138">
        <v>124389</v>
      </c>
    </row>
    <row r="132" spans="1:19" x14ac:dyDescent="0.25">
      <c r="A132" s="31"/>
      <c r="B132" s="8" t="s">
        <v>3</v>
      </c>
      <c r="C132" s="5">
        <f>C129</f>
        <v>10</v>
      </c>
      <c r="D132" s="7">
        <v>0</v>
      </c>
      <c r="E132" s="3">
        <f t="shared" si="71"/>
        <v>10</v>
      </c>
      <c r="F132" s="85" t="s">
        <v>867</v>
      </c>
      <c r="G132" s="77">
        <v>138.57</v>
      </c>
      <c r="H132" s="5" t="s">
        <v>0</v>
      </c>
      <c r="I132" s="78">
        <f t="shared" si="72"/>
        <v>13.856999999999999</v>
      </c>
      <c r="J132" s="110">
        <f t="shared" si="73"/>
        <v>75</v>
      </c>
      <c r="K132" s="4">
        <v>3</v>
      </c>
      <c r="L132" s="5" t="s">
        <v>0</v>
      </c>
      <c r="M132" s="80">
        <f t="shared" si="74"/>
        <v>0.3</v>
      </c>
      <c r="N132" s="78">
        <f t="shared" si="75"/>
        <v>22.5</v>
      </c>
      <c r="O132" s="111">
        <f t="shared" si="76"/>
        <v>36.356999999999999</v>
      </c>
      <c r="P132" s="125">
        <v>6</v>
      </c>
      <c r="Q132" s="4">
        <v>8</v>
      </c>
      <c r="R132" s="49">
        <v>10</v>
      </c>
      <c r="S132" s="138">
        <v>124746</v>
      </c>
    </row>
    <row r="133" spans="1:19" x14ac:dyDescent="0.25">
      <c r="A133" s="31"/>
      <c r="B133" s="8" t="s">
        <v>16</v>
      </c>
      <c r="C133" s="5">
        <f>2*C129</f>
        <v>20</v>
      </c>
      <c r="D133" s="7">
        <v>0</v>
      </c>
      <c r="E133" s="3">
        <f t="shared" si="71"/>
        <v>20</v>
      </c>
      <c r="F133" s="85" t="s">
        <v>867</v>
      </c>
      <c r="G133" s="77">
        <v>13.02</v>
      </c>
      <c r="H133" s="5" t="s">
        <v>0</v>
      </c>
      <c r="I133" s="78">
        <f t="shared" si="72"/>
        <v>2.6039999999999996</v>
      </c>
      <c r="J133" s="110">
        <f t="shared" si="73"/>
        <v>75</v>
      </c>
      <c r="K133" s="4">
        <v>2.6</v>
      </c>
      <c r="L133" s="5" t="s">
        <v>0</v>
      </c>
      <c r="M133" s="80">
        <f t="shared" si="74"/>
        <v>0.52</v>
      </c>
      <c r="N133" s="78">
        <f t="shared" si="75"/>
        <v>39</v>
      </c>
      <c r="O133" s="111">
        <f t="shared" si="76"/>
        <v>41.603999999999999</v>
      </c>
      <c r="P133" s="125">
        <v>3.1</v>
      </c>
      <c r="Q133" s="4">
        <v>3.88</v>
      </c>
      <c r="R133" s="49">
        <v>4.84</v>
      </c>
      <c r="S133" s="138">
        <v>140166</v>
      </c>
    </row>
    <row r="134" spans="1:19" x14ac:dyDescent="0.25">
      <c r="A134" s="31"/>
      <c r="B134" s="8" t="s">
        <v>17</v>
      </c>
      <c r="C134" s="5">
        <f>C129</f>
        <v>10</v>
      </c>
      <c r="D134" s="7">
        <v>0</v>
      </c>
      <c r="E134" s="3">
        <f t="shared" si="71"/>
        <v>10</v>
      </c>
      <c r="F134" s="85" t="s">
        <v>867</v>
      </c>
      <c r="G134" s="77">
        <v>52.48</v>
      </c>
      <c r="H134" s="5" t="s">
        <v>0</v>
      </c>
      <c r="I134" s="78">
        <f t="shared" si="72"/>
        <v>5.2479999999999993</v>
      </c>
      <c r="J134" s="110">
        <f t="shared" si="73"/>
        <v>75</v>
      </c>
      <c r="K134" s="4">
        <v>3</v>
      </c>
      <c r="L134" s="5" t="s">
        <v>0</v>
      </c>
      <c r="M134" s="80">
        <f t="shared" si="74"/>
        <v>0.3</v>
      </c>
      <c r="N134" s="78">
        <f t="shared" si="75"/>
        <v>22.5</v>
      </c>
      <c r="O134" s="111">
        <f t="shared" si="76"/>
        <v>27.747999999999998</v>
      </c>
      <c r="P134" s="125">
        <v>10</v>
      </c>
      <c r="Q134" s="4">
        <v>12.5</v>
      </c>
      <c r="R134" s="49">
        <v>15</v>
      </c>
      <c r="S134" s="138">
        <v>138414</v>
      </c>
    </row>
    <row r="135" spans="1:19" ht="15.75" thickBot="1" x14ac:dyDescent="0.3">
      <c r="A135" s="31"/>
      <c r="B135" s="169"/>
      <c r="C135" s="5"/>
      <c r="D135" s="7"/>
      <c r="E135" s="3"/>
      <c r="F135" s="85"/>
      <c r="G135" s="77"/>
      <c r="H135" s="5"/>
      <c r="I135" s="78"/>
      <c r="J135" s="110"/>
      <c r="K135" s="4"/>
      <c r="L135" s="5"/>
      <c r="M135" s="80"/>
      <c r="N135" s="78"/>
      <c r="O135" s="111"/>
      <c r="P135" s="125"/>
      <c r="Q135" s="4"/>
      <c r="R135" s="49"/>
      <c r="S135" s="138"/>
    </row>
    <row r="136" spans="1:19" ht="15.75" thickBot="1" x14ac:dyDescent="0.3">
      <c r="A136" s="196">
        <v>17</v>
      </c>
      <c r="B136" s="201" t="s">
        <v>1230</v>
      </c>
      <c r="C136" s="197">
        <v>10</v>
      </c>
      <c r="D136" s="7">
        <v>0</v>
      </c>
      <c r="E136" s="3">
        <f t="shared" ref="E136:E141" si="77">C136+(C136*D136)</f>
        <v>10</v>
      </c>
      <c r="F136" s="85" t="s">
        <v>867</v>
      </c>
      <c r="G136" s="77">
        <v>112.78</v>
      </c>
      <c r="H136" s="5" t="s">
        <v>1</v>
      </c>
      <c r="I136" s="78">
        <f t="shared" ref="I136:I141" si="78">IF(H136="C",(G136/100)*E136,IF(H136="M",(G136/1000)*E136,G136*E136))</f>
        <v>1127.8</v>
      </c>
      <c r="J136" s="110">
        <f>$O$4</f>
        <v>75</v>
      </c>
      <c r="K136" s="4">
        <v>0.5</v>
      </c>
      <c r="L136" s="5" t="s">
        <v>1</v>
      </c>
      <c r="M136" s="80">
        <f>IF(L136="C",(K136/100)*E136,IF(L136="M",(K136/1000)*E136,K136*E136))</f>
        <v>5</v>
      </c>
      <c r="N136" s="78">
        <f>M136*J136</f>
        <v>375</v>
      </c>
      <c r="O136" s="111">
        <f>N136+I136</f>
        <v>1502.8</v>
      </c>
      <c r="P136" s="125">
        <v>20</v>
      </c>
      <c r="Q136" s="4">
        <v>25</v>
      </c>
      <c r="R136" s="49">
        <v>30</v>
      </c>
      <c r="S136" s="138">
        <v>136860</v>
      </c>
    </row>
    <row r="137" spans="1:19" x14ac:dyDescent="0.25">
      <c r="A137" s="31"/>
      <c r="B137" s="200" t="s">
        <v>860</v>
      </c>
      <c r="C137" s="5">
        <f>C136</f>
        <v>10</v>
      </c>
      <c r="D137" s="7">
        <v>0</v>
      </c>
      <c r="E137" s="3">
        <f t="shared" si="77"/>
        <v>10</v>
      </c>
      <c r="F137" s="85" t="s">
        <v>867</v>
      </c>
      <c r="G137" s="77">
        <v>404.23</v>
      </c>
      <c r="H137" s="5" t="s">
        <v>0</v>
      </c>
      <c r="I137" s="78">
        <f t="shared" si="78"/>
        <v>40.423000000000002</v>
      </c>
      <c r="J137" s="110">
        <f t="shared" ref="J137:J141" si="79">$O$4</f>
        <v>75</v>
      </c>
      <c r="K137" s="4">
        <v>23</v>
      </c>
      <c r="L137" s="5" t="s">
        <v>0</v>
      </c>
      <c r="M137" s="80">
        <f t="shared" ref="M137:M141" si="80">IF(L137="C",(K137/100)*E137,IF(L137="M",(K137/1000)*E137,K137*E137))</f>
        <v>2.3000000000000003</v>
      </c>
      <c r="N137" s="78">
        <f t="shared" ref="N137:N141" si="81">M137*J137</f>
        <v>172.50000000000003</v>
      </c>
      <c r="O137" s="111">
        <f t="shared" ref="O137:O141" si="82">N137+I137</f>
        <v>212.92300000000003</v>
      </c>
      <c r="P137" s="125">
        <v>30</v>
      </c>
      <c r="Q137" s="4">
        <v>35</v>
      </c>
      <c r="R137" s="49">
        <v>40</v>
      </c>
      <c r="S137" s="138">
        <v>124314</v>
      </c>
    </row>
    <row r="138" spans="1:19" x14ac:dyDescent="0.25">
      <c r="A138" s="31"/>
      <c r="B138" s="8" t="s">
        <v>2</v>
      </c>
      <c r="C138" s="5">
        <f>C136</f>
        <v>10</v>
      </c>
      <c r="D138" s="7">
        <v>0</v>
      </c>
      <c r="E138" s="3">
        <f t="shared" si="77"/>
        <v>10</v>
      </c>
      <c r="F138" s="85" t="s">
        <v>867</v>
      </c>
      <c r="G138" s="77">
        <v>258.01</v>
      </c>
      <c r="H138" s="5" t="s">
        <v>0</v>
      </c>
      <c r="I138" s="78">
        <f t="shared" si="78"/>
        <v>25.800999999999998</v>
      </c>
      <c r="J138" s="110">
        <f t="shared" si="79"/>
        <v>75</v>
      </c>
      <c r="K138" s="4">
        <v>2.5</v>
      </c>
      <c r="L138" s="5" t="s">
        <v>0</v>
      </c>
      <c r="M138" s="80">
        <f t="shared" si="80"/>
        <v>0.25</v>
      </c>
      <c r="N138" s="78">
        <f t="shared" si="81"/>
        <v>18.75</v>
      </c>
      <c r="O138" s="111">
        <f t="shared" si="82"/>
        <v>44.551000000000002</v>
      </c>
      <c r="P138" s="125">
        <v>15</v>
      </c>
      <c r="Q138" s="4">
        <v>20</v>
      </c>
      <c r="R138" s="49">
        <v>25</v>
      </c>
      <c r="S138" s="138">
        <v>124389</v>
      </c>
    </row>
    <row r="139" spans="1:19" x14ac:dyDescent="0.25">
      <c r="A139" s="31"/>
      <c r="B139" s="8" t="s">
        <v>3</v>
      </c>
      <c r="C139" s="5">
        <f>C136</f>
        <v>10</v>
      </c>
      <c r="D139" s="7">
        <v>0</v>
      </c>
      <c r="E139" s="3">
        <f t="shared" si="77"/>
        <v>10</v>
      </c>
      <c r="F139" s="85" t="s">
        <v>867</v>
      </c>
      <c r="G139" s="77">
        <v>138.57</v>
      </c>
      <c r="H139" s="5" t="s">
        <v>0</v>
      </c>
      <c r="I139" s="78">
        <f t="shared" si="78"/>
        <v>13.856999999999999</v>
      </c>
      <c r="J139" s="110">
        <f t="shared" si="79"/>
        <v>75</v>
      </c>
      <c r="K139" s="4">
        <v>3</v>
      </c>
      <c r="L139" s="5" t="s">
        <v>0</v>
      </c>
      <c r="M139" s="80">
        <f t="shared" si="80"/>
        <v>0.3</v>
      </c>
      <c r="N139" s="78">
        <f t="shared" si="81"/>
        <v>22.5</v>
      </c>
      <c r="O139" s="111">
        <f t="shared" si="82"/>
        <v>36.356999999999999</v>
      </c>
      <c r="P139" s="125">
        <v>6</v>
      </c>
      <c r="Q139" s="4">
        <v>8</v>
      </c>
      <c r="R139" s="49">
        <v>10</v>
      </c>
      <c r="S139" s="138">
        <v>124746</v>
      </c>
    </row>
    <row r="140" spans="1:19" x14ac:dyDescent="0.25">
      <c r="A140" s="31"/>
      <c r="B140" s="8" t="s">
        <v>16</v>
      </c>
      <c r="C140" s="5">
        <f>2*C136</f>
        <v>20</v>
      </c>
      <c r="D140" s="7">
        <v>0</v>
      </c>
      <c r="E140" s="3">
        <f t="shared" si="77"/>
        <v>20</v>
      </c>
      <c r="F140" s="85" t="s">
        <v>867</v>
      </c>
      <c r="G140" s="77">
        <v>13.02</v>
      </c>
      <c r="H140" s="5" t="s">
        <v>0</v>
      </c>
      <c r="I140" s="78">
        <f t="shared" si="78"/>
        <v>2.6039999999999996</v>
      </c>
      <c r="J140" s="110">
        <f t="shared" si="79"/>
        <v>75</v>
      </c>
      <c r="K140" s="4">
        <v>2.6</v>
      </c>
      <c r="L140" s="5" t="s">
        <v>0</v>
      </c>
      <c r="M140" s="80">
        <f t="shared" si="80"/>
        <v>0.52</v>
      </c>
      <c r="N140" s="78">
        <f t="shared" si="81"/>
        <v>39</v>
      </c>
      <c r="O140" s="111">
        <f t="shared" si="82"/>
        <v>41.603999999999999</v>
      </c>
      <c r="P140" s="125">
        <v>3.1</v>
      </c>
      <c r="Q140" s="4">
        <v>3.88</v>
      </c>
      <c r="R140" s="49">
        <v>4.84</v>
      </c>
      <c r="S140" s="138">
        <v>140166</v>
      </c>
    </row>
    <row r="141" spans="1:19" x14ac:dyDescent="0.25">
      <c r="A141" s="31"/>
      <c r="B141" s="8" t="s">
        <v>17</v>
      </c>
      <c r="C141" s="5">
        <f>C136</f>
        <v>10</v>
      </c>
      <c r="D141" s="7">
        <v>0</v>
      </c>
      <c r="E141" s="3">
        <f t="shared" si="77"/>
        <v>10</v>
      </c>
      <c r="F141" s="85" t="s">
        <v>867</v>
      </c>
      <c r="G141" s="77">
        <v>52.48</v>
      </c>
      <c r="H141" s="5" t="s">
        <v>0</v>
      </c>
      <c r="I141" s="78">
        <f t="shared" si="78"/>
        <v>5.2479999999999993</v>
      </c>
      <c r="J141" s="110">
        <f t="shared" si="79"/>
        <v>75</v>
      </c>
      <c r="K141" s="4">
        <v>3</v>
      </c>
      <c r="L141" s="5" t="s">
        <v>0</v>
      </c>
      <c r="M141" s="80">
        <f t="shared" si="80"/>
        <v>0.3</v>
      </c>
      <c r="N141" s="78">
        <f t="shared" si="81"/>
        <v>22.5</v>
      </c>
      <c r="O141" s="111">
        <f t="shared" si="82"/>
        <v>27.747999999999998</v>
      </c>
      <c r="P141" s="125">
        <v>10</v>
      </c>
      <c r="Q141" s="4">
        <v>12.5</v>
      </c>
      <c r="R141" s="49">
        <v>15</v>
      </c>
      <c r="S141" s="138">
        <v>138414</v>
      </c>
    </row>
    <row r="142" spans="1:19" ht="15.75" thickBot="1" x14ac:dyDescent="0.3">
      <c r="A142" s="31"/>
      <c r="B142" s="169"/>
      <c r="C142" s="5"/>
      <c r="D142" s="7"/>
      <c r="E142" s="3"/>
      <c r="F142" s="85"/>
      <c r="G142" s="77"/>
      <c r="H142" s="5"/>
      <c r="I142" s="78"/>
      <c r="J142" s="110"/>
      <c r="K142" s="4"/>
      <c r="L142" s="5"/>
      <c r="M142" s="80"/>
      <c r="N142" s="78"/>
      <c r="O142" s="111"/>
      <c r="P142" s="125"/>
      <c r="Q142" s="4"/>
      <c r="R142" s="49"/>
      <c r="S142" s="138"/>
    </row>
    <row r="143" spans="1:19" ht="15.75" thickBot="1" x14ac:dyDescent="0.3">
      <c r="A143" s="196">
        <v>18</v>
      </c>
      <c r="B143" s="201" t="s">
        <v>1251</v>
      </c>
      <c r="C143" s="197">
        <v>10</v>
      </c>
      <c r="D143" s="7">
        <v>0</v>
      </c>
      <c r="E143" s="3">
        <f t="shared" ref="E143:E148" si="83">C143+(C143*D143)</f>
        <v>10</v>
      </c>
      <c r="F143" s="85" t="s">
        <v>867</v>
      </c>
      <c r="G143" s="77">
        <v>115.98</v>
      </c>
      <c r="H143" s="5" t="s">
        <v>1</v>
      </c>
      <c r="I143" s="78">
        <f t="shared" ref="I143:I148" si="84">IF(H143="C",(G143/100)*E143,IF(H143="M",(G143/1000)*E143,G143*E143))</f>
        <v>1159.8</v>
      </c>
      <c r="J143" s="110">
        <f>$O$4</f>
        <v>75</v>
      </c>
      <c r="K143" s="4">
        <v>0.5</v>
      </c>
      <c r="L143" s="5" t="s">
        <v>1</v>
      </c>
      <c r="M143" s="80">
        <f>IF(L143="C",(K143/100)*E143,IF(L143="M",(K143/1000)*E143,K143*E143))</f>
        <v>5</v>
      </c>
      <c r="N143" s="78">
        <f>M143*J143</f>
        <v>375</v>
      </c>
      <c r="O143" s="111">
        <f>N143+I143</f>
        <v>1534.8</v>
      </c>
      <c r="P143" s="125">
        <v>20</v>
      </c>
      <c r="Q143" s="4">
        <v>25</v>
      </c>
      <c r="R143" s="49">
        <v>30</v>
      </c>
      <c r="S143" s="138">
        <v>136860</v>
      </c>
    </row>
    <row r="144" spans="1:19" x14ac:dyDescent="0.25">
      <c r="A144" s="31"/>
      <c r="B144" s="200" t="s">
        <v>860</v>
      </c>
      <c r="C144" s="5">
        <f>C143</f>
        <v>10</v>
      </c>
      <c r="D144" s="7">
        <v>0</v>
      </c>
      <c r="E144" s="3">
        <f t="shared" si="83"/>
        <v>10</v>
      </c>
      <c r="F144" s="85" t="s">
        <v>867</v>
      </c>
      <c r="G144" s="77">
        <v>404.23</v>
      </c>
      <c r="H144" s="5" t="s">
        <v>0</v>
      </c>
      <c r="I144" s="78">
        <f t="shared" si="84"/>
        <v>40.423000000000002</v>
      </c>
      <c r="J144" s="110">
        <f t="shared" ref="J144:J148" si="85">$O$4</f>
        <v>75</v>
      </c>
      <c r="K144" s="4">
        <v>23</v>
      </c>
      <c r="L144" s="5" t="s">
        <v>0</v>
      </c>
      <c r="M144" s="80">
        <f t="shared" ref="M144:M148" si="86">IF(L144="C",(K144/100)*E144,IF(L144="M",(K144/1000)*E144,K144*E144))</f>
        <v>2.3000000000000003</v>
      </c>
      <c r="N144" s="78">
        <f t="shared" ref="N144:N148" si="87">M144*J144</f>
        <v>172.50000000000003</v>
      </c>
      <c r="O144" s="111">
        <f t="shared" ref="O144:O148" si="88">N144+I144</f>
        <v>212.92300000000003</v>
      </c>
      <c r="P144" s="125">
        <v>30</v>
      </c>
      <c r="Q144" s="4">
        <v>35</v>
      </c>
      <c r="R144" s="49">
        <v>40</v>
      </c>
      <c r="S144" s="138">
        <v>124314</v>
      </c>
    </row>
    <row r="145" spans="1:19" x14ac:dyDescent="0.25">
      <c r="A145" s="31"/>
      <c r="B145" s="8" t="s">
        <v>2</v>
      </c>
      <c r="C145" s="5">
        <f>C143</f>
        <v>10</v>
      </c>
      <c r="D145" s="7">
        <v>0</v>
      </c>
      <c r="E145" s="3">
        <f t="shared" si="83"/>
        <v>10</v>
      </c>
      <c r="F145" s="85" t="s">
        <v>867</v>
      </c>
      <c r="G145" s="77">
        <v>258.01</v>
      </c>
      <c r="H145" s="5" t="s">
        <v>0</v>
      </c>
      <c r="I145" s="78">
        <f t="shared" si="84"/>
        <v>25.800999999999998</v>
      </c>
      <c r="J145" s="110">
        <f t="shared" si="85"/>
        <v>75</v>
      </c>
      <c r="K145" s="4">
        <v>2.5</v>
      </c>
      <c r="L145" s="5" t="s">
        <v>0</v>
      </c>
      <c r="M145" s="80">
        <f t="shared" si="86"/>
        <v>0.25</v>
      </c>
      <c r="N145" s="78">
        <f t="shared" si="87"/>
        <v>18.75</v>
      </c>
      <c r="O145" s="111">
        <f t="shared" si="88"/>
        <v>44.551000000000002</v>
      </c>
      <c r="P145" s="125">
        <v>15</v>
      </c>
      <c r="Q145" s="4">
        <v>20</v>
      </c>
      <c r="R145" s="49">
        <v>25</v>
      </c>
      <c r="S145" s="138">
        <v>124389</v>
      </c>
    </row>
    <row r="146" spans="1:19" x14ac:dyDescent="0.25">
      <c r="A146" s="31"/>
      <c r="B146" s="8" t="s">
        <v>3</v>
      </c>
      <c r="C146" s="5">
        <f>C143</f>
        <v>10</v>
      </c>
      <c r="D146" s="7">
        <v>0</v>
      </c>
      <c r="E146" s="3">
        <f t="shared" si="83"/>
        <v>10</v>
      </c>
      <c r="F146" s="85" t="s">
        <v>867</v>
      </c>
      <c r="G146" s="77">
        <v>138.57</v>
      </c>
      <c r="H146" s="5" t="s">
        <v>0</v>
      </c>
      <c r="I146" s="78">
        <f t="shared" si="84"/>
        <v>13.856999999999999</v>
      </c>
      <c r="J146" s="110">
        <f t="shared" si="85"/>
        <v>75</v>
      </c>
      <c r="K146" s="4">
        <v>3</v>
      </c>
      <c r="L146" s="5" t="s">
        <v>0</v>
      </c>
      <c r="M146" s="80">
        <f t="shared" si="86"/>
        <v>0.3</v>
      </c>
      <c r="N146" s="78">
        <f t="shared" si="87"/>
        <v>22.5</v>
      </c>
      <c r="O146" s="111">
        <f t="shared" si="88"/>
        <v>36.356999999999999</v>
      </c>
      <c r="P146" s="125">
        <v>6</v>
      </c>
      <c r="Q146" s="4">
        <v>8</v>
      </c>
      <c r="R146" s="49">
        <v>10</v>
      </c>
      <c r="S146" s="138">
        <v>124746</v>
      </c>
    </row>
    <row r="147" spans="1:19" x14ac:dyDescent="0.25">
      <c r="A147" s="31"/>
      <c r="B147" s="8" t="s">
        <v>16</v>
      </c>
      <c r="C147" s="5">
        <f>2*C143</f>
        <v>20</v>
      </c>
      <c r="D147" s="7">
        <v>0</v>
      </c>
      <c r="E147" s="3">
        <f t="shared" si="83"/>
        <v>20</v>
      </c>
      <c r="F147" s="85" t="s">
        <v>867</v>
      </c>
      <c r="G147" s="77">
        <v>13.02</v>
      </c>
      <c r="H147" s="5" t="s">
        <v>0</v>
      </c>
      <c r="I147" s="78">
        <f t="shared" si="84"/>
        <v>2.6039999999999996</v>
      </c>
      <c r="J147" s="110">
        <f t="shared" si="85"/>
        <v>75</v>
      </c>
      <c r="K147" s="4">
        <v>2.6</v>
      </c>
      <c r="L147" s="5" t="s">
        <v>0</v>
      </c>
      <c r="M147" s="80">
        <f t="shared" si="86"/>
        <v>0.52</v>
      </c>
      <c r="N147" s="78">
        <f t="shared" si="87"/>
        <v>39</v>
      </c>
      <c r="O147" s="111">
        <f t="shared" si="88"/>
        <v>41.603999999999999</v>
      </c>
      <c r="P147" s="125">
        <v>3.1</v>
      </c>
      <c r="Q147" s="4">
        <v>3.88</v>
      </c>
      <c r="R147" s="49">
        <v>4.84</v>
      </c>
      <c r="S147" s="138">
        <v>140166</v>
      </c>
    </row>
    <row r="148" spans="1:19" x14ac:dyDescent="0.25">
      <c r="A148" s="31"/>
      <c r="B148" s="8" t="s">
        <v>17</v>
      </c>
      <c r="C148" s="5">
        <f>C143</f>
        <v>10</v>
      </c>
      <c r="D148" s="7">
        <v>0</v>
      </c>
      <c r="E148" s="3">
        <f t="shared" si="83"/>
        <v>10</v>
      </c>
      <c r="F148" s="85" t="s">
        <v>867</v>
      </c>
      <c r="G148" s="77">
        <v>52.48</v>
      </c>
      <c r="H148" s="5" t="s">
        <v>0</v>
      </c>
      <c r="I148" s="78">
        <f t="shared" si="84"/>
        <v>5.2479999999999993</v>
      </c>
      <c r="J148" s="110">
        <f t="shared" si="85"/>
        <v>75</v>
      </c>
      <c r="K148" s="4">
        <v>3</v>
      </c>
      <c r="L148" s="5" t="s">
        <v>0</v>
      </c>
      <c r="M148" s="80">
        <f t="shared" si="86"/>
        <v>0.3</v>
      </c>
      <c r="N148" s="78">
        <f t="shared" si="87"/>
        <v>22.5</v>
      </c>
      <c r="O148" s="111">
        <f t="shared" si="88"/>
        <v>27.747999999999998</v>
      </c>
      <c r="P148" s="125">
        <v>10</v>
      </c>
      <c r="Q148" s="4">
        <v>12.5</v>
      </c>
      <c r="R148" s="49">
        <v>15</v>
      </c>
      <c r="S148" s="138">
        <v>138414</v>
      </c>
    </row>
    <row r="149" spans="1:19" ht="15.75" thickBot="1" x14ac:dyDescent="0.3">
      <c r="A149" s="31"/>
      <c r="B149" s="169"/>
      <c r="C149" s="5"/>
      <c r="D149" s="7"/>
      <c r="E149" s="3"/>
      <c r="F149" s="85"/>
      <c r="G149" s="77"/>
      <c r="H149" s="5"/>
      <c r="I149" s="78"/>
      <c r="J149" s="110"/>
      <c r="K149" s="4"/>
      <c r="L149" s="5"/>
      <c r="M149" s="80"/>
      <c r="N149" s="78"/>
      <c r="O149" s="111"/>
      <c r="P149" s="125"/>
      <c r="Q149" s="4"/>
      <c r="R149" s="49"/>
      <c r="S149" s="138"/>
    </row>
    <row r="150" spans="1:19" ht="15.75" thickBot="1" x14ac:dyDescent="0.3">
      <c r="A150" s="196">
        <v>18</v>
      </c>
      <c r="B150" s="201" t="s">
        <v>2630</v>
      </c>
      <c r="C150" s="197">
        <v>10</v>
      </c>
      <c r="D150" s="7"/>
      <c r="E150" s="3"/>
      <c r="F150" s="85"/>
      <c r="G150" s="77"/>
      <c r="H150" s="5"/>
      <c r="I150" s="78"/>
      <c r="J150" s="110"/>
      <c r="K150" s="4"/>
      <c r="L150" s="5"/>
      <c r="M150" s="80"/>
      <c r="N150" s="78"/>
      <c r="O150" s="111"/>
      <c r="P150" s="125">
        <v>20</v>
      </c>
      <c r="Q150" s="4">
        <v>25</v>
      </c>
      <c r="R150" s="49">
        <v>30</v>
      </c>
      <c r="S150" s="138">
        <v>136860</v>
      </c>
    </row>
    <row r="151" spans="1:19" x14ac:dyDescent="0.25">
      <c r="A151" s="31"/>
      <c r="B151" s="200" t="s">
        <v>860</v>
      </c>
      <c r="C151" s="5">
        <f>C150</f>
        <v>10</v>
      </c>
      <c r="D151" s="7">
        <v>0</v>
      </c>
      <c r="E151" s="3">
        <f t="shared" ref="E151:E155" si="89">C151+(C151*D151)</f>
        <v>10</v>
      </c>
      <c r="F151" s="85" t="s">
        <v>867</v>
      </c>
      <c r="G151" s="77">
        <v>404.23</v>
      </c>
      <c r="H151" s="5" t="s">
        <v>0</v>
      </c>
      <c r="I151" s="78">
        <f t="shared" ref="I151:I155" si="90">IF(H151="C",(G151/100)*E151,IF(H151="M",(G151/1000)*E151,G151*E151))</f>
        <v>40.423000000000002</v>
      </c>
      <c r="J151" s="110">
        <f t="shared" ref="J151:J155" si="91">$O$4</f>
        <v>75</v>
      </c>
      <c r="K151" s="4">
        <v>23</v>
      </c>
      <c r="L151" s="5" t="s">
        <v>0</v>
      </c>
      <c r="M151" s="80">
        <f t="shared" ref="M151:M155" si="92">IF(L151="C",(K151/100)*E151,IF(L151="M",(K151/1000)*E151,K151*E151))</f>
        <v>2.3000000000000003</v>
      </c>
      <c r="N151" s="78">
        <f t="shared" ref="N151:N155" si="93">M151*J151</f>
        <v>172.50000000000003</v>
      </c>
      <c r="O151" s="111">
        <f t="shared" ref="O151:O155" si="94">N151+I151</f>
        <v>212.92300000000003</v>
      </c>
      <c r="P151" s="125">
        <v>30</v>
      </c>
      <c r="Q151" s="4">
        <v>35</v>
      </c>
      <c r="R151" s="49">
        <v>40</v>
      </c>
      <c r="S151" s="138">
        <v>124314</v>
      </c>
    </row>
    <row r="152" spans="1:19" x14ac:dyDescent="0.25">
      <c r="A152" s="31"/>
      <c r="B152" s="8" t="s">
        <v>2</v>
      </c>
      <c r="C152" s="5">
        <f>C151</f>
        <v>10</v>
      </c>
      <c r="D152" s="7">
        <v>0</v>
      </c>
      <c r="E152" s="3">
        <f t="shared" si="89"/>
        <v>10</v>
      </c>
      <c r="F152" s="85" t="s">
        <v>867</v>
      </c>
      <c r="G152" s="77">
        <v>258.01</v>
      </c>
      <c r="H152" s="5" t="s">
        <v>0</v>
      </c>
      <c r="I152" s="78">
        <f t="shared" si="90"/>
        <v>25.800999999999998</v>
      </c>
      <c r="J152" s="110">
        <f t="shared" si="91"/>
        <v>75</v>
      </c>
      <c r="K152" s="4">
        <v>2.5</v>
      </c>
      <c r="L152" s="5" t="s">
        <v>0</v>
      </c>
      <c r="M152" s="80">
        <f t="shared" si="92"/>
        <v>0.25</v>
      </c>
      <c r="N152" s="78">
        <f t="shared" si="93"/>
        <v>18.75</v>
      </c>
      <c r="O152" s="111">
        <f t="shared" si="94"/>
        <v>44.551000000000002</v>
      </c>
      <c r="P152" s="125">
        <v>15</v>
      </c>
      <c r="Q152" s="4">
        <v>20</v>
      </c>
      <c r="R152" s="49">
        <v>25</v>
      </c>
      <c r="S152" s="138">
        <v>124389</v>
      </c>
    </row>
    <row r="153" spans="1:19" x14ac:dyDescent="0.25">
      <c r="A153" s="31"/>
      <c r="B153" s="8" t="s">
        <v>3</v>
      </c>
      <c r="C153" s="5">
        <f>C151</f>
        <v>10</v>
      </c>
      <c r="D153" s="7">
        <v>0</v>
      </c>
      <c r="E153" s="3">
        <f t="shared" si="89"/>
        <v>10</v>
      </c>
      <c r="F153" s="85" t="s">
        <v>867</v>
      </c>
      <c r="G153" s="77">
        <v>138.57</v>
      </c>
      <c r="H153" s="5" t="s">
        <v>0</v>
      </c>
      <c r="I153" s="78">
        <f t="shared" si="90"/>
        <v>13.856999999999999</v>
      </c>
      <c r="J153" s="110">
        <f t="shared" si="91"/>
        <v>75</v>
      </c>
      <c r="K153" s="4">
        <v>3</v>
      </c>
      <c r="L153" s="5" t="s">
        <v>0</v>
      </c>
      <c r="M153" s="80">
        <f t="shared" si="92"/>
        <v>0.3</v>
      </c>
      <c r="N153" s="78">
        <f t="shared" si="93"/>
        <v>22.5</v>
      </c>
      <c r="O153" s="111">
        <f t="shared" si="94"/>
        <v>36.356999999999999</v>
      </c>
      <c r="P153" s="125">
        <v>6</v>
      </c>
      <c r="Q153" s="4">
        <v>8</v>
      </c>
      <c r="R153" s="49">
        <v>10</v>
      </c>
      <c r="S153" s="138">
        <v>124746</v>
      </c>
    </row>
    <row r="154" spans="1:19" x14ac:dyDescent="0.25">
      <c r="A154" s="31"/>
      <c r="B154" s="8" t="s">
        <v>16</v>
      </c>
      <c r="C154" s="5">
        <f>C151*2</f>
        <v>20</v>
      </c>
      <c r="D154" s="7">
        <v>0</v>
      </c>
      <c r="E154" s="3">
        <f t="shared" si="89"/>
        <v>20</v>
      </c>
      <c r="F154" s="85" t="s">
        <v>867</v>
      </c>
      <c r="G154" s="77">
        <v>13.02</v>
      </c>
      <c r="H154" s="5" t="s">
        <v>0</v>
      </c>
      <c r="I154" s="78">
        <f t="shared" si="90"/>
        <v>2.6039999999999996</v>
      </c>
      <c r="J154" s="110">
        <f t="shared" si="91"/>
        <v>75</v>
      </c>
      <c r="K154" s="4">
        <v>2.6</v>
      </c>
      <c r="L154" s="5" t="s">
        <v>0</v>
      </c>
      <c r="M154" s="80">
        <f t="shared" si="92"/>
        <v>0.52</v>
      </c>
      <c r="N154" s="78">
        <f t="shared" si="93"/>
        <v>39</v>
      </c>
      <c r="O154" s="111">
        <f t="shared" si="94"/>
        <v>41.603999999999999</v>
      </c>
      <c r="P154" s="125">
        <v>3.1</v>
      </c>
      <c r="Q154" s="4">
        <v>3.88</v>
      </c>
      <c r="R154" s="49">
        <v>4.84</v>
      </c>
      <c r="S154" s="138">
        <v>140166</v>
      </c>
    </row>
    <row r="155" spans="1:19" x14ac:dyDescent="0.25">
      <c r="A155" s="31"/>
      <c r="B155" s="4" t="s">
        <v>163</v>
      </c>
      <c r="C155" s="5">
        <f>C151</f>
        <v>10</v>
      </c>
      <c r="D155" s="7">
        <v>0</v>
      </c>
      <c r="E155" s="3">
        <f t="shared" si="89"/>
        <v>10</v>
      </c>
      <c r="F155" s="85" t="s">
        <v>867</v>
      </c>
      <c r="G155" s="77">
        <v>6.55</v>
      </c>
      <c r="H155" s="5" t="s">
        <v>1</v>
      </c>
      <c r="I155" s="78">
        <f t="shared" si="90"/>
        <v>65.5</v>
      </c>
      <c r="J155" s="110">
        <f t="shared" si="91"/>
        <v>75</v>
      </c>
      <c r="K155" s="4">
        <v>7</v>
      </c>
      <c r="L155" s="5" t="s">
        <v>0</v>
      </c>
      <c r="M155" s="80">
        <f t="shared" si="92"/>
        <v>0.70000000000000007</v>
      </c>
      <c r="N155" s="78">
        <f t="shared" si="93"/>
        <v>52.500000000000007</v>
      </c>
      <c r="O155" s="111">
        <f t="shared" si="94"/>
        <v>118</v>
      </c>
      <c r="P155" s="125">
        <v>10</v>
      </c>
      <c r="Q155" s="4">
        <v>15</v>
      </c>
      <c r="R155" s="49">
        <v>20</v>
      </c>
      <c r="S155" s="138">
        <v>126216</v>
      </c>
    </row>
    <row r="156" spans="1:19" ht="15.75" thickBot="1" x14ac:dyDescent="0.3">
      <c r="A156" s="31"/>
      <c r="B156" s="169"/>
      <c r="C156" s="5"/>
      <c r="D156" s="7"/>
      <c r="E156" s="3"/>
      <c r="F156" s="85"/>
      <c r="G156" s="77"/>
      <c r="H156" s="5"/>
      <c r="I156" s="78"/>
      <c r="J156" s="110"/>
      <c r="K156" s="4"/>
      <c r="L156" s="5"/>
      <c r="M156" s="80"/>
      <c r="N156" s="78"/>
      <c r="O156" s="111"/>
      <c r="P156" s="125"/>
      <c r="Q156" s="4"/>
      <c r="R156" s="49"/>
      <c r="S156" s="138"/>
    </row>
    <row r="157" spans="1:19" ht="15.75" thickBot="1" x14ac:dyDescent="0.3">
      <c r="A157" s="196"/>
      <c r="B157" s="217" t="s">
        <v>2596</v>
      </c>
      <c r="C157" s="5"/>
      <c r="D157" s="7"/>
      <c r="E157" s="3"/>
      <c r="F157" s="85"/>
      <c r="G157" s="77"/>
      <c r="H157" s="5"/>
      <c r="I157" s="78"/>
      <c r="J157" s="110"/>
      <c r="K157" s="4"/>
      <c r="L157" s="5"/>
      <c r="M157" s="80"/>
      <c r="N157" s="78"/>
      <c r="O157" s="111"/>
      <c r="P157" s="125"/>
      <c r="Q157" s="4"/>
      <c r="R157" s="49"/>
      <c r="S157" s="138">
        <v>136860</v>
      </c>
    </row>
    <row r="158" spans="1:19" ht="15.75" thickBot="1" x14ac:dyDescent="0.3">
      <c r="A158" s="196">
        <v>19</v>
      </c>
      <c r="B158" s="201" t="s">
        <v>1250</v>
      </c>
      <c r="C158" s="197">
        <v>10</v>
      </c>
      <c r="D158" s="7">
        <v>0</v>
      </c>
      <c r="E158" s="3">
        <f t="shared" ref="E158:E161" si="95">C158+(C158*D158)</f>
        <v>10</v>
      </c>
      <c r="F158" s="85" t="s">
        <v>867</v>
      </c>
      <c r="G158" s="77"/>
      <c r="H158" s="5" t="s">
        <v>1</v>
      </c>
      <c r="I158" s="78">
        <f t="shared" ref="I158:I161" si="96">IF(H158="C",(G158/100)*E158,IF(H158="M",(G158/1000)*E158,G158*E158))</f>
        <v>0</v>
      </c>
      <c r="J158" s="110">
        <f>$O$4</f>
        <v>75</v>
      </c>
      <c r="K158" s="4"/>
      <c r="L158" s="5" t="s">
        <v>1</v>
      </c>
      <c r="M158" s="80">
        <f>IF(L158="C",(K158/100)*E158,IF(L158="M",(K158/1000)*E158,K158*E158))</f>
        <v>0</v>
      </c>
      <c r="N158" s="78">
        <f>M158*J158</f>
        <v>0</v>
      </c>
      <c r="O158" s="111">
        <f>N158+I158</f>
        <v>0</v>
      </c>
      <c r="P158" s="125"/>
      <c r="Q158" s="4"/>
      <c r="R158" s="49"/>
      <c r="S158" s="138">
        <v>136860</v>
      </c>
    </row>
    <row r="159" spans="1:19" x14ac:dyDescent="0.25">
      <c r="A159" s="31"/>
      <c r="B159" s="200" t="s">
        <v>1224</v>
      </c>
      <c r="C159" s="151">
        <f>C158</f>
        <v>10</v>
      </c>
      <c r="D159" s="152">
        <v>0</v>
      </c>
      <c r="E159" s="153">
        <f t="shared" si="95"/>
        <v>10</v>
      </c>
      <c r="F159" s="3" t="s">
        <v>867</v>
      </c>
      <c r="G159" s="77">
        <v>299.16000000000003</v>
      </c>
      <c r="H159" s="5" t="s">
        <v>0</v>
      </c>
      <c r="I159" s="78">
        <f t="shared" si="96"/>
        <v>29.916</v>
      </c>
      <c r="J159" s="154">
        <f t="shared" ref="J159:J160" si="97">$O$4</f>
        <v>75</v>
      </c>
      <c r="K159" s="4">
        <v>23</v>
      </c>
      <c r="L159" s="5" t="s">
        <v>0</v>
      </c>
      <c r="M159" s="80">
        <f t="shared" ref="M159:M160" si="98">IF(L159="C",(K159/100)*E159,IF(L159="M",(K159/1000)*E159,K159*E159))</f>
        <v>2.3000000000000003</v>
      </c>
      <c r="N159" s="78">
        <f t="shared" ref="N159:N160" si="99">M159*J159</f>
        <v>172.50000000000003</v>
      </c>
      <c r="O159" s="111">
        <f t="shared" ref="O159:O160" si="100">N159+I159</f>
        <v>202.41600000000003</v>
      </c>
      <c r="P159" s="125">
        <v>30</v>
      </c>
      <c r="Q159" s="4">
        <v>35</v>
      </c>
      <c r="R159" s="49">
        <v>40</v>
      </c>
      <c r="S159" s="138">
        <v>124314</v>
      </c>
    </row>
    <row r="160" spans="1:19" x14ac:dyDescent="0.25">
      <c r="A160" s="31"/>
      <c r="B160" s="17" t="s">
        <v>1225</v>
      </c>
      <c r="C160" s="20">
        <f>C158*2</f>
        <v>20</v>
      </c>
      <c r="D160" s="7">
        <v>0</v>
      </c>
      <c r="E160" s="3">
        <f t="shared" si="95"/>
        <v>20</v>
      </c>
      <c r="F160" s="85" t="s">
        <v>867</v>
      </c>
      <c r="G160" s="77">
        <v>6.25</v>
      </c>
      <c r="H160" s="22" t="s">
        <v>0</v>
      </c>
      <c r="I160" s="78">
        <f t="shared" si="96"/>
        <v>1.25</v>
      </c>
      <c r="J160" s="110">
        <f t="shared" si="97"/>
        <v>75</v>
      </c>
      <c r="K160" s="4">
        <v>2.8</v>
      </c>
      <c r="L160" s="22" t="s">
        <v>0</v>
      </c>
      <c r="M160" s="80">
        <f t="shared" si="98"/>
        <v>0.55999999999999994</v>
      </c>
      <c r="N160" s="78">
        <f t="shared" si="99"/>
        <v>41.999999999999993</v>
      </c>
      <c r="O160" s="111">
        <f t="shared" si="100"/>
        <v>43.249999999999993</v>
      </c>
      <c r="P160" s="125">
        <v>3.1</v>
      </c>
      <c r="Q160" s="4">
        <v>3.88</v>
      </c>
      <c r="R160" s="49">
        <v>4.84</v>
      </c>
      <c r="S160" s="138">
        <v>124389</v>
      </c>
    </row>
    <row r="161" spans="1:19" x14ac:dyDescent="0.25">
      <c r="A161" s="31"/>
      <c r="B161" s="8" t="s">
        <v>17</v>
      </c>
      <c r="C161" s="5">
        <f>C158</f>
        <v>10</v>
      </c>
      <c r="D161" s="7">
        <v>0</v>
      </c>
      <c r="E161" s="3">
        <f t="shared" si="95"/>
        <v>10</v>
      </c>
      <c r="F161" s="85" t="s">
        <v>867</v>
      </c>
      <c r="G161" s="77">
        <v>52.48</v>
      </c>
      <c r="H161" s="5" t="s">
        <v>0</v>
      </c>
      <c r="I161" s="78">
        <f t="shared" si="96"/>
        <v>5.2479999999999993</v>
      </c>
      <c r="J161" s="110">
        <f t="shared" ref="J161" si="101">$O$4</f>
        <v>75</v>
      </c>
      <c r="K161" s="4">
        <v>3</v>
      </c>
      <c r="L161" s="5" t="s">
        <v>0</v>
      </c>
      <c r="M161" s="80">
        <f t="shared" ref="M161" si="102">IF(L161="C",(K161/100)*E161,IF(L161="M",(K161/1000)*E161,K161*E161))</f>
        <v>0.3</v>
      </c>
      <c r="N161" s="78">
        <f t="shared" ref="N161" si="103">M161*J161</f>
        <v>22.5</v>
      </c>
      <c r="O161" s="111">
        <f t="shared" ref="O161" si="104">N161+I161</f>
        <v>27.747999999999998</v>
      </c>
      <c r="P161" s="125">
        <v>10</v>
      </c>
      <c r="Q161" s="4">
        <v>12.5</v>
      </c>
      <c r="R161" s="49">
        <v>15</v>
      </c>
      <c r="S161" s="138">
        <v>138414</v>
      </c>
    </row>
    <row r="162" spans="1:19" ht="15.75" thickBot="1" x14ac:dyDescent="0.3">
      <c r="A162" s="31"/>
      <c r="B162" s="169"/>
      <c r="C162" s="5"/>
      <c r="D162" s="7"/>
      <c r="E162" s="3"/>
      <c r="F162" s="85"/>
      <c r="G162" s="77"/>
      <c r="H162" s="5"/>
      <c r="I162" s="78"/>
      <c r="J162" s="110"/>
      <c r="K162" s="4"/>
      <c r="L162" s="5"/>
      <c r="M162" s="80"/>
      <c r="N162" s="78"/>
      <c r="O162" s="111"/>
      <c r="P162" s="125"/>
      <c r="Q162" s="4"/>
      <c r="R162" s="49"/>
      <c r="S162" s="138"/>
    </row>
    <row r="163" spans="1:19" ht="14.45" customHeight="1" thickBot="1" x14ac:dyDescent="0.3">
      <c r="A163" s="31"/>
      <c r="B163" s="120" t="s">
        <v>162</v>
      </c>
      <c r="C163" s="48"/>
      <c r="D163" s="7"/>
      <c r="E163" s="3"/>
      <c r="F163" s="3"/>
      <c r="G163" s="77" t="s">
        <v>1202</v>
      </c>
      <c r="H163" s="5"/>
      <c r="I163" s="78"/>
      <c r="J163" s="4"/>
      <c r="K163" s="4"/>
      <c r="L163" s="5"/>
      <c r="M163" s="80"/>
      <c r="N163" s="78"/>
      <c r="O163" s="111"/>
      <c r="P163" s="125"/>
      <c r="Q163" s="4"/>
      <c r="R163" s="49"/>
      <c r="S163" s="138"/>
    </row>
    <row r="164" spans="1:19" x14ac:dyDescent="0.25">
      <c r="A164" s="31"/>
      <c r="B164" s="4"/>
      <c r="C164" s="5"/>
      <c r="D164" s="7"/>
      <c r="E164" s="3"/>
      <c r="F164" s="3"/>
      <c r="G164" s="77" t="s">
        <v>1202</v>
      </c>
      <c r="H164" s="5"/>
      <c r="I164" s="78"/>
      <c r="J164" s="4"/>
      <c r="K164" s="4"/>
      <c r="L164" s="5"/>
      <c r="M164" s="80"/>
      <c r="N164" s="78"/>
      <c r="O164" s="111"/>
      <c r="P164" s="125"/>
      <c r="Q164" s="4"/>
      <c r="R164" s="49"/>
      <c r="S164" s="138"/>
    </row>
    <row r="165" spans="1:19" x14ac:dyDescent="0.25">
      <c r="A165" s="31">
        <v>1</v>
      </c>
      <c r="B165" s="4" t="s">
        <v>18</v>
      </c>
      <c r="C165" s="5">
        <v>1</v>
      </c>
      <c r="D165" s="7">
        <v>0</v>
      </c>
      <c r="E165" s="3">
        <f t="shared" ref="E165:E168" si="105">C165+(C165*D165)</f>
        <v>1</v>
      </c>
      <c r="F165" s="85" t="s">
        <v>867</v>
      </c>
      <c r="G165" s="77">
        <v>531</v>
      </c>
      <c r="H165" s="5" t="s">
        <v>0</v>
      </c>
      <c r="I165" s="78">
        <f t="shared" ref="I165:I168" si="106">IF(H165="C",(G165/100)*E165,IF(H165="M",(G165/1000)*E165,G165*E165))</f>
        <v>5.31</v>
      </c>
      <c r="J165" s="110">
        <f t="shared" ref="J165:J168" si="107">$O$4</f>
        <v>75</v>
      </c>
      <c r="K165" s="4">
        <v>14</v>
      </c>
      <c r="L165" s="5" t="s">
        <v>0</v>
      </c>
      <c r="M165" s="80">
        <f t="shared" ref="M165:M168" si="108">IF(L165="C",(K165/100)*E165,IF(L165="M",(K165/1000)*E165,K165*E165))</f>
        <v>0.14000000000000001</v>
      </c>
      <c r="N165" s="78">
        <f t="shared" ref="N165:N168" si="109">M165*J165</f>
        <v>10.500000000000002</v>
      </c>
      <c r="O165" s="111">
        <f t="shared" ref="O165:O168" si="110">N165+I165</f>
        <v>15.810000000000002</v>
      </c>
      <c r="P165" s="125">
        <v>20</v>
      </c>
      <c r="Q165" s="4">
        <v>25</v>
      </c>
      <c r="R165" s="49">
        <v>30</v>
      </c>
      <c r="S165" s="138">
        <v>136860</v>
      </c>
    </row>
    <row r="166" spans="1:19" x14ac:dyDescent="0.25">
      <c r="A166" s="31"/>
      <c r="B166" s="8" t="s">
        <v>1224</v>
      </c>
      <c r="C166" s="151">
        <f>C165</f>
        <v>1</v>
      </c>
      <c r="D166" s="152">
        <v>0</v>
      </c>
      <c r="E166" s="153">
        <f t="shared" si="105"/>
        <v>1</v>
      </c>
      <c r="F166" s="3" t="s">
        <v>867</v>
      </c>
      <c r="G166" s="77">
        <v>299.16000000000003</v>
      </c>
      <c r="H166" s="5" t="s">
        <v>0</v>
      </c>
      <c r="I166" s="78">
        <f t="shared" si="106"/>
        <v>2.9916</v>
      </c>
      <c r="J166" s="154">
        <f t="shared" si="107"/>
        <v>75</v>
      </c>
      <c r="K166" s="4">
        <v>23</v>
      </c>
      <c r="L166" s="5" t="s">
        <v>0</v>
      </c>
      <c r="M166" s="80">
        <f t="shared" si="108"/>
        <v>0.23</v>
      </c>
      <c r="N166" s="78">
        <f t="shared" si="109"/>
        <v>17.25</v>
      </c>
      <c r="O166" s="111">
        <f t="shared" si="110"/>
        <v>20.241599999999998</v>
      </c>
      <c r="P166" s="125">
        <v>30</v>
      </c>
      <c r="Q166" s="4">
        <v>35</v>
      </c>
      <c r="R166" s="49">
        <v>40</v>
      </c>
      <c r="S166" s="138">
        <v>124314</v>
      </c>
    </row>
    <row r="167" spans="1:19" x14ac:dyDescent="0.25">
      <c r="A167" s="31"/>
      <c r="B167" s="4" t="s">
        <v>163</v>
      </c>
      <c r="C167" s="5">
        <f>C165</f>
        <v>1</v>
      </c>
      <c r="D167" s="7">
        <v>0</v>
      </c>
      <c r="E167" s="3">
        <f t="shared" si="105"/>
        <v>1</v>
      </c>
      <c r="F167" s="85" t="s">
        <v>867</v>
      </c>
      <c r="G167" s="77">
        <v>6.55</v>
      </c>
      <c r="H167" s="5" t="s">
        <v>1</v>
      </c>
      <c r="I167" s="78">
        <f t="shared" si="106"/>
        <v>6.55</v>
      </c>
      <c r="J167" s="110">
        <f t="shared" si="107"/>
        <v>75</v>
      </c>
      <c r="K167" s="4">
        <v>7</v>
      </c>
      <c r="L167" s="5" t="s">
        <v>0</v>
      </c>
      <c r="M167" s="80">
        <f t="shared" si="108"/>
        <v>7.0000000000000007E-2</v>
      </c>
      <c r="N167" s="78">
        <f t="shared" si="109"/>
        <v>5.2500000000000009</v>
      </c>
      <c r="O167" s="111">
        <f t="shared" si="110"/>
        <v>11.8</v>
      </c>
      <c r="P167" s="125">
        <v>10</v>
      </c>
      <c r="Q167" s="4">
        <v>15</v>
      </c>
      <c r="R167" s="49">
        <v>20</v>
      </c>
      <c r="S167" s="138">
        <v>126216</v>
      </c>
    </row>
    <row r="168" spans="1:19" x14ac:dyDescent="0.25">
      <c r="A168" s="31"/>
      <c r="B168" s="17" t="s">
        <v>1225</v>
      </c>
      <c r="C168" s="20">
        <f>C165*2</f>
        <v>2</v>
      </c>
      <c r="D168" s="7">
        <v>0</v>
      </c>
      <c r="E168" s="3">
        <f t="shared" si="105"/>
        <v>2</v>
      </c>
      <c r="F168" s="85" t="s">
        <v>867</v>
      </c>
      <c r="G168" s="77">
        <v>6.25</v>
      </c>
      <c r="H168" s="22" t="s">
        <v>0</v>
      </c>
      <c r="I168" s="78">
        <f t="shared" si="106"/>
        <v>0.125</v>
      </c>
      <c r="J168" s="110">
        <f t="shared" si="107"/>
        <v>75</v>
      </c>
      <c r="K168" s="4">
        <v>2.8</v>
      </c>
      <c r="L168" s="22" t="s">
        <v>0</v>
      </c>
      <c r="M168" s="80">
        <f t="shared" si="108"/>
        <v>5.5999999999999994E-2</v>
      </c>
      <c r="N168" s="78">
        <f t="shared" si="109"/>
        <v>4.1999999999999993</v>
      </c>
      <c r="O168" s="111">
        <f t="shared" si="110"/>
        <v>4.3249999999999993</v>
      </c>
      <c r="P168" s="125">
        <v>3.1</v>
      </c>
      <c r="Q168" s="4">
        <v>3.88</v>
      </c>
      <c r="R168" s="49">
        <v>4.84</v>
      </c>
      <c r="S168" s="138">
        <v>140166</v>
      </c>
    </row>
    <row r="169" spans="1:19" x14ac:dyDescent="0.25">
      <c r="A169" s="31"/>
      <c r="B169" s="4"/>
      <c r="C169" s="5"/>
      <c r="D169" s="7"/>
      <c r="E169" s="3"/>
      <c r="F169" s="3"/>
      <c r="G169" s="77" t="s">
        <v>1202</v>
      </c>
      <c r="H169" s="5"/>
      <c r="I169" s="78"/>
      <c r="J169" s="4"/>
      <c r="K169" s="4"/>
      <c r="L169" s="5"/>
      <c r="M169" s="80"/>
      <c r="N169" s="78"/>
      <c r="O169" s="111"/>
      <c r="P169" s="125"/>
      <c r="Q169" s="4"/>
      <c r="R169" s="49"/>
      <c r="S169" s="138"/>
    </row>
  </sheetData>
  <mergeCells count="1">
    <mergeCell ref="M4:N4"/>
  </mergeCells>
  <pageMargins left="0.7" right="0.7" top="0.75" bottom="0.75" header="0.3" footer="0.3"/>
  <pageSetup paperSize="9" scale="44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04"/>
  <sheetViews>
    <sheetView view="pageBreakPreview" topLeftCell="A169" zoomScale="90" zoomScaleNormal="85" zoomScaleSheetLayoutView="90" workbookViewId="0">
      <selection activeCell="G334" sqref="G334"/>
    </sheetView>
  </sheetViews>
  <sheetFormatPr defaultRowHeight="15" x14ac:dyDescent="0.25"/>
  <cols>
    <col min="1" max="1" width="4.42578125" style="47" bestFit="1" customWidth="1"/>
    <col min="2" max="2" width="44.7109375" customWidth="1"/>
    <col min="3" max="3" width="10.7109375" style="47" bestFit="1" customWidth="1"/>
    <col min="4" max="5" width="9.85546875" bestFit="1" customWidth="1"/>
    <col min="6" max="6" width="5.85546875" bestFit="1" customWidth="1"/>
    <col min="7" max="7" width="11.85546875" style="76" bestFit="1" customWidth="1"/>
    <col min="8" max="8" width="5.85546875" style="47" bestFit="1" customWidth="1"/>
    <col min="9" max="9" width="10.5703125" bestFit="1" customWidth="1"/>
    <col min="10" max="10" width="7.42578125" bestFit="1" customWidth="1"/>
    <col min="11" max="11" width="8.7109375" style="63" bestFit="1" customWidth="1"/>
    <col min="12" max="12" width="5.85546875" style="47" bestFit="1" customWidth="1"/>
    <col min="13" max="13" width="7.28515625" bestFit="1" customWidth="1"/>
    <col min="14" max="14" width="8.140625" bestFit="1" customWidth="1"/>
    <col min="15" max="15" width="9.140625" bestFit="1" customWidth="1"/>
    <col min="16" max="17" width="7.85546875" bestFit="1" customWidth="1"/>
    <col min="18" max="18" width="7.5703125" bestFit="1" customWidth="1"/>
    <col min="19" max="19" width="8.140625" bestFit="1" customWidth="1"/>
    <col min="20" max="20" width="11" bestFit="1" customWidth="1"/>
    <col min="21" max="21" width="11.28515625" bestFit="1" customWidth="1"/>
  </cols>
  <sheetData>
    <row r="1" spans="1:21" s="1" customFormat="1" x14ac:dyDescent="0.25">
      <c r="A1" s="2"/>
      <c r="C1" s="2"/>
      <c r="G1" s="10"/>
      <c r="H1" s="2"/>
      <c r="I1" s="43"/>
      <c r="L1" s="2"/>
      <c r="N1" s="43"/>
      <c r="O1" s="43"/>
    </row>
    <row r="2" spans="1:21" s="1" customFormat="1" x14ac:dyDescent="0.25">
      <c r="A2" s="2"/>
      <c r="C2" s="2"/>
      <c r="G2" s="10"/>
      <c r="H2" s="2"/>
      <c r="I2" s="43"/>
      <c r="L2" s="2"/>
      <c r="N2" s="43"/>
      <c r="O2" s="43"/>
    </row>
    <row r="3" spans="1:21" s="1" customFormat="1" ht="15.75" thickBot="1" x14ac:dyDescent="0.3">
      <c r="A3" s="2"/>
      <c r="C3" s="2"/>
      <c r="G3" s="10"/>
      <c r="H3" s="2"/>
      <c r="I3" s="43"/>
      <c r="L3" s="2"/>
      <c r="N3" s="43"/>
      <c r="O3" s="43"/>
    </row>
    <row r="4" spans="1:21" s="1" customFormat="1" ht="16.5" thickBot="1" x14ac:dyDescent="0.3">
      <c r="A4" s="2"/>
      <c r="C4" s="2"/>
      <c r="G4" s="10"/>
      <c r="H4" s="2"/>
      <c r="I4" s="43"/>
      <c r="L4" s="2"/>
      <c r="M4" s="253" t="s">
        <v>1199</v>
      </c>
      <c r="N4" s="254"/>
      <c r="O4" s="108">
        <v>75</v>
      </c>
    </row>
    <row r="5" spans="1:21" ht="45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870</v>
      </c>
      <c r="L5" s="82" t="s">
        <v>284</v>
      </c>
      <c r="M5" s="81" t="s">
        <v>286</v>
      </c>
      <c r="N5" s="83" t="s">
        <v>871</v>
      </c>
      <c r="O5" s="84" t="s">
        <v>872</v>
      </c>
      <c r="P5" s="84" t="s">
        <v>288</v>
      </c>
      <c r="Q5" s="84" t="s">
        <v>289</v>
      </c>
      <c r="R5" s="109" t="s">
        <v>290</v>
      </c>
      <c r="S5" s="86" t="s">
        <v>291</v>
      </c>
      <c r="T5" s="84" t="s">
        <v>292</v>
      </c>
      <c r="U5" s="84" t="s">
        <v>1200</v>
      </c>
    </row>
    <row r="6" spans="1:21" ht="15.75" thickBot="1" x14ac:dyDescent="0.3">
      <c r="A6" s="72"/>
      <c r="B6" s="64"/>
      <c r="C6" s="65"/>
      <c r="D6" s="64"/>
      <c r="E6" s="64"/>
      <c r="F6" s="64"/>
      <c r="G6" s="74"/>
      <c r="H6" s="65"/>
      <c r="I6" s="64"/>
      <c r="J6" s="64"/>
      <c r="K6" s="66"/>
      <c r="L6" s="65"/>
      <c r="M6" s="64"/>
      <c r="N6" s="64"/>
      <c r="O6" s="67"/>
      <c r="P6" s="125"/>
      <c r="Q6" s="49"/>
      <c r="R6" s="125"/>
      <c r="S6" s="134"/>
      <c r="T6" s="49"/>
      <c r="U6" s="49"/>
    </row>
    <row r="7" spans="1:21" s="1" customFormat="1" ht="15.75" thickBot="1" x14ac:dyDescent="0.3">
      <c r="A7" s="51"/>
      <c r="B7" s="145" t="s">
        <v>88</v>
      </c>
      <c r="C7" s="5"/>
      <c r="D7" s="7"/>
      <c r="E7" s="3"/>
      <c r="F7" s="3"/>
      <c r="G7" s="9"/>
      <c r="H7" s="5"/>
      <c r="I7" s="16"/>
      <c r="J7" s="4"/>
      <c r="K7" s="5"/>
      <c r="L7" s="5"/>
      <c r="M7" s="15"/>
      <c r="N7" s="16"/>
      <c r="O7" s="42"/>
      <c r="P7" s="133"/>
      <c r="Q7" s="122"/>
      <c r="R7" s="125"/>
      <c r="S7" s="134"/>
      <c r="T7" s="49"/>
      <c r="U7" s="49"/>
    </row>
    <row r="8" spans="1:21" s="1" customFormat="1" x14ac:dyDescent="0.25">
      <c r="A8" s="31">
        <v>1</v>
      </c>
      <c r="B8" s="4" t="s">
        <v>89</v>
      </c>
      <c r="C8" s="5">
        <v>1</v>
      </c>
      <c r="D8" s="7">
        <v>0</v>
      </c>
      <c r="E8" s="3">
        <f>C8+(C8*D8)</f>
        <v>1</v>
      </c>
      <c r="F8" s="3" t="s">
        <v>867</v>
      </c>
      <c r="G8" s="77">
        <v>247.89</v>
      </c>
      <c r="H8" s="5" t="s">
        <v>1</v>
      </c>
      <c r="I8" s="78">
        <f>IF(H8="C",(G8/100)*E8,IF(H8="M",(G8/1000)*E8,G8*E8))</f>
        <v>247.89</v>
      </c>
      <c r="J8" s="110">
        <f>$O$4</f>
        <v>75</v>
      </c>
      <c r="K8" s="4">
        <v>1.1000000000000001</v>
      </c>
      <c r="L8" s="5" t="s">
        <v>1</v>
      </c>
      <c r="M8" s="80">
        <f>IF(L8="C",(K8/100)*E8,IF(L8="M",(K8/1000)*E8,K8*E8))</f>
        <v>1.1000000000000001</v>
      </c>
      <c r="N8" s="78">
        <f>M8*J8</f>
        <v>82.5</v>
      </c>
      <c r="O8" s="111">
        <f>N8+I8</f>
        <v>330.39</v>
      </c>
      <c r="P8" s="125">
        <v>1.38</v>
      </c>
      <c r="Q8" s="49">
        <v>1.65</v>
      </c>
      <c r="R8" s="125">
        <v>2.2000000000000002</v>
      </c>
      <c r="S8" s="134">
        <v>2.75</v>
      </c>
      <c r="T8" s="49">
        <v>3.3</v>
      </c>
      <c r="U8" s="49">
        <v>149046</v>
      </c>
    </row>
    <row r="9" spans="1:21" s="1" customFormat="1" x14ac:dyDescent="0.25">
      <c r="A9" s="31"/>
      <c r="B9" s="4" t="s">
        <v>1161</v>
      </c>
      <c r="C9" s="5">
        <f>C8*4</f>
        <v>4</v>
      </c>
      <c r="D9" s="7">
        <v>0</v>
      </c>
      <c r="E9" s="3">
        <f>C9+(C9*D9)</f>
        <v>4</v>
      </c>
      <c r="F9" s="3" t="s">
        <v>867</v>
      </c>
      <c r="G9" s="77">
        <v>0</v>
      </c>
      <c r="H9" s="5" t="s">
        <v>0</v>
      </c>
      <c r="I9" s="78">
        <f>IF(H9="C",(G9/100)*E9,IF(H9="M",(G9/1000)*E9,G9*E9))</f>
        <v>0</v>
      </c>
      <c r="J9" s="110">
        <f t="shared" ref="J9:J10" si="0">$O$4</f>
        <v>75</v>
      </c>
      <c r="K9" s="4">
        <v>8</v>
      </c>
      <c r="L9" s="5" t="s">
        <v>0</v>
      </c>
      <c r="M9" s="80">
        <f>IF(L9="C",(K9/100)*E9,IF(L9="M",(K9/1000)*E9,K9*E9))</f>
        <v>0.32</v>
      </c>
      <c r="N9" s="78">
        <f>M9*J9</f>
        <v>24</v>
      </c>
      <c r="O9" s="111">
        <f>N9+I9</f>
        <v>24</v>
      </c>
      <c r="P9" s="125"/>
      <c r="Q9" s="49"/>
      <c r="R9" s="125"/>
      <c r="S9" s="134"/>
      <c r="T9" s="49"/>
      <c r="U9" s="49">
        <v>139605</v>
      </c>
    </row>
    <row r="10" spans="1:21" s="1" customFormat="1" x14ac:dyDescent="0.25">
      <c r="A10" s="31"/>
      <c r="B10" s="4" t="s">
        <v>90</v>
      </c>
      <c r="C10" s="5">
        <f>C8*3</f>
        <v>3</v>
      </c>
      <c r="D10" s="7">
        <v>0</v>
      </c>
      <c r="E10" s="3">
        <f>C10+(C10*D10)</f>
        <v>3</v>
      </c>
      <c r="F10" s="3" t="s">
        <v>867</v>
      </c>
      <c r="G10" s="77">
        <v>13.53</v>
      </c>
      <c r="H10" s="5" t="s">
        <v>1</v>
      </c>
      <c r="I10" s="78">
        <f>IF(H10="C",(G10/100)*E10,IF(H10="M",(G10/1000)*E10,G10*E10))</f>
        <v>40.589999999999996</v>
      </c>
      <c r="J10" s="110">
        <f t="shared" si="0"/>
        <v>75</v>
      </c>
      <c r="K10" s="4">
        <v>0.04</v>
      </c>
      <c r="L10" s="5" t="s">
        <v>1</v>
      </c>
      <c r="M10" s="80">
        <f>IF(L10="C",(K10/100)*E10,IF(L10="M",(K10/1000)*E10,K10*E10))</f>
        <v>0.12</v>
      </c>
      <c r="N10" s="78">
        <f>M10*J10</f>
        <v>9</v>
      </c>
      <c r="O10" s="111">
        <f>N10+I10</f>
        <v>49.589999999999996</v>
      </c>
      <c r="P10" s="125">
        <v>0.05</v>
      </c>
      <c r="Q10" s="49">
        <v>0.06</v>
      </c>
      <c r="R10" s="125">
        <v>0.04</v>
      </c>
      <c r="S10" s="134">
        <v>0.05</v>
      </c>
      <c r="T10" s="49">
        <v>0.06</v>
      </c>
      <c r="U10" s="49">
        <v>151077</v>
      </c>
    </row>
    <row r="11" spans="1:21" s="1" customFormat="1" ht="15.75" thickBot="1" x14ac:dyDescent="0.3">
      <c r="A11" s="31"/>
      <c r="B11" s="4"/>
      <c r="C11" s="5"/>
      <c r="D11" s="7"/>
      <c r="E11" s="3"/>
      <c r="F11" s="3"/>
      <c r="G11" s="77" t="s">
        <v>1202</v>
      </c>
      <c r="H11" s="5"/>
      <c r="I11" s="78"/>
      <c r="J11" s="4"/>
      <c r="K11" s="4"/>
      <c r="L11" s="5"/>
      <c r="M11" s="80"/>
      <c r="N11" s="78"/>
      <c r="O11" s="111"/>
      <c r="P11" s="125"/>
      <c r="Q11" s="49"/>
      <c r="R11" s="125"/>
      <c r="S11" s="134"/>
      <c r="T11" s="49"/>
      <c r="U11" s="49"/>
    </row>
    <row r="12" spans="1:21" s="1" customFormat="1" ht="15.75" thickBot="1" x14ac:dyDescent="0.3">
      <c r="A12" s="51"/>
      <c r="B12" s="120" t="s">
        <v>91</v>
      </c>
      <c r="C12" s="5"/>
      <c r="D12" s="7"/>
      <c r="E12" s="3"/>
      <c r="F12" s="3"/>
      <c r="G12" s="77" t="s">
        <v>1202</v>
      </c>
      <c r="H12" s="5"/>
      <c r="I12" s="78"/>
      <c r="J12" s="4"/>
      <c r="K12" s="4"/>
      <c r="L12" s="5"/>
      <c r="M12" s="80"/>
      <c r="N12" s="78"/>
      <c r="O12" s="111"/>
      <c r="P12" s="125"/>
      <c r="Q12" s="49"/>
      <c r="R12" s="125"/>
      <c r="S12" s="134"/>
      <c r="T12" s="49"/>
      <c r="U12" s="49"/>
    </row>
    <row r="13" spans="1:21" s="1" customFormat="1" x14ac:dyDescent="0.25">
      <c r="A13" s="31">
        <v>2</v>
      </c>
      <c r="B13" s="4" t="s">
        <v>92</v>
      </c>
      <c r="C13" s="5">
        <v>1</v>
      </c>
      <c r="D13" s="7">
        <v>0</v>
      </c>
      <c r="E13" s="3">
        <f>C13+(C13*D13)</f>
        <v>1</v>
      </c>
      <c r="F13" s="3" t="s">
        <v>867</v>
      </c>
      <c r="G13" s="77">
        <v>304.07</v>
      </c>
      <c r="H13" s="5" t="s">
        <v>1</v>
      </c>
      <c r="I13" s="78">
        <f>IF(H13="C",(G13/100)*E13,IF(H13="M",(G13/1000)*E13,G13*E13))</f>
        <v>304.07</v>
      </c>
      <c r="J13" s="110">
        <f>$O$4</f>
        <v>75</v>
      </c>
      <c r="K13" s="4">
        <v>1.5</v>
      </c>
      <c r="L13" s="5" t="s">
        <v>1</v>
      </c>
      <c r="M13" s="80">
        <f>IF(L13="C",(K13/100)*E13,IF(L13="M",(K13/1000)*E13,K13*E13))</f>
        <v>1.5</v>
      </c>
      <c r="N13" s="78">
        <f>M13*J13</f>
        <v>112.5</v>
      </c>
      <c r="O13" s="111">
        <f>N13+I13</f>
        <v>416.57</v>
      </c>
      <c r="P13" s="125">
        <v>1.88</v>
      </c>
      <c r="Q13" s="49">
        <v>2.25</v>
      </c>
      <c r="R13" s="125">
        <v>3.3</v>
      </c>
      <c r="S13" s="134">
        <v>4.13</v>
      </c>
      <c r="T13" s="49">
        <v>4.95</v>
      </c>
      <c r="U13" s="49">
        <v>149127</v>
      </c>
    </row>
    <row r="14" spans="1:21" s="1" customFormat="1" x14ac:dyDescent="0.25">
      <c r="A14" s="31"/>
      <c r="B14" s="4" t="s">
        <v>1161</v>
      </c>
      <c r="C14" s="5">
        <f>C13*4</f>
        <v>4</v>
      </c>
      <c r="D14" s="7">
        <v>0</v>
      </c>
      <c r="E14" s="3">
        <f>C14+(C14*D14)</f>
        <v>4</v>
      </c>
      <c r="F14" s="3" t="s">
        <v>867</v>
      </c>
      <c r="G14" s="77">
        <v>0</v>
      </c>
      <c r="H14" s="5" t="s">
        <v>0</v>
      </c>
      <c r="I14" s="78">
        <f>IF(H14="C",(G14/100)*E14,IF(H14="M",(G14/1000)*E14,G14*E14))</f>
        <v>0</v>
      </c>
      <c r="J14" s="110">
        <f t="shared" ref="J14:J15" si="1">$O$4</f>
        <v>75</v>
      </c>
      <c r="K14" s="4">
        <v>8</v>
      </c>
      <c r="L14" s="5" t="s">
        <v>0</v>
      </c>
      <c r="M14" s="80">
        <f>IF(L14="C",(K14/100)*E14,IF(L14="M",(K14/1000)*E14,K14*E14))</f>
        <v>0.32</v>
      </c>
      <c r="N14" s="78">
        <f>M14*J14</f>
        <v>24</v>
      </c>
      <c r="O14" s="111">
        <f>N14+I14</f>
        <v>24</v>
      </c>
      <c r="P14" s="125"/>
      <c r="Q14" s="49"/>
      <c r="R14" s="125"/>
      <c r="S14" s="134"/>
      <c r="T14" s="49"/>
      <c r="U14" s="49">
        <v>139605</v>
      </c>
    </row>
    <row r="15" spans="1:21" s="1" customFormat="1" x14ac:dyDescent="0.25">
      <c r="A15" s="31"/>
      <c r="B15" s="4" t="s">
        <v>93</v>
      </c>
      <c r="C15" s="5">
        <f>C13*3</f>
        <v>3</v>
      </c>
      <c r="D15" s="7">
        <v>0</v>
      </c>
      <c r="E15" s="3">
        <f>C15+(C15*D15)</f>
        <v>3</v>
      </c>
      <c r="F15" s="3" t="s">
        <v>867</v>
      </c>
      <c r="G15" s="77">
        <v>23.7</v>
      </c>
      <c r="H15" s="5" t="s">
        <v>1</v>
      </c>
      <c r="I15" s="78">
        <f>IF(H15="C",(G15/100)*E15,IF(H15="M",(G15/1000)*E15,G15*E15))</f>
        <v>71.099999999999994</v>
      </c>
      <c r="J15" s="110">
        <f t="shared" si="1"/>
        <v>75</v>
      </c>
      <c r="K15" s="4">
        <v>0.05</v>
      </c>
      <c r="L15" s="5" t="s">
        <v>1</v>
      </c>
      <c r="M15" s="80">
        <f>IF(L15="C",(K15/100)*E15,IF(L15="M",(K15/1000)*E15,K15*E15))</f>
        <v>0.15000000000000002</v>
      </c>
      <c r="N15" s="78">
        <f>M15*J15</f>
        <v>11.250000000000002</v>
      </c>
      <c r="O15" s="111">
        <f>N15+I15</f>
        <v>82.35</v>
      </c>
      <c r="P15" s="125">
        <v>0.06</v>
      </c>
      <c r="Q15" s="49">
        <v>0.08</v>
      </c>
      <c r="R15" s="125">
        <v>0.04</v>
      </c>
      <c r="S15" s="134">
        <v>0.05</v>
      </c>
      <c r="T15" s="49">
        <v>0.06</v>
      </c>
      <c r="U15" s="49">
        <v>151092</v>
      </c>
    </row>
    <row r="16" spans="1:21" s="1" customFormat="1" ht="15.75" thickBot="1" x14ac:dyDescent="0.3">
      <c r="A16" s="31"/>
      <c r="B16" s="4"/>
      <c r="C16" s="5"/>
      <c r="D16" s="7"/>
      <c r="E16" s="3"/>
      <c r="F16" s="3"/>
      <c r="G16" s="77" t="s">
        <v>1202</v>
      </c>
      <c r="H16" s="5"/>
      <c r="I16" s="78"/>
      <c r="J16" s="4"/>
      <c r="K16" s="4"/>
      <c r="L16" s="5"/>
      <c r="M16" s="80"/>
      <c r="N16" s="78"/>
      <c r="O16" s="111"/>
      <c r="P16" s="125"/>
      <c r="Q16" s="49"/>
      <c r="R16" s="125"/>
      <c r="S16" s="134"/>
      <c r="T16" s="49"/>
      <c r="U16" s="49"/>
    </row>
    <row r="17" spans="1:21" s="1" customFormat="1" ht="15.75" thickBot="1" x14ac:dyDescent="0.3">
      <c r="A17" s="51"/>
      <c r="B17" s="120" t="s">
        <v>94</v>
      </c>
      <c r="C17" s="5"/>
      <c r="D17" s="7"/>
      <c r="E17" s="3"/>
      <c r="F17" s="3"/>
      <c r="G17" s="77" t="s">
        <v>1202</v>
      </c>
      <c r="H17" s="5"/>
      <c r="I17" s="78"/>
      <c r="J17" s="4"/>
      <c r="K17" s="4"/>
      <c r="L17" s="5"/>
      <c r="M17" s="80"/>
      <c r="N17" s="78"/>
      <c r="O17" s="111"/>
      <c r="P17" s="125"/>
      <c r="Q17" s="49"/>
      <c r="R17" s="125"/>
      <c r="S17" s="134"/>
      <c r="T17" s="49"/>
      <c r="U17" s="49"/>
    </row>
    <row r="18" spans="1:21" s="1" customFormat="1" x14ac:dyDescent="0.25">
      <c r="A18" s="31">
        <v>3</v>
      </c>
      <c r="B18" s="4" t="s">
        <v>95</v>
      </c>
      <c r="C18" s="5">
        <v>1</v>
      </c>
      <c r="D18" s="7">
        <v>0</v>
      </c>
      <c r="E18" s="3">
        <f>C18+(C18*D18)</f>
        <v>1</v>
      </c>
      <c r="F18" s="3" t="s">
        <v>867</v>
      </c>
      <c r="G18" s="77">
        <v>581.16</v>
      </c>
      <c r="H18" s="5" t="s">
        <v>1</v>
      </c>
      <c r="I18" s="78">
        <f>IF(H18="C",(G18/100)*E18,IF(H18="M",(G18/1000)*E18,G18*E18))</f>
        <v>581.16</v>
      </c>
      <c r="J18" s="110">
        <f>$O$4</f>
        <v>75</v>
      </c>
      <c r="K18" s="4">
        <v>1.9</v>
      </c>
      <c r="L18" s="5" t="s">
        <v>1</v>
      </c>
      <c r="M18" s="80">
        <f>IF(L18="C",(K18/100)*E18,IF(L18="M",(K18/1000)*E18,K18*E18))</f>
        <v>1.9</v>
      </c>
      <c r="N18" s="78">
        <f>M18*J18</f>
        <v>142.5</v>
      </c>
      <c r="O18" s="111">
        <f>N18+I18</f>
        <v>723.66</v>
      </c>
      <c r="P18" s="125">
        <v>2.38</v>
      </c>
      <c r="Q18" s="49">
        <v>2.85</v>
      </c>
      <c r="R18" s="125">
        <v>4.4000000000000004</v>
      </c>
      <c r="S18" s="134">
        <v>5.5</v>
      </c>
      <c r="T18" s="49">
        <v>6.6</v>
      </c>
      <c r="U18" s="49">
        <v>149208</v>
      </c>
    </row>
    <row r="19" spans="1:21" s="1" customFormat="1" x14ac:dyDescent="0.25">
      <c r="A19" s="31"/>
      <c r="B19" s="4" t="s">
        <v>1161</v>
      </c>
      <c r="C19" s="5">
        <f>C18*4</f>
        <v>4</v>
      </c>
      <c r="D19" s="7">
        <v>0</v>
      </c>
      <c r="E19" s="3">
        <f>C19+(C19*D19)</f>
        <v>4</v>
      </c>
      <c r="F19" s="3" t="s">
        <v>867</v>
      </c>
      <c r="G19" s="77">
        <v>0</v>
      </c>
      <c r="H19" s="5" t="s">
        <v>0</v>
      </c>
      <c r="I19" s="78">
        <f>IF(H19="C",(G19/100)*E19,IF(H19="M",(G19/1000)*E19,G19*E19))</f>
        <v>0</v>
      </c>
      <c r="J19" s="110">
        <f t="shared" ref="J19:J20" si="2">$O$4</f>
        <v>75</v>
      </c>
      <c r="K19" s="4">
        <v>8</v>
      </c>
      <c r="L19" s="5" t="s">
        <v>0</v>
      </c>
      <c r="M19" s="80">
        <f>IF(L19="C",(K19/100)*E19,IF(L19="M",(K19/1000)*E19,K19*E19))</f>
        <v>0.32</v>
      </c>
      <c r="N19" s="78">
        <f>M19*J19</f>
        <v>24</v>
      </c>
      <c r="O19" s="111">
        <f>N19+I19</f>
        <v>24</v>
      </c>
      <c r="P19" s="125"/>
      <c r="Q19" s="49"/>
      <c r="R19" s="125"/>
      <c r="S19" s="134"/>
      <c r="T19" s="49"/>
      <c r="U19" s="49">
        <v>139605</v>
      </c>
    </row>
    <row r="20" spans="1:21" s="1" customFormat="1" x14ac:dyDescent="0.25">
      <c r="A20" s="31"/>
      <c r="B20" s="4" t="s">
        <v>96</v>
      </c>
      <c r="C20" s="5">
        <f>C18*3</f>
        <v>3</v>
      </c>
      <c r="D20" s="7">
        <v>0</v>
      </c>
      <c r="E20" s="3">
        <f>C20+(C20*D20)</f>
        <v>3</v>
      </c>
      <c r="F20" s="3" t="s">
        <v>867</v>
      </c>
      <c r="G20" s="77">
        <v>42.51</v>
      </c>
      <c r="H20" s="5" t="s">
        <v>1</v>
      </c>
      <c r="I20" s="78">
        <f>IF(H20="C",(G20/100)*E20,IF(H20="M",(G20/1000)*E20,G20*E20))</f>
        <v>127.53</v>
      </c>
      <c r="J20" s="110">
        <f t="shared" si="2"/>
        <v>75</v>
      </c>
      <c r="K20" s="4">
        <v>7.0000000000000007E-2</v>
      </c>
      <c r="L20" s="5" t="s">
        <v>1</v>
      </c>
      <c r="M20" s="80">
        <f>IF(L20="C",(K20/100)*E20,IF(L20="M",(K20/1000)*E20,K20*E20))</f>
        <v>0.21000000000000002</v>
      </c>
      <c r="N20" s="78">
        <f>M20*J20</f>
        <v>15.750000000000002</v>
      </c>
      <c r="O20" s="111">
        <f>N20+I20</f>
        <v>143.28</v>
      </c>
      <c r="P20" s="125">
        <v>0.09</v>
      </c>
      <c r="Q20" s="49">
        <v>0.11</v>
      </c>
      <c r="R20" s="125">
        <v>0.04</v>
      </c>
      <c r="S20" s="134">
        <v>0.05</v>
      </c>
      <c r="T20" s="49">
        <v>0.06</v>
      </c>
      <c r="U20" s="49">
        <v>151110</v>
      </c>
    </row>
    <row r="21" spans="1:21" s="1" customFormat="1" ht="15.75" thickBot="1" x14ac:dyDescent="0.3">
      <c r="A21" s="31"/>
      <c r="B21" s="4"/>
      <c r="C21" s="5"/>
      <c r="D21" s="7"/>
      <c r="E21" s="3"/>
      <c r="F21" s="3"/>
      <c r="G21" s="77" t="s">
        <v>1202</v>
      </c>
      <c r="H21" s="5"/>
      <c r="I21" s="78"/>
      <c r="J21" s="4"/>
      <c r="K21" s="4"/>
      <c r="L21" s="5"/>
      <c r="M21" s="80"/>
      <c r="N21" s="78"/>
      <c r="O21" s="111"/>
      <c r="P21" s="125"/>
      <c r="Q21" s="49"/>
      <c r="R21" s="125"/>
      <c r="S21" s="134"/>
      <c r="T21" s="49"/>
      <c r="U21" s="49"/>
    </row>
    <row r="22" spans="1:21" s="1" customFormat="1" ht="15.75" thickBot="1" x14ac:dyDescent="0.3">
      <c r="A22" s="51"/>
      <c r="B22" s="120" t="s">
        <v>97</v>
      </c>
      <c r="C22" s="5"/>
      <c r="D22" s="7"/>
      <c r="E22" s="3"/>
      <c r="F22" s="3"/>
      <c r="G22" s="77" t="s">
        <v>1202</v>
      </c>
      <c r="H22" s="5"/>
      <c r="I22" s="78"/>
      <c r="J22" s="4"/>
      <c r="K22" s="4"/>
      <c r="L22" s="5"/>
      <c r="M22" s="80"/>
      <c r="N22" s="78"/>
      <c r="O22" s="111"/>
      <c r="P22" s="125"/>
      <c r="Q22" s="49"/>
      <c r="R22" s="125"/>
      <c r="S22" s="134"/>
      <c r="T22" s="49"/>
      <c r="U22" s="49"/>
    </row>
    <row r="23" spans="1:21" s="1" customFormat="1" x14ac:dyDescent="0.25">
      <c r="A23" s="31">
        <v>4</v>
      </c>
      <c r="B23" s="4" t="s">
        <v>98</v>
      </c>
      <c r="C23" s="5">
        <v>1</v>
      </c>
      <c r="D23" s="7">
        <v>0</v>
      </c>
      <c r="E23" s="3">
        <f>C23+(C23*D23)</f>
        <v>1</v>
      </c>
      <c r="F23" s="3" t="s">
        <v>867</v>
      </c>
      <c r="G23" s="77">
        <v>827.47</v>
      </c>
      <c r="H23" s="5" t="s">
        <v>1</v>
      </c>
      <c r="I23" s="78">
        <f>IF(H23="C",(G23/100)*E23,IF(H23="M",(G23/1000)*E23,G23*E23))</f>
        <v>827.47</v>
      </c>
      <c r="J23" s="110">
        <f>$O$4</f>
        <v>75</v>
      </c>
      <c r="K23" s="4">
        <v>3.1</v>
      </c>
      <c r="L23" s="5" t="s">
        <v>1</v>
      </c>
      <c r="M23" s="80">
        <f>IF(L23="C",(K23/100)*E23,IF(L23="M",(K23/1000)*E23,K23*E23))</f>
        <v>3.1</v>
      </c>
      <c r="N23" s="78">
        <f>M23*J23</f>
        <v>232.5</v>
      </c>
      <c r="O23" s="111">
        <f>N23+I23</f>
        <v>1059.97</v>
      </c>
      <c r="P23" s="125">
        <v>3.88</v>
      </c>
      <c r="Q23" s="49">
        <v>4.6500000000000004</v>
      </c>
      <c r="R23" s="125">
        <v>7.7</v>
      </c>
      <c r="S23" s="134">
        <v>9.6300000000000008</v>
      </c>
      <c r="T23" s="49">
        <v>11.55</v>
      </c>
      <c r="U23" s="49">
        <v>149289</v>
      </c>
    </row>
    <row r="24" spans="1:21" s="1" customFormat="1" x14ac:dyDescent="0.25">
      <c r="A24" s="31"/>
      <c r="B24" s="4" t="s">
        <v>1161</v>
      </c>
      <c r="C24" s="5">
        <f>C23*4</f>
        <v>4</v>
      </c>
      <c r="D24" s="7">
        <v>0</v>
      </c>
      <c r="E24" s="3">
        <f t="shared" ref="E24:E86" si="3">C24+(C24*D24)</f>
        <v>4</v>
      </c>
      <c r="F24" s="3" t="s">
        <v>867</v>
      </c>
      <c r="G24" s="77">
        <v>0</v>
      </c>
      <c r="H24" s="5" t="s">
        <v>0</v>
      </c>
      <c r="I24" s="78">
        <f>IF(H24="C",(G24/100)*E24,IF(H24="M",(G24/1000)*E24,G24*E24))</f>
        <v>0</v>
      </c>
      <c r="J24" s="110">
        <f t="shared" ref="J24:J25" si="4">$O$4</f>
        <v>75</v>
      </c>
      <c r="K24" s="4">
        <v>8</v>
      </c>
      <c r="L24" s="5" t="s">
        <v>0</v>
      </c>
      <c r="M24" s="80">
        <f t="shared" ref="M24:M86" si="5">IF(L24="C",(K24/100)*E24,IF(L24="M",(K24/1000)*E24,K24*E24))</f>
        <v>0.32</v>
      </c>
      <c r="N24" s="78">
        <f t="shared" ref="N24:N86" si="6">M24*J24</f>
        <v>24</v>
      </c>
      <c r="O24" s="111">
        <f t="shared" ref="O24:O86" si="7">N24+I24</f>
        <v>24</v>
      </c>
      <c r="P24" s="125"/>
      <c r="Q24" s="49"/>
      <c r="R24" s="125"/>
      <c r="S24" s="134"/>
      <c r="T24" s="49"/>
      <c r="U24" s="49">
        <v>139605</v>
      </c>
    </row>
    <row r="25" spans="1:21" s="1" customFormat="1" x14ac:dyDescent="0.25">
      <c r="A25" s="31"/>
      <c r="B25" s="4" t="s">
        <v>99</v>
      </c>
      <c r="C25" s="5">
        <f>C23*3</f>
        <v>3</v>
      </c>
      <c r="D25" s="7">
        <v>0</v>
      </c>
      <c r="E25" s="3">
        <f t="shared" si="3"/>
        <v>3</v>
      </c>
      <c r="F25" s="3" t="s">
        <v>867</v>
      </c>
      <c r="G25" s="77">
        <v>97.01</v>
      </c>
      <c r="H25" s="5" t="s">
        <v>1</v>
      </c>
      <c r="I25" s="78">
        <f>IF(H25="C",(G25/100)*E25,IF(H25="M",(G25/1000)*E25,G25*E25))</f>
        <v>291.03000000000003</v>
      </c>
      <c r="J25" s="110">
        <f t="shared" si="4"/>
        <v>75</v>
      </c>
      <c r="K25" s="4">
        <v>0.1</v>
      </c>
      <c r="L25" s="5" t="s">
        <v>1</v>
      </c>
      <c r="M25" s="80">
        <f t="shared" si="5"/>
        <v>0.30000000000000004</v>
      </c>
      <c r="N25" s="78">
        <f t="shared" si="6"/>
        <v>22.500000000000004</v>
      </c>
      <c r="O25" s="111">
        <f t="shared" si="7"/>
        <v>313.53000000000003</v>
      </c>
      <c r="P25" s="125">
        <v>0.13</v>
      </c>
      <c r="Q25" s="49">
        <v>0.15</v>
      </c>
      <c r="R25" s="125">
        <v>0.1</v>
      </c>
      <c r="S25" s="134">
        <v>0.13</v>
      </c>
      <c r="T25" s="49">
        <v>0.15</v>
      </c>
      <c r="U25" s="49">
        <v>151125</v>
      </c>
    </row>
    <row r="26" spans="1:21" s="1" customFormat="1" ht="15.75" thickBot="1" x14ac:dyDescent="0.3">
      <c r="A26" s="31"/>
      <c r="B26" s="4"/>
      <c r="C26" s="5"/>
      <c r="D26" s="7"/>
      <c r="E26" s="3"/>
      <c r="F26" s="3"/>
      <c r="G26" s="77" t="s">
        <v>1202</v>
      </c>
      <c r="H26" s="5"/>
      <c r="I26" s="78"/>
      <c r="J26" s="4"/>
      <c r="K26" s="4"/>
      <c r="L26" s="5"/>
      <c r="M26" s="80"/>
      <c r="N26" s="78"/>
      <c r="O26" s="111"/>
      <c r="P26" s="125"/>
      <c r="Q26" s="49"/>
      <c r="R26" s="125"/>
      <c r="S26" s="134"/>
      <c r="T26" s="49"/>
      <c r="U26" s="49"/>
    </row>
    <row r="27" spans="1:21" s="1" customFormat="1" ht="15.75" thickBot="1" x14ac:dyDescent="0.3">
      <c r="A27" s="51"/>
      <c r="B27" s="120" t="s">
        <v>100</v>
      </c>
      <c r="C27" s="5"/>
      <c r="D27" s="7"/>
      <c r="E27" s="3"/>
      <c r="F27" s="3"/>
      <c r="G27" s="77" t="s">
        <v>1202</v>
      </c>
      <c r="H27" s="5"/>
      <c r="I27" s="78"/>
      <c r="J27" s="4"/>
      <c r="K27" s="4"/>
      <c r="L27" s="5"/>
      <c r="M27" s="80"/>
      <c r="N27" s="78"/>
      <c r="O27" s="111"/>
      <c r="P27" s="125"/>
      <c r="Q27" s="49"/>
      <c r="R27" s="125"/>
      <c r="S27" s="134"/>
      <c r="T27" s="49"/>
      <c r="U27" s="49"/>
    </row>
    <row r="28" spans="1:21" s="1" customFormat="1" x14ac:dyDescent="0.25">
      <c r="A28" s="31">
        <v>5</v>
      </c>
      <c r="B28" s="4" t="s">
        <v>101</v>
      </c>
      <c r="C28" s="5">
        <v>1</v>
      </c>
      <c r="D28" s="7">
        <v>0</v>
      </c>
      <c r="E28" s="3">
        <f>C28+(C28*D28)</f>
        <v>1</v>
      </c>
      <c r="F28" s="3" t="s">
        <v>867</v>
      </c>
      <c r="G28" s="77">
        <v>2007.65</v>
      </c>
      <c r="H28" s="5" t="s">
        <v>1</v>
      </c>
      <c r="I28" s="78">
        <f>IF(H28="C",(G28/100)*E28,IF(H28="M",(G28/1000)*E28,G28*E28))</f>
        <v>2007.65</v>
      </c>
      <c r="J28" s="110">
        <f>$O$4</f>
        <v>75</v>
      </c>
      <c r="K28" s="4">
        <v>4.4000000000000004</v>
      </c>
      <c r="L28" s="5" t="s">
        <v>1</v>
      </c>
      <c r="M28" s="80">
        <f>IF(L28="C",(K28/100)*E28,IF(L28="M",(K28/1000)*E28,K28*E28))</f>
        <v>4.4000000000000004</v>
      </c>
      <c r="N28" s="78">
        <f>M28*J28</f>
        <v>330</v>
      </c>
      <c r="O28" s="111">
        <f>N28+I28</f>
        <v>2337.65</v>
      </c>
      <c r="P28" s="125">
        <v>5.5</v>
      </c>
      <c r="Q28" s="49">
        <v>6.6</v>
      </c>
      <c r="R28" s="125">
        <v>13</v>
      </c>
      <c r="S28" s="134">
        <v>16.25</v>
      </c>
      <c r="T28" s="49">
        <v>19.5</v>
      </c>
      <c r="U28" s="49">
        <v>149370</v>
      </c>
    </row>
    <row r="29" spans="1:21" s="1" customFormat="1" x14ac:dyDescent="0.25">
      <c r="A29" s="31"/>
      <c r="B29" s="4" t="s">
        <v>1161</v>
      </c>
      <c r="C29" s="5">
        <f>C28*4</f>
        <v>4</v>
      </c>
      <c r="D29" s="7">
        <v>0</v>
      </c>
      <c r="E29" s="3">
        <f t="shared" si="3"/>
        <v>4</v>
      </c>
      <c r="F29" s="3" t="s">
        <v>867</v>
      </c>
      <c r="G29" s="77">
        <v>0</v>
      </c>
      <c r="H29" s="5" t="s">
        <v>0</v>
      </c>
      <c r="I29" s="78">
        <f>IF(H29="C",(G29/100)*E29,IF(H29="M",(G29/1000)*E29,G29*E29))</f>
        <v>0</v>
      </c>
      <c r="J29" s="110">
        <f t="shared" ref="J29:J30" si="8">$O$4</f>
        <v>75</v>
      </c>
      <c r="K29" s="4">
        <v>8</v>
      </c>
      <c r="L29" s="5" t="s">
        <v>0</v>
      </c>
      <c r="M29" s="80">
        <f t="shared" si="5"/>
        <v>0.32</v>
      </c>
      <c r="N29" s="78">
        <f t="shared" si="6"/>
        <v>24</v>
      </c>
      <c r="O29" s="111">
        <f t="shared" si="7"/>
        <v>24</v>
      </c>
      <c r="P29" s="125"/>
      <c r="Q29" s="49"/>
      <c r="R29" s="125"/>
      <c r="S29" s="134"/>
      <c r="T29" s="49"/>
      <c r="U29" s="49">
        <v>139605</v>
      </c>
    </row>
    <row r="30" spans="1:21" s="1" customFormat="1" x14ac:dyDescent="0.25">
      <c r="A30" s="31"/>
      <c r="B30" s="4" t="s">
        <v>102</v>
      </c>
      <c r="C30" s="5">
        <f>C28*3</f>
        <v>3</v>
      </c>
      <c r="D30" s="7">
        <v>0</v>
      </c>
      <c r="E30" s="3">
        <f t="shared" si="3"/>
        <v>3</v>
      </c>
      <c r="F30" s="3" t="s">
        <v>867</v>
      </c>
      <c r="G30" s="77">
        <v>188.21</v>
      </c>
      <c r="H30" s="5" t="s">
        <v>1</v>
      </c>
      <c r="I30" s="78">
        <f>IF(H30="C",(G30/100)*E30,IF(H30="M",(G30/1000)*E30,G30*E30))</f>
        <v>564.63</v>
      </c>
      <c r="J30" s="110">
        <f t="shared" si="8"/>
        <v>75</v>
      </c>
      <c r="K30" s="4">
        <v>0.14000000000000001</v>
      </c>
      <c r="L30" s="5" t="s">
        <v>1</v>
      </c>
      <c r="M30" s="80">
        <f t="shared" si="5"/>
        <v>0.42000000000000004</v>
      </c>
      <c r="N30" s="78">
        <f t="shared" si="6"/>
        <v>31.500000000000004</v>
      </c>
      <c r="O30" s="111">
        <f t="shared" si="7"/>
        <v>596.13</v>
      </c>
      <c r="P30" s="125">
        <v>0.18</v>
      </c>
      <c r="Q30" s="49">
        <v>0.21</v>
      </c>
      <c r="R30" s="125">
        <v>0.17</v>
      </c>
      <c r="S30" s="134">
        <v>0.21</v>
      </c>
      <c r="T30" s="49">
        <v>0.26</v>
      </c>
      <c r="U30" s="49">
        <v>151140</v>
      </c>
    </row>
    <row r="31" spans="1:21" s="1" customFormat="1" ht="15.75" thickBot="1" x14ac:dyDescent="0.3">
      <c r="A31" s="31"/>
      <c r="B31" s="4"/>
      <c r="C31" s="5"/>
      <c r="D31" s="7"/>
      <c r="E31" s="3"/>
      <c r="F31" s="3"/>
      <c r="G31" s="77" t="s">
        <v>1202</v>
      </c>
      <c r="H31" s="5"/>
      <c r="I31" s="78"/>
      <c r="J31" s="4"/>
      <c r="K31" s="4"/>
      <c r="L31" s="5"/>
      <c r="M31" s="80"/>
      <c r="N31" s="78"/>
      <c r="O31" s="111"/>
      <c r="P31" s="125"/>
      <c r="Q31" s="49"/>
      <c r="R31" s="125"/>
      <c r="S31" s="134"/>
      <c r="T31" s="49"/>
      <c r="U31" s="49"/>
    </row>
    <row r="32" spans="1:21" s="1" customFormat="1" ht="15.75" thickBot="1" x14ac:dyDescent="0.3">
      <c r="A32" s="51"/>
      <c r="B32" s="120" t="s">
        <v>103</v>
      </c>
      <c r="C32" s="5"/>
      <c r="D32" s="7"/>
      <c r="E32" s="3"/>
      <c r="F32" s="3"/>
      <c r="G32" s="77" t="s">
        <v>1202</v>
      </c>
      <c r="H32" s="5"/>
      <c r="I32" s="78"/>
      <c r="J32" s="4"/>
      <c r="K32" s="4"/>
      <c r="L32" s="5"/>
      <c r="M32" s="80"/>
      <c r="N32" s="78"/>
      <c r="O32" s="111"/>
      <c r="P32" s="125"/>
      <c r="Q32" s="49"/>
      <c r="R32" s="125"/>
      <c r="S32" s="134"/>
      <c r="T32" s="49"/>
      <c r="U32" s="49"/>
    </row>
    <row r="33" spans="1:21" s="1" customFormat="1" x14ac:dyDescent="0.25">
      <c r="A33" s="31">
        <v>6</v>
      </c>
      <c r="B33" s="4" t="s">
        <v>104</v>
      </c>
      <c r="C33" s="5">
        <v>1</v>
      </c>
      <c r="D33" s="7">
        <v>0</v>
      </c>
      <c r="E33" s="3">
        <f>C33+(C33*D33)</f>
        <v>1</v>
      </c>
      <c r="F33" s="3" t="s">
        <v>867</v>
      </c>
      <c r="G33" s="77">
        <v>3242.93</v>
      </c>
      <c r="H33" s="5" t="s">
        <v>1</v>
      </c>
      <c r="I33" s="78">
        <f>IF(H33="C",(G33/100)*E33,IF(H33="M",(G33/1000)*E33,G33*E33))</f>
        <v>3242.93</v>
      </c>
      <c r="J33" s="110">
        <f>$O$4</f>
        <v>75</v>
      </c>
      <c r="K33" s="4">
        <v>6</v>
      </c>
      <c r="L33" s="5" t="s">
        <v>1</v>
      </c>
      <c r="M33" s="80">
        <f>IF(L33="C",(K33/100)*E33,IF(L33="M",(K33/1000)*E33,K33*E33))</f>
        <v>6</v>
      </c>
      <c r="N33" s="78">
        <f>M33*J33</f>
        <v>450</v>
      </c>
      <c r="O33" s="111">
        <f>N33+I33</f>
        <v>3692.93</v>
      </c>
      <c r="P33" s="125">
        <v>7.5</v>
      </c>
      <c r="Q33" s="49">
        <v>9</v>
      </c>
      <c r="R33" s="125">
        <v>17</v>
      </c>
      <c r="S33" s="134">
        <v>21.25</v>
      </c>
      <c r="T33" s="49">
        <v>25.5</v>
      </c>
      <c r="U33" s="49">
        <v>149451</v>
      </c>
    </row>
    <row r="34" spans="1:21" s="1" customFormat="1" x14ac:dyDescent="0.25">
      <c r="A34" s="31"/>
      <c r="B34" s="4" t="s">
        <v>87</v>
      </c>
      <c r="C34" s="5">
        <f>C33*4</f>
        <v>4</v>
      </c>
      <c r="D34" s="7">
        <v>0</v>
      </c>
      <c r="E34" s="3">
        <f t="shared" si="3"/>
        <v>4</v>
      </c>
      <c r="F34" s="3" t="s">
        <v>867</v>
      </c>
      <c r="G34" s="77">
        <v>0</v>
      </c>
      <c r="H34" s="5" t="s">
        <v>0</v>
      </c>
      <c r="I34" s="78">
        <f>IF(H34="C",(G34/100)*E34,IF(H34="M",(G34/1000)*E34,G34*E34))</f>
        <v>0</v>
      </c>
      <c r="J34" s="110">
        <f t="shared" ref="J34:J35" si="9">$O$4</f>
        <v>75</v>
      </c>
      <c r="K34" s="4">
        <v>12</v>
      </c>
      <c r="L34" s="5" t="s">
        <v>0</v>
      </c>
      <c r="M34" s="80">
        <f t="shared" si="5"/>
        <v>0.48</v>
      </c>
      <c r="N34" s="78">
        <f t="shared" si="6"/>
        <v>36</v>
      </c>
      <c r="O34" s="111">
        <f t="shared" si="7"/>
        <v>36</v>
      </c>
      <c r="P34" s="125"/>
      <c r="Q34" s="49"/>
      <c r="R34" s="125"/>
      <c r="S34" s="134"/>
      <c r="T34" s="49"/>
      <c r="U34" s="49">
        <v>139608</v>
      </c>
    </row>
    <row r="35" spans="1:21" s="1" customFormat="1" x14ac:dyDescent="0.25">
      <c r="A35" s="31"/>
      <c r="B35" s="4" t="s">
        <v>105</v>
      </c>
      <c r="C35" s="5">
        <f>C33*3</f>
        <v>3</v>
      </c>
      <c r="D35" s="7">
        <v>0</v>
      </c>
      <c r="E35" s="3">
        <f t="shared" si="3"/>
        <v>3</v>
      </c>
      <c r="F35" s="3" t="s">
        <v>867</v>
      </c>
      <c r="G35" s="77">
        <v>281.37</v>
      </c>
      <c r="H35" s="5" t="s">
        <v>1</v>
      </c>
      <c r="I35" s="78">
        <f>IF(H35="C",(G35/100)*E35,IF(H35="M",(G35/1000)*E35,G35*E35))</f>
        <v>844.11</v>
      </c>
      <c r="J35" s="110">
        <f t="shared" si="9"/>
        <v>75</v>
      </c>
      <c r="K35" s="4">
        <v>0.18</v>
      </c>
      <c r="L35" s="5" t="s">
        <v>1</v>
      </c>
      <c r="M35" s="80">
        <f t="shared" si="5"/>
        <v>0.54</v>
      </c>
      <c r="N35" s="78">
        <f t="shared" si="6"/>
        <v>40.5</v>
      </c>
      <c r="O35" s="111">
        <f t="shared" si="7"/>
        <v>884.61</v>
      </c>
      <c r="P35" s="125">
        <v>0.23</v>
      </c>
      <c r="Q35" s="49">
        <v>0.27</v>
      </c>
      <c r="R35" s="125">
        <v>0.2</v>
      </c>
      <c r="S35" s="134">
        <v>0.25</v>
      </c>
      <c r="T35" s="49">
        <v>0.3</v>
      </c>
      <c r="U35" s="49">
        <v>151149</v>
      </c>
    </row>
    <row r="36" spans="1:21" s="1" customFormat="1" ht="15.75" thickBot="1" x14ac:dyDescent="0.3">
      <c r="A36" s="31"/>
      <c r="B36" s="4"/>
      <c r="C36" s="5"/>
      <c r="D36" s="7"/>
      <c r="E36" s="3"/>
      <c r="F36" s="3"/>
      <c r="G36" s="77" t="s">
        <v>1202</v>
      </c>
      <c r="H36" s="5"/>
      <c r="I36" s="78"/>
      <c r="J36" s="4"/>
      <c r="K36" s="4"/>
      <c r="L36" s="5"/>
      <c r="M36" s="80"/>
      <c r="N36" s="78"/>
      <c r="O36" s="111"/>
      <c r="P36" s="125"/>
      <c r="Q36" s="49"/>
      <c r="R36" s="125"/>
      <c r="S36" s="134"/>
      <c r="T36" s="49"/>
      <c r="U36" s="49"/>
    </row>
    <row r="37" spans="1:21" s="1" customFormat="1" ht="15.75" thickBot="1" x14ac:dyDescent="0.3">
      <c r="A37" s="51"/>
      <c r="B37" s="120" t="s">
        <v>106</v>
      </c>
      <c r="C37" s="5"/>
      <c r="D37" s="7"/>
      <c r="E37" s="3"/>
      <c r="F37" s="3"/>
      <c r="G37" s="77" t="s">
        <v>1202</v>
      </c>
      <c r="H37" s="5"/>
      <c r="I37" s="78"/>
      <c r="J37" s="4"/>
      <c r="K37" s="4"/>
      <c r="L37" s="5"/>
      <c r="M37" s="80"/>
      <c r="N37" s="78"/>
      <c r="O37" s="111"/>
      <c r="P37" s="125"/>
      <c r="Q37" s="49"/>
      <c r="R37" s="125"/>
      <c r="S37" s="134"/>
      <c r="T37" s="49"/>
      <c r="U37" s="49"/>
    </row>
    <row r="38" spans="1:21" s="1" customFormat="1" x14ac:dyDescent="0.25">
      <c r="A38" s="31">
        <v>7</v>
      </c>
      <c r="B38" s="4" t="s">
        <v>107</v>
      </c>
      <c r="C38" s="5">
        <v>1</v>
      </c>
      <c r="D38" s="7">
        <v>0</v>
      </c>
      <c r="E38" s="3">
        <f>C38+(C38*D38)</f>
        <v>1</v>
      </c>
      <c r="F38" s="3" t="s">
        <v>867</v>
      </c>
      <c r="G38" s="77">
        <v>6002.65</v>
      </c>
      <c r="H38" s="5" t="s">
        <v>1</v>
      </c>
      <c r="I38" s="78">
        <f>IF(H38="C",(G38/100)*E38,IF(H38="M",(G38/1000)*E38,G38*E38))</f>
        <v>6002.65</v>
      </c>
      <c r="J38" s="110">
        <f>$O$4</f>
        <v>75</v>
      </c>
      <c r="K38" s="4">
        <v>8.4</v>
      </c>
      <c r="L38" s="5" t="s">
        <v>1</v>
      </c>
      <c r="M38" s="80">
        <f>IF(L38="C",(K38/100)*E38,IF(L38="M",(K38/1000)*E38,K38*E38))</f>
        <v>8.4</v>
      </c>
      <c r="N38" s="78">
        <f>M38*J38</f>
        <v>630</v>
      </c>
      <c r="O38" s="111">
        <f>N38+I38</f>
        <v>6632.65</v>
      </c>
      <c r="P38" s="125">
        <v>10.5</v>
      </c>
      <c r="Q38" s="49">
        <v>12.6</v>
      </c>
      <c r="R38" s="125">
        <v>22</v>
      </c>
      <c r="S38" s="134">
        <v>27.5</v>
      </c>
      <c r="T38" s="49">
        <v>33</v>
      </c>
      <c r="U38" s="49">
        <v>149532</v>
      </c>
    </row>
    <row r="39" spans="1:21" s="1" customFormat="1" x14ac:dyDescent="0.25">
      <c r="A39" s="31"/>
      <c r="B39" s="4" t="s">
        <v>87</v>
      </c>
      <c r="C39" s="5">
        <f>C38*4</f>
        <v>4</v>
      </c>
      <c r="D39" s="7">
        <v>0</v>
      </c>
      <c r="E39" s="3">
        <f t="shared" si="3"/>
        <v>4</v>
      </c>
      <c r="F39" s="3" t="s">
        <v>867</v>
      </c>
      <c r="G39" s="77">
        <v>0</v>
      </c>
      <c r="H39" s="5" t="s">
        <v>0</v>
      </c>
      <c r="I39" s="78">
        <f>IF(H39="C",(G39/100)*E39,IF(H39="M",(G39/1000)*E39,G39*E39))</f>
        <v>0</v>
      </c>
      <c r="J39" s="110">
        <f t="shared" ref="J39:J40" si="10">$O$4</f>
        <v>75</v>
      </c>
      <c r="K39" s="4">
        <v>12</v>
      </c>
      <c r="L39" s="5" t="s">
        <v>0</v>
      </c>
      <c r="M39" s="80">
        <f t="shared" si="5"/>
        <v>0.48</v>
      </c>
      <c r="N39" s="78">
        <f t="shared" si="6"/>
        <v>36</v>
      </c>
      <c r="O39" s="111">
        <f t="shared" si="7"/>
        <v>36</v>
      </c>
      <c r="P39" s="125"/>
      <c r="Q39" s="49"/>
      <c r="R39" s="125"/>
      <c r="S39" s="134"/>
      <c r="T39" s="49"/>
      <c r="U39" s="49">
        <v>139608</v>
      </c>
    </row>
    <row r="40" spans="1:21" s="1" customFormat="1" x14ac:dyDescent="0.25">
      <c r="A40" s="31"/>
      <c r="B40" s="4" t="s">
        <v>108</v>
      </c>
      <c r="C40" s="5">
        <f>C38*3</f>
        <v>3</v>
      </c>
      <c r="D40" s="7">
        <v>0</v>
      </c>
      <c r="E40" s="3">
        <f t="shared" si="3"/>
        <v>3</v>
      </c>
      <c r="F40" s="3" t="s">
        <v>867</v>
      </c>
      <c r="G40" s="77">
        <v>1513.08</v>
      </c>
      <c r="H40" s="5" t="s">
        <v>1</v>
      </c>
      <c r="I40" s="78">
        <f>IF(H40="C",(G40/100)*E40,IF(H40="M",(G40/1000)*E40,G40*E40))</f>
        <v>4539.24</v>
      </c>
      <c r="J40" s="110">
        <f t="shared" si="10"/>
        <v>75</v>
      </c>
      <c r="K40" s="4">
        <v>0.3</v>
      </c>
      <c r="L40" s="5" t="s">
        <v>1</v>
      </c>
      <c r="M40" s="80">
        <f t="shared" si="5"/>
        <v>0.89999999999999991</v>
      </c>
      <c r="N40" s="78">
        <f t="shared" si="6"/>
        <v>67.5</v>
      </c>
      <c r="O40" s="111">
        <f t="shared" si="7"/>
        <v>4606.74</v>
      </c>
      <c r="P40" s="125">
        <v>0.38</v>
      </c>
      <c r="Q40" s="49">
        <v>0.45</v>
      </c>
      <c r="R40" s="125">
        <v>0.3</v>
      </c>
      <c r="S40" s="134">
        <v>0.38</v>
      </c>
      <c r="T40" s="49">
        <v>0.45</v>
      </c>
      <c r="U40" s="49">
        <v>151407</v>
      </c>
    </row>
    <row r="41" spans="1:21" s="1" customFormat="1" ht="15.75" thickBot="1" x14ac:dyDescent="0.3">
      <c r="A41" s="31"/>
      <c r="B41" s="4"/>
      <c r="C41" s="5"/>
      <c r="D41" s="7"/>
      <c r="E41" s="3"/>
      <c r="F41" s="3"/>
      <c r="G41" s="77" t="s">
        <v>1202</v>
      </c>
      <c r="H41" s="5"/>
      <c r="I41" s="78"/>
      <c r="J41" s="4"/>
      <c r="K41" s="4"/>
      <c r="L41" s="5"/>
      <c r="M41" s="80"/>
      <c r="N41" s="78"/>
      <c r="O41" s="111"/>
      <c r="P41" s="125"/>
      <c r="Q41" s="49"/>
      <c r="R41" s="125"/>
      <c r="S41" s="134"/>
      <c r="T41" s="49"/>
      <c r="U41" s="49"/>
    </row>
    <row r="42" spans="1:21" s="1" customFormat="1" ht="15.75" thickBot="1" x14ac:dyDescent="0.3">
      <c r="A42" s="51"/>
      <c r="B42" s="120" t="s">
        <v>109</v>
      </c>
      <c r="C42" s="5"/>
      <c r="D42" s="7"/>
      <c r="E42" s="3"/>
      <c r="F42" s="3"/>
      <c r="G42" s="77" t="s">
        <v>1202</v>
      </c>
      <c r="H42" s="5"/>
      <c r="I42" s="78"/>
      <c r="J42" s="4"/>
      <c r="K42" s="4"/>
      <c r="L42" s="5"/>
      <c r="M42" s="80"/>
      <c r="N42" s="78"/>
      <c r="O42" s="111"/>
      <c r="P42" s="125"/>
      <c r="Q42" s="49"/>
      <c r="R42" s="125"/>
      <c r="S42" s="134"/>
      <c r="T42" s="49"/>
      <c r="U42" s="49"/>
    </row>
    <row r="43" spans="1:21" s="1" customFormat="1" x14ac:dyDescent="0.25">
      <c r="A43" s="31">
        <v>8</v>
      </c>
      <c r="B43" s="4" t="s">
        <v>110</v>
      </c>
      <c r="C43" s="5">
        <v>1</v>
      </c>
      <c r="D43" s="7">
        <v>0</v>
      </c>
      <c r="E43" s="3">
        <f>C43+(C43*D43)</f>
        <v>1</v>
      </c>
      <c r="F43" s="3" t="s">
        <v>867</v>
      </c>
      <c r="G43" s="77">
        <v>7679.58</v>
      </c>
      <c r="H43" s="5" t="s">
        <v>1</v>
      </c>
      <c r="I43" s="78">
        <f>IF(H43="C",(G43/100)*E43,IF(H43="M",(G43/1000)*E43,G43*E43))</f>
        <v>7679.58</v>
      </c>
      <c r="J43" s="110">
        <f>$O$4</f>
        <v>75</v>
      </c>
      <c r="K43" s="4">
        <v>10.8</v>
      </c>
      <c r="L43" s="5" t="s">
        <v>1</v>
      </c>
      <c r="M43" s="80">
        <f>IF(L43="C",(K43/100)*E43,IF(L43="M",(K43/1000)*E43,K43*E43))</f>
        <v>10.8</v>
      </c>
      <c r="N43" s="78">
        <f>M43*J43</f>
        <v>810</v>
      </c>
      <c r="O43" s="111">
        <f>N43+I43</f>
        <v>8489.58</v>
      </c>
      <c r="P43" s="125">
        <v>13.5</v>
      </c>
      <c r="Q43" s="49">
        <v>16.2</v>
      </c>
      <c r="R43" s="125">
        <v>26</v>
      </c>
      <c r="S43" s="134">
        <v>32.5</v>
      </c>
      <c r="T43" s="49">
        <v>39</v>
      </c>
      <c r="U43" s="49">
        <v>149613</v>
      </c>
    </row>
    <row r="44" spans="1:21" s="1" customFormat="1" x14ac:dyDescent="0.25">
      <c r="A44" s="31"/>
      <c r="B44" s="4" t="s">
        <v>87</v>
      </c>
      <c r="C44" s="5">
        <f>C43*4</f>
        <v>4</v>
      </c>
      <c r="D44" s="7">
        <v>0</v>
      </c>
      <c r="E44" s="3">
        <f t="shared" si="3"/>
        <v>4</v>
      </c>
      <c r="F44" s="3" t="s">
        <v>867</v>
      </c>
      <c r="G44" s="77">
        <v>0</v>
      </c>
      <c r="H44" s="5" t="s">
        <v>0</v>
      </c>
      <c r="I44" s="78">
        <f>IF(H44="C",(G44/100)*E44,IF(H44="M",(G44/1000)*E44,G44*E44))</f>
        <v>0</v>
      </c>
      <c r="J44" s="110">
        <f t="shared" ref="J44:J45" si="11">$O$4</f>
        <v>75</v>
      </c>
      <c r="K44" s="4">
        <v>12</v>
      </c>
      <c r="L44" s="5" t="s">
        <v>0</v>
      </c>
      <c r="M44" s="80">
        <f t="shared" si="5"/>
        <v>0.48</v>
      </c>
      <c r="N44" s="78">
        <f t="shared" si="6"/>
        <v>36</v>
      </c>
      <c r="O44" s="111">
        <f t="shared" si="7"/>
        <v>36</v>
      </c>
      <c r="P44" s="125"/>
      <c r="Q44" s="49"/>
      <c r="R44" s="125"/>
      <c r="S44" s="134"/>
      <c r="T44" s="49"/>
      <c r="U44" s="49">
        <v>139608</v>
      </c>
    </row>
    <row r="45" spans="1:21" s="1" customFormat="1" x14ac:dyDescent="0.25">
      <c r="A45" s="31"/>
      <c r="B45" s="4" t="s">
        <v>111</v>
      </c>
      <c r="C45" s="5">
        <f>C43*3</f>
        <v>3</v>
      </c>
      <c r="D45" s="7">
        <v>0</v>
      </c>
      <c r="E45" s="3">
        <f t="shared" si="3"/>
        <v>3</v>
      </c>
      <c r="F45" s="3" t="s">
        <v>867</v>
      </c>
      <c r="G45" s="77">
        <v>1721.44</v>
      </c>
      <c r="H45" s="5" t="s">
        <v>1</v>
      </c>
      <c r="I45" s="78">
        <f>IF(H45="C",(G45/100)*E45,IF(H45="M",(G45/1000)*E45,G45*E45))</f>
        <v>5164.32</v>
      </c>
      <c r="J45" s="110">
        <f t="shared" si="11"/>
        <v>75</v>
      </c>
      <c r="K45" s="4">
        <v>0.4</v>
      </c>
      <c r="L45" s="5" t="s">
        <v>1</v>
      </c>
      <c r="M45" s="80">
        <f t="shared" si="5"/>
        <v>1.2000000000000002</v>
      </c>
      <c r="N45" s="78">
        <f t="shared" si="6"/>
        <v>90.000000000000014</v>
      </c>
      <c r="O45" s="111">
        <f t="shared" si="7"/>
        <v>5254.32</v>
      </c>
      <c r="P45" s="125">
        <v>0.5</v>
      </c>
      <c r="Q45" s="49">
        <v>0.6</v>
      </c>
      <c r="R45" s="125">
        <v>0.3</v>
      </c>
      <c r="S45" s="134">
        <v>0.38</v>
      </c>
      <c r="T45" s="49">
        <v>0.45</v>
      </c>
      <c r="U45" s="49">
        <v>151413</v>
      </c>
    </row>
    <row r="46" spans="1:21" s="1" customFormat="1" ht="15.75" thickBot="1" x14ac:dyDescent="0.3">
      <c r="A46" s="31"/>
      <c r="B46" s="4"/>
      <c r="C46" s="5"/>
      <c r="D46" s="7"/>
      <c r="E46" s="3"/>
      <c r="F46" s="3"/>
      <c r="G46" s="77" t="s">
        <v>1202</v>
      </c>
      <c r="H46" s="5"/>
      <c r="I46" s="78"/>
      <c r="J46" s="4"/>
      <c r="K46" s="4"/>
      <c r="L46" s="5"/>
      <c r="M46" s="80"/>
      <c r="N46" s="78"/>
      <c r="O46" s="111"/>
      <c r="P46" s="125"/>
      <c r="Q46" s="49"/>
      <c r="R46" s="125"/>
      <c r="S46" s="134"/>
      <c r="T46" s="49"/>
      <c r="U46" s="49"/>
    </row>
    <row r="47" spans="1:21" s="1" customFormat="1" ht="15.75" thickBot="1" x14ac:dyDescent="0.3">
      <c r="A47" s="51"/>
      <c r="B47" s="120" t="s">
        <v>112</v>
      </c>
      <c r="C47" s="5"/>
      <c r="D47" s="7"/>
      <c r="E47" s="3"/>
      <c r="F47" s="3"/>
      <c r="G47" s="77" t="s">
        <v>1202</v>
      </c>
      <c r="H47" s="5"/>
      <c r="I47" s="78"/>
      <c r="J47" s="4"/>
      <c r="K47" s="4"/>
      <c r="L47" s="5"/>
      <c r="M47" s="80"/>
      <c r="N47" s="78"/>
      <c r="O47" s="111"/>
      <c r="P47" s="125"/>
      <c r="Q47" s="49"/>
      <c r="R47" s="125"/>
      <c r="S47" s="134"/>
      <c r="T47" s="49"/>
      <c r="U47" s="49"/>
    </row>
    <row r="48" spans="1:21" s="1" customFormat="1" x14ac:dyDescent="0.25">
      <c r="A48" s="31">
        <v>9</v>
      </c>
      <c r="B48" s="4" t="s">
        <v>113</v>
      </c>
      <c r="C48" s="5">
        <v>1</v>
      </c>
      <c r="D48" s="7">
        <v>0</v>
      </c>
      <c r="E48" s="3">
        <f>C48+(C48*D48)</f>
        <v>1</v>
      </c>
      <c r="F48" s="3" t="s">
        <v>867</v>
      </c>
      <c r="G48" s="77">
        <v>207.08</v>
      </c>
      <c r="H48" s="5" t="s">
        <v>1</v>
      </c>
      <c r="I48" s="78">
        <f>IF(H48="C",(G48/100)*E48,IF(H48="M",(G48/1000)*E48,G48*E48))</f>
        <v>207.08</v>
      </c>
      <c r="J48" s="110">
        <f>$O$4</f>
        <v>75</v>
      </c>
      <c r="K48" s="4">
        <v>1</v>
      </c>
      <c r="L48" s="5" t="s">
        <v>1</v>
      </c>
      <c r="M48" s="80">
        <f>IF(L48="C",(K48/100)*E48,IF(L48="M",(K48/1000)*E48,K48*E48))</f>
        <v>1</v>
      </c>
      <c r="N48" s="78">
        <f>M48*J48</f>
        <v>75</v>
      </c>
      <c r="O48" s="111">
        <f>N48+I48</f>
        <v>282.08000000000004</v>
      </c>
      <c r="P48" s="125">
        <v>1.25</v>
      </c>
      <c r="Q48" s="49">
        <v>1.5</v>
      </c>
      <c r="R48" s="125">
        <v>2</v>
      </c>
      <c r="S48" s="134">
        <v>2.5</v>
      </c>
      <c r="T48" s="49">
        <v>3</v>
      </c>
      <c r="U48" s="49">
        <v>149073</v>
      </c>
    </row>
    <row r="49" spans="1:21" s="1" customFormat="1" x14ac:dyDescent="0.25">
      <c r="A49" s="31"/>
      <c r="B49" s="4" t="s">
        <v>1161</v>
      </c>
      <c r="C49" s="5">
        <f>C48*4</f>
        <v>4</v>
      </c>
      <c r="D49" s="7">
        <v>0</v>
      </c>
      <c r="E49" s="3">
        <f t="shared" si="3"/>
        <v>4</v>
      </c>
      <c r="F49" s="3" t="s">
        <v>867</v>
      </c>
      <c r="G49" s="77">
        <v>0</v>
      </c>
      <c r="H49" s="5" t="s">
        <v>0</v>
      </c>
      <c r="I49" s="78">
        <f>IF(H49="C",(G49/100)*E49,IF(H49="M",(G49/1000)*E49,G49*E49))</f>
        <v>0</v>
      </c>
      <c r="J49" s="110">
        <f t="shared" ref="J49" si="12">$O$4</f>
        <v>75</v>
      </c>
      <c r="K49" s="4">
        <v>8</v>
      </c>
      <c r="L49" s="5" t="s">
        <v>0</v>
      </c>
      <c r="M49" s="80">
        <f t="shared" si="5"/>
        <v>0.32</v>
      </c>
      <c r="N49" s="78">
        <f t="shared" si="6"/>
        <v>24</v>
      </c>
      <c r="O49" s="111">
        <f t="shared" si="7"/>
        <v>24</v>
      </c>
      <c r="P49" s="125"/>
      <c r="Q49" s="49"/>
      <c r="R49" s="125"/>
      <c r="S49" s="134"/>
      <c r="T49" s="49"/>
      <c r="U49" s="49">
        <v>139605</v>
      </c>
    </row>
    <row r="50" spans="1:21" s="1" customFormat="1" ht="15.75" thickBot="1" x14ac:dyDescent="0.3">
      <c r="A50" s="31"/>
      <c r="B50" s="4"/>
      <c r="C50" s="5"/>
      <c r="D50" s="7"/>
      <c r="E50" s="3"/>
      <c r="F50" s="3"/>
      <c r="G50" s="77" t="s">
        <v>1202</v>
      </c>
      <c r="H50" s="5"/>
      <c r="I50" s="78"/>
      <c r="J50" s="110"/>
      <c r="K50" s="4"/>
      <c r="L50" s="5"/>
      <c r="M50" s="80"/>
      <c r="N50" s="78"/>
      <c r="O50" s="111"/>
      <c r="P50" s="125"/>
      <c r="Q50" s="49"/>
      <c r="R50" s="125"/>
      <c r="S50" s="134"/>
      <c r="T50" s="49"/>
      <c r="U50" s="49"/>
    </row>
    <row r="51" spans="1:21" s="1" customFormat="1" ht="15.75" thickBot="1" x14ac:dyDescent="0.3">
      <c r="A51" s="51"/>
      <c r="B51" s="120" t="s">
        <v>114</v>
      </c>
      <c r="C51" s="5"/>
      <c r="D51" s="7"/>
      <c r="E51" s="3"/>
      <c r="F51" s="3"/>
      <c r="G51" s="77" t="s">
        <v>1202</v>
      </c>
      <c r="H51" s="5"/>
      <c r="I51" s="78"/>
      <c r="J51" s="4"/>
      <c r="K51" s="4"/>
      <c r="L51" s="5"/>
      <c r="M51" s="80"/>
      <c r="N51" s="78"/>
      <c r="O51" s="111"/>
      <c r="P51" s="125"/>
      <c r="Q51" s="49"/>
      <c r="R51" s="125"/>
      <c r="S51" s="134"/>
      <c r="T51" s="49"/>
      <c r="U51" s="49"/>
    </row>
    <row r="52" spans="1:21" s="1" customFormat="1" x14ac:dyDescent="0.25">
      <c r="A52" s="31">
        <v>10</v>
      </c>
      <c r="B52" s="4" t="s">
        <v>115</v>
      </c>
      <c r="C52" s="5">
        <v>1</v>
      </c>
      <c r="D52" s="7">
        <v>0</v>
      </c>
      <c r="E52" s="3">
        <f>C52+(C52*D52)</f>
        <v>1</v>
      </c>
      <c r="F52" s="3" t="s">
        <v>867</v>
      </c>
      <c r="G52" s="77">
        <v>254.37</v>
      </c>
      <c r="H52" s="5" t="s">
        <v>1</v>
      </c>
      <c r="I52" s="78">
        <f>IF(H52="C",(G52/100)*E52,IF(H52="M",(G52/1000)*E52,G52*E52))</f>
        <v>254.37</v>
      </c>
      <c r="J52" s="110">
        <f>$O$4</f>
        <v>75</v>
      </c>
      <c r="K52" s="4">
        <v>1.4</v>
      </c>
      <c r="L52" s="5" t="s">
        <v>1</v>
      </c>
      <c r="M52" s="80">
        <f>IF(L52="C",(K52/100)*E52,IF(L52="M",(K52/1000)*E52,K52*E52))</f>
        <v>1.4</v>
      </c>
      <c r="N52" s="78">
        <f>M52*J52</f>
        <v>105</v>
      </c>
      <c r="O52" s="111">
        <f>N52+I52</f>
        <v>359.37</v>
      </c>
      <c r="P52" s="125">
        <v>1.75</v>
      </c>
      <c r="Q52" s="49">
        <v>2.1</v>
      </c>
      <c r="R52" s="125">
        <v>3</v>
      </c>
      <c r="S52" s="134">
        <v>3.75</v>
      </c>
      <c r="T52" s="49">
        <v>4.5</v>
      </c>
      <c r="U52" s="49">
        <v>149154</v>
      </c>
    </row>
    <row r="53" spans="1:21" s="1" customFormat="1" x14ac:dyDescent="0.25">
      <c r="A53" s="31"/>
      <c r="B53" s="4" t="s">
        <v>1161</v>
      </c>
      <c r="C53" s="5">
        <f>C52*4</f>
        <v>4</v>
      </c>
      <c r="D53" s="7">
        <v>0</v>
      </c>
      <c r="E53" s="3">
        <f t="shared" si="3"/>
        <v>4</v>
      </c>
      <c r="F53" s="3" t="s">
        <v>867</v>
      </c>
      <c r="G53" s="77">
        <v>0</v>
      </c>
      <c r="H53" s="5" t="s">
        <v>0</v>
      </c>
      <c r="I53" s="78">
        <f>IF(H53="C",(G53/100)*E53,IF(H53="M",(G53/1000)*E53,G53*E53))</f>
        <v>0</v>
      </c>
      <c r="J53" s="110">
        <f t="shared" ref="J53" si="13">$O$4</f>
        <v>75</v>
      </c>
      <c r="K53" s="4">
        <v>8</v>
      </c>
      <c r="L53" s="5" t="s">
        <v>0</v>
      </c>
      <c r="M53" s="80">
        <f t="shared" si="5"/>
        <v>0.32</v>
      </c>
      <c r="N53" s="78">
        <f t="shared" si="6"/>
        <v>24</v>
      </c>
      <c r="O53" s="111">
        <f t="shared" si="7"/>
        <v>24</v>
      </c>
      <c r="P53" s="125"/>
      <c r="Q53" s="49"/>
      <c r="R53" s="125"/>
      <c r="S53" s="134"/>
      <c r="T53" s="49"/>
      <c r="U53" s="49">
        <v>139605</v>
      </c>
    </row>
    <row r="54" spans="1:21" s="1" customFormat="1" ht="15.75" thickBot="1" x14ac:dyDescent="0.3">
      <c r="A54" s="31"/>
      <c r="B54" s="4"/>
      <c r="C54" s="5"/>
      <c r="D54" s="7"/>
      <c r="E54" s="3"/>
      <c r="F54" s="3"/>
      <c r="G54" s="77" t="s">
        <v>1202</v>
      </c>
      <c r="H54" s="5"/>
      <c r="I54" s="78"/>
      <c r="J54" s="4"/>
      <c r="K54" s="4"/>
      <c r="L54" s="5"/>
      <c r="M54" s="80"/>
      <c r="N54" s="78"/>
      <c r="O54" s="111"/>
      <c r="P54" s="125"/>
      <c r="Q54" s="49"/>
      <c r="R54" s="125"/>
      <c r="S54" s="134"/>
      <c r="T54" s="49"/>
      <c r="U54" s="49"/>
    </row>
    <row r="55" spans="1:21" s="1" customFormat="1" ht="15.75" thickBot="1" x14ac:dyDescent="0.3">
      <c r="A55" s="51"/>
      <c r="B55" s="120" t="s">
        <v>116</v>
      </c>
      <c r="C55" s="5"/>
      <c r="D55" s="7"/>
      <c r="E55" s="3"/>
      <c r="F55" s="3"/>
      <c r="G55" s="77" t="s">
        <v>1202</v>
      </c>
      <c r="H55" s="5"/>
      <c r="I55" s="78"/>
      <c r="J55" s="4"/>
      <c r="K55" s="4"/>
      <c r="L55" s="5"/>
      <c r="M55" s="80"/>
      <c r="N55" s="78"/>
      <c r="O55" s="111"/>
      <c r="P55" s="125"/>
      <c r="Q55" s="49"/>
      <c r="R55" s="125"/>
      <c r="S55" s="134"/>
      <c r="T55" s="49"/>
      <c r="U55" s="49"/>
    </row>
    <row r="56" spans="1:21" s="1" customFormat="1" x14ac:dyDescent="0.25">
      <c r="A56" s="31">
        <v>11</v>
      </c>
      <c r="B56" s="4" t="s">
        <v>117</v>
      </c>
      <c r="C56" s="5">
        <v>1</v>
      </c>
      <c r="D56" s="7">
        <v>0</v>
      </c>
      <c r="E56" s="3">
        <f>C56+(C56*D56)</f>
        <v>1</v>
      </c>
      <c r="F56" s="3" t="s">
        <v>867</v>
      </c>
      <c r="G56" s="77">
        <v>399.35</v>
      </c>
      <c r="H56" s="5" t="s">
        <v>1</v>
      </c>
      <c r="I56" s="78">
        <f>IF(H56="C",(G56/100)*E56,IF(H56="M",(G56/1000)*E56,G56*E56))</f>
        <v>399.35</v>
      </c>
      <c r="J56" s="110">
        <f>$O$4</f>
        <v>75</v>
      </c>
      <c r="K56" s="4">
        <v>1.75</v>
      </c>
      <c r="L56" s="5" t="s">
        <v>1</v>
      </c>
      <c r="M56" s="80">
        <f>IF(L56="C",(K56/100)*E56,IF(L56="M",(K56/1000)*E56,K56*E56))</f>
        <v>1.75</v>
      </c>
      <c r="N56" s="78">
        <f>M56*J56</f>
        <v>131.25</v>
      </c>
      <c r="O56" s="111">
        <f>N56+I56</f>
        <v>530.6</v>
      </c>
      <c r="P56" s="125">
        <v>2.19</v>
      </c>
      <c r="Q56" s="49">
        <v>2.63</v>
      </c>
      <c r="R56" s="125">
        <v>4</v>
      </c>
      <c r="S56" s="134">
        <v>5</v>
      </c>
      <c r="T56" s="49">
        <v>6</v>
      </c>
      <c r="U56" s="49">
        <v>149235</v>
      </c>
    </row>
    <row r="57" spans="1:21" s="1" customFormat="1" x14ac:dyDescent="0.25">
      <c r="A57" s="31"/>
      <c r="B57" s="4" t="s">
        <v>1161</v>
      </c>
      <c r="C57" s="5">
        <f>C56*4</f>
        <v>4</v>
      </c>
      <c r="D57" s="7">
        <v>0</v>
      </c>
      <c r="E57" s="3">
        <f t="shared" si="3"/>
        <v>4</v>
      </c>
      <c r="F57" s="3" t="s">
        <v>867</v>
      </c>
      <c r="G57" s="77">
        <v>0</v>
      </c>
      <c r="H57" s="5" t="s">
        <v>0</v>
      </c>
      <c r="I57" s="78">
        <f>IF(H57="C",(G57/100)*E57,IF(H57="M",(G57/1000)*E57,G57*E57))</f>
        <v>0</v>
      </c>
      <c r="J57" s="110">
        <f t="shared" ref="J57" si="14">$O$4</f>
        <v>75</v>
      </c>
      <c r="K57" s="4">
        <v>8</v>
      </c>
      <c r="L57" s="5" t="s">
        <v>0</v>
      </c>
      <c r="M57" s="80">
        <f t="shared" si="5"/>
        <v>0.32</v>
      </c>
      <c r="N57" s="78">
        <f t="shared" si="6"/>
        <v>24</v>
      </c>
      <c r="O57" s="111">
        <f t="shared" si="7"/>
        <v>24</v>
      </c>
      <c r="P57" s="125"/>
      <c r="Q57" s="49"/>
      <c r="R57" s="125"/>
      <c r="S57" s="134"/>
      <c r="T57" s="49"/>
      <c r="U57" s="49">
        <v>139605</v>
      </c>
    </row>
    <row r="58" spans="1:21" s="1" customFormat="1" ht="15.75" thickBot="1" x14ac:dyDescent="0.3">
      <c r="A58" s="31"/>
      <c r="B58" s="4"/>
      <c r="C58" s="5"/>
      <c r="D58" s="7"/>
      <c r="E58" s="3"/>
      <c r="F58" s="3"/>
      <c r="G58" s="77" t="s">
        <v>1202</v>
      </c>
      <c r="H58" s="5"/>
      <c r="I58" s="78"/>
      <c r="J58" s="4"/>
      <c r="K58" s="4"/>
      <c r="L58" s="5"/>
      <c r="M58" s="80"/>
      <c r="N58" s="78"/>
      <c r="O58" s="111"/>
      <c r="P58" s="125"/>
      <c r="Q58" s="49"/>
      <c r="R58" s="125"/>
      <c r="S58" s="134"/>
      <c r="T58" s="49"/>
      <c r="U58" s="49"/>
    </row>
    <row r="59" spans="1:21" s="1" customFormat="1" ht="15.75" thickBot="1" x14ac:dyDescent="0.3">
      <c r="A59" s="51"/>
      <c r="B59" s="120" t="s">
        <v>118</v>
      </c>
      <c r="C59" s="5"/>
      <c r="D59" s="7"/>
      <c r="E59" s="3"/>
      <c r="F59" s="3"/>
      <c r="G59" s="77" t="s">
        <v>1202</v>
      </c>
      <c r="H59" s="5"/>
      <c r="I59" s="78"/>
      <c r="J59" s="4"/>
      <c r="K59" s="4"/>
      <c r="L59" s="5"/>
      <c r="M59" s="80"/>
      <c r="N59" s="78"/>
      <c r="O59" s="111"/>
      <c r="P59" s="125"/>
      <c r="Q59" s="49"/>
      <c r="R59" s="125"/>
      <c r="S59" s="134"/>
      <c r="T59" s="49"/>
      <c r="U59" s="49"/>
    </row>
    <row r="60" spans="1:21" s="1" customFormat="1" x14ac:dyDescent="0.25">
      <c r="A60" s="31">
        <v>12</v>
      </c>
      <c r="B60" s="4" t="s">
        <v>119</v>
      </c>
      <c r="C60" s="5">
        <v>1</v>
      </c>
      <c r="D60" s="7">
        <v>0</v>
      </c>
      <c r="E60" s="3">
        <f>C60+(C60*D60)</f>
        <v>1</v>
      </c>
      <c r="F60" s="3" t="s">
        <v>867</v>
      </c>
      <c r="G60" s="77">
        <v>622.1</v>
      </c>
      <c r="H60" s="5" t="s">
        <v>1</v>
      </c>
      <c r="I60" s="78">
        <f>IF(H60="C",(G60/100)*E60,IF(H60="M",(G60/1000)*E60,G60*E60))</f>
        <v>622.1</v>
      </c>
      <c r="J60" s="110">
        <f>$O$4</f>
        <v>75</v>
      </c>
      <c r="K60" s="4">
        <v>2.8</v>
      </c>
      <c r="L60" s="5" t="s">
        <v>1</v>
      </c>
      <c r="M60" s="80">
        <f>IF(L60="C",(K60/100)*E60,IF(L60="M",(K60/1000)*E60,K60*E60))</f>
        <v>2.8</v>
      </c>
      <c r="N60" s="78">
        <f>M60*J60</f>
        <v>210</v>
      </c>
      <c r="O60" s="111">
        <f>N60+I60</f>
        <v>832.1</v>
      </c>
      <c r="P60" s="125">
        <v>3.5</v>
      </c>
      <c r="Q60" s="49">
        <v>4.2</v>
      </c>
      <c r="R60" s="125">
        <v>7</v>
      </c>
      <c r="S60" s="134">
        <v>8.75</v>
      </c>
      <c r="T60" s="49">
        <v>10.5</v>
      </c>
      <c r="U60" s="49">
        <v>149316</v>
      </c>
    </row>
    <row r="61" spans="1:21" s="1" customFormat="1" x14ac:dyDescent="0.25">
      <c r="A61" s="31"/>
      <c r="B61" s="4" t="s">
        <v>1161</v>
      </c>
      <c r="C61" s="5">
        <f>C60*4</f>
        <v>4</v>
      </c>
      <c r="D61" s="7">
        <v>0</v>
      </c>
      <c r="E61" s="3">
        <f t="shared" si="3"/>
        <v>4</v>
      </c>
      <c r="F61" s="3" t="s">
        <v>867</v>
      </c>
      <c r="G61" s="77">
        <v>0</v>
      </c>
      <c r="H61" s="5" t="s">
        <v>0</v>
      </c>
      <c r="I61" s="78">
        <f>IF(H61="C",(G61/100)*E61,IF(H61="M",(G61/1000)*E61,G61*E61))</f>
        <v>0</v>
      </c>
      <c r="J61" s="110">
        <f t="shared" ref="J61" si="15">$O$4</f>
        <v>75</v>
      </c>
      <c r="K61" s="4">
        <v>8</v>
      </c>
      <c r="L61" s="5" t="s">
        <v>0</v>
      </c>
      <c r="M61" s="80">
        <f t="shared" si="5"/>
        <v>0.32</v>
      </c>
      <c r="N61" s="78">
        <f t="shared" si="6"/>
        <v>24</v>
      </c>
      <c r="O61" s="111">
        <f t="shared" si="7"/>
        <v>24</v>
      </c>
      <c r="P61" s="125"/>
      <c r="Q61" s="49"/>
      <c r="R61" s="125"/>
      <c r="S61" s="134"/>
      <c r="T61" s="49"/>
      <c r="U61" s="49">
        <v>139605</v>
      </c>
    </row>
    <row r="62" spans="1:21" s="1" customFormat="1" ht="15.75" thickBot="1" x14ac:dyDescent="0.3">
      <c r="A62" s="31"/>
      <c r="B62" s="4"/>
      <c r="C62" s="5"/>
      <c r="D62" s="7"/>
      <c r="E62" s="3"/>
      <c r="F62" s="3"/>
      <c r="G62" s="77" t="s">
        <v>1202</v>
      </c>
      <c r="H62" s="5"/>
      <c r="I62" s="78"/>
      <c r="J62" s="4"/>
      <c r="K62" s="4"/>
      <c r="L62" s="5"/>
      <c r="M62" s="80"/>
      <c r="N62" s="78"/>
      <c r="O62" s="111"/>
      <c r="P62" s="125"/>
      <c r="Q62" s="49"/>
      <c r="R62" s="125"/>
      <c r="S62" s="134"/>
      <c r="T62" s="49"/>
      <c r="U62" s="49"/>
    </row>
    <row r="63" spans="1:21" s="1" customFormat="1" ht="15.75" thickBot="1" x14ac:dyDescent="0.3">
      <c r="A63" s="51"/>
      <c r="B63" s="120" t="s">
        <v>120</v>
      </c>
      <c r="C63" s="5"/>
      <c r="D63" s="7"/>
      <c r="E63" s="3"/>
      <c r="F63" s="3"/>
      <c r="G63" s="77" t="s">
        <v>1202</v>
      </c>
      <c r="H63" s="5"/>
      <c r="I63" s="78"/>
      <c r="J63" s="4"/>
      <c r="K63" s="4"/>
      <c r="L63" s="5"/>
      <c r="M63" s="80"/>
      <c r="N63" s="78"/>
      <c r="O63" s="111"/>
      <c r="P63" s="125"/>
      <c r="Q63" s="49"/>
      <c r="R63" s="125"/>
      <c r="S63" s="134"/>
      <c r="T63" s="49"/>
      <c r="U63" s="49"/>
    </row>
    <row r="64" spans="1:21" s="1" customFormat="1" x14ac:dyDescent="0.25">
      <c r="A64" s="31">
        <v>13</v>
      </c>
      <c r="B64" s="4" t="s">
        <v>121</v>
      </c>
      <c r="C64" s="5">
        <v>1</v>
      </c>
      <c r="D64" s="7">
        <v>0</v>
      </c>
      <c r="E64" s="3">
        <f>C64+(C64*D64)</f>
        <v>1</v>
      </c>
      <c r="F64" s="3" t="s">
        <v>867</v>
      </c>
      <c r="G64" s="77">
        <v>1131.49</v>
      </c>
      <c r="H64" s="5" t="s">
        <v>1</v>
      </c>
      <c r="I64" s="78">
        <f>IF(H64="C",(G64/100)*E64,IF(H64="M",(G64/1000)*E64,G64*E64))</f>
        <v>1131.49</v>
      </c>
      <c r="J64" s="110">
        <f>$O$4</f>
        <v>75</v>
      </c>
      <c r="K64" s="4">
        <v>4</v>
      </c>
      <c r="L64" s="5" t="s">
        <v>1</v>
      </c>
      <c r="M64" s="80">
        <f>IF(L64="C",(K64/100)*E64,IF(L64="M",(K64/1000)*E64,K64*E64))</f>
        <v>4</v>
      </c>
      <c r="N64" s="78">
        <f>M64*J64</f>
        <v>300</v>
      </c>
      <c r="O64" s="111">
        <f>N64+I64</f>
        <v>1431.49</v>
      </c>
      <c r="P64" s="125">
        <v>5</v>
      </c>
      <c r="Q64" s="49">
        <v>6</v>
      </c>
      <c r="R64" s="125">
        <v>10</v>
      </c>
      <c r="S64" s="134">
        <v>12.5</v>
      </c>
      <c r="T64" s="49">
        <v>15</v>
      </c>
      <c r="U64" s="49">
        <v>149397</v>
      </c>
    </row>
    <row r="65" spans="1:21" s="1" customFormat="1" x14ac:dyDescent="0.25">
      <c r="A65" s="31"/>
      <c r="B65" s="4" t="s">
        <v>1161</v>
      </c>
      <c r="C65" s="5">
        <f>C64*4</f>
        <v>4</v>
      </c>
      <c r="D65" s="7">
        <v>0</v>
      </c>
      <c r="E65" s="3">
        <f t="shared" si="3"/>
        <v>4</v>
      </c>
      <c r="F65" s="3" t="s">
        <v>867</v>
      </c>
      <c r="G65" s="77">
        <v>0</v>
      </c>
      <c r="H65" s="5" t="s">
        <v>0</v>
      </c>
      <c r="I65" s="78">
        <f>IF(H65="C",(G65/100)*E65,IF(H65="M",(G65/1000)*E65,G65*E65))</f>
        <v>0</v>
      </c>
      <c r="J65" s="110">
        <f t="shared" ref="J65" si="16">$O$4</f>
        <v>75</v>
      </c>
      <c r="K65" s="4">
        <v>8</v>
      </c>
      <c r="L65" s="5" t="s">
        <v>0</v>
      </c>
      <c r="M65" s="80">
        <f t="shared" si="5"/>
        <v>0.32</v>
      </c>
      <c r="N65" s="78">
        <f t="shared" si="6"/>
        <v>24</v>
      </c>
      <c r="O65" s="111">
        <f t="shared" si="7"/>
        <v>24</v>
      </c>
      <c r="P65" s="125"/>
      <c r="Q65" s="49"/>
      <c r="R65" s="125"/>
      <c r="S65" s="134"/>
      <c r="T65" s="49"/>
      <c r="U65" s="49">
        <v>139605</v>
      </c>
    </row>
    <row r="66" spans="1:21" s="1" customFormat="1" ht="15.75" thickBot="1" x14ac:dyDescent="0.3">
      <c r="A66" s="31"/>
      <c r="B66" s="4"/>
      <c r="C66" s="5"/>
      <c r="D66" s="7"/>
      <c r="E66" s="3"/>
      <c r="F66" s="3"/>
      <c r="G66" s="77" t="s">
        <v>1202</v>
      </c>
      <c r="H66" s="5"/>
      <c r="I66" s="78"/>
      <c r="J66" s="4"/>
      <c r="K66" s="4"/>
      <c r="L66" s="5"/>
      <c r="M66" s="80"/>
      <c r="N66" s="78"/>
      <c r="O66" s="111"/>
      <c r="P66" s="125"/>
      <c r="Q66" s="49"/>
      <c r="R66" s="125"/>
      <c r="S66" s="134"/>
      <c r="T66" s="49"/>
      <c r="U66" s="49"/>
    </row>
    <row r="67" spans="1:21" s="1" customFormat="1" ht="15.75" customHeight="1" thickBot="1" x14ac:dyDescent="0.3">
      <c r="A67" s="51"/>
      <c r="B67" s="120" t="s">
        <v>122</v>
      </c>
      <c r="C67" s="5"/>
      <c r="D67" s="7"/>
      <c r="E67" s="3"/>
      <c r="F67" s="3"/>
      <c r="G67" s="77" t="s">
        <v>1202</v>
      </c>
      <c r="H67" s="5"/>
      <c r="I67" s="78"/>
      <c r="J67" s="4"/>
      <c r="K67" s="4"/>
      <c r="L67" s="5"/>
      <c r="M67" s="80"/>
      <c r="N67" s="78"/>
      <c r="O67" s="111"/>
      <c r="P67" s="125"/>
      <c r="Q67" s="49"/>
      <c r="R67" s="125"/>
      <c r="S67" s="134"/>
      <c r="T67" s="49"/>
      <c r="U67" s="49"/>
    </row>
    <row r="68" spans="1:21" s="1" customFormat="1" x14ac:dyDescent="0.25">
      <c r="A68" s="31">
        <v>14</v>
      </c>
      <c r="B68" s="4" t="s">
        <v>123</v>
      </c>
      <c r="C68" s="5">
        <v>1</v>
      </c>
      <c r="D68" s="7">
        <v>0</v>
      </c>
      <c r="E68" s="3">
        <f>C68+(C68*D68)</f>
        <v>1</v>
      </c>
      <c r="F68" s="3" t="s">
        <v>867</v>
      </c>
      <c r="G68" s="77">
        <v>239.68</v>
      </c>
      <c r="H68" s="5" t="s">
        <v>1</v>
      </c>
      <c r="I68" s="78">
        <f>IF(H68="C",(G68/100)*E68,IF(H68="M",(G68/1000)*E68,G68*E68))</f>
        <v>239.68</v>
      </c>
      <c r="J68" s="110">
        <f>$O$4</f>
        <v>75</v>
      </c>
      <c r="K68" s="4">
        <v>1.1000000000000001</v>
      </c>
      <c r="L68" s="5" t="s">
        <v>1</v>
      </c>
      <c r="M68" s="80">
        <f>IF(L68="C",(K68/100)*E68,IF(L68="M",(K68/1000)*E68,K68*E68))</f>
        <v>1.1000000000000001</v>
      </c>
      <c r="N68" s="78">
        <f>M68*J68</f>
        <v>82.5</v>
      </c>
      <c r="O68" s="111">
        <f>N68+I68</f>
        <v>322.18</v>
      </c>
      <c r="P68" s="125">
        <v>1.38</v>
      </c>
      <c r="Q68" s="49">
        <v>1.65</v>
      </c>
      <c r="R68" s="125">
        <v>2.2000000000000002</v>
      </c>
      <c r="S68" s="134">
        <v>2.75</v>
      </c>
      <c r="T68" s="49">
        <v>3.3</v>
      </c>
      <c r="U68" s="49">
        <v>149076</v>
      </c>
    </row>
    <row r="69" spans="1:21" s="1" customFormat="1" x14ac:dyDescent="0.25">
      <c r="A69" s="31"/>
      <c r="B69" s="4" t="s">
        <v>1161</v>
      </c>
      <c r="C69" s="5">
        <f>C68*4</f>
        <v>4</v>
      </c>
      <c r="D69" s="7">
        <v>0</v>
      </c>
      <c r="E69" s="3">
        <f t="shared" si="3"/>
        <v>4</v>
      </c>
      <c r="F69" s="3" t="s">
        <v>867</v>
      </c>
      <c r="G69" s="77">
        <v>0</v>
      </c>
      <c r="H69" s="5" t="s">
        <v>0</v>
      </c>
      <c r="I69" s="78">
        <f>IF(H69="C",(G69/100)*E69,IF(H69="M",(G69/1000)*E69,G69*E69))</f>
        <v>0</v>
      </c>
      <c r="J69" s="110">
        <f t="shared" ref="J69" si="17">$O$4</f>
        <v>75</v>
      </c>
      <c r="K69" s="4">
        <v>8</v>
      </c>
      <c r="L69" s="5" t="s">
        <v>0</v>
      </c>
      <c r="M69" s="80">
        <f t="shared" si="5"/>
        <v>0.32</v>
      </c>
      <c r="N69" s="78">
        <f t="shared" si="6"/>
        <v>24</v>
      </c>
      <c r="O69" s="111">
        <f t="shared" si="7"/>
        <v>24</v>
      </c>
      <c r="P69" s="125"/>
      <c r="Q69" s="49"/>
      <c r="R69" s="125"/>
      <c r="S69" s="134"/>
      <c r="T69" s="49"/>
      <c r="U69" s="49">
        <v>139605</v>
      </c>
    </row>
    <row r="70" spans="1:21" s="1" customFormat="1" ht="15.75" thickBot="1" x14ac:dyDescent="0.3">
      <c r="A70" s="31"/>
      <c r="B70" s="4"/>
      <c r="C70" s="5"/>
      <c r="D70" s="7"/>
      <c r="E70" s="3"/>
      <c r="F70" s="3"/>
      <c r="G70" s="77" t="s">
        <v>1202</v>
      </c>
      <c r="H70" s="5"/>
      <c r="I70" s="78"/>
      <c r="J70" s="4"/>
      <c r="K70" s="4"/>
      <c r="L70" s="5"/>
      <c r="M70" s="80"/>
      <c r="N70" s="78"/>
      <c r="O70" s="111"/>
      <c r="P70" s="125"/>
      <c r="Q70" s="49"/>
      <c r="R70" s="125"/>
      <c r="S70" s="134"/>
      <c r="T70" s="49"/>
      <c r="U70" s="49"/>
    </row>
    <row r="71" spans="1:21" s="1" customFormat="1" ht="15.75" thickBot="1" x14ac:dyDescent="0.3">
      <c r="A71" s="51"/>
      <c r="B71" s="120" t="s">
        <v>124</v>
      </c>
      <c r="C71" s="5"/>
      <c r="D71" s="7"/>
      <c r="E71" s="3"/>
      <c r="F71" s="3"/>
      <c r="G71" s="77" t="s">
        <v>1202</v>
      </c>
      <c r="H71" s="5"/>
      <c r="I71" s="78"/>
      <c r="J71" s="4"/>
      <c r="K71" s="4"/>
      <c r="L71" s="5"/>
      <c r="M71" s="80"/>
      <c r="N71" s="78"/>
      <c r="O71" s="111"/>
      <c r="P71" s="125"/>
      <c r="Q71" s="49"/>
      <c r="R71" s="125"/>
      <c r="S71" s="134"/>
      <c r="T71" s="49"/>
      <c r="U71" s="49"/>
    </row>
    <row r="72" spans="1:21" s="1" customFormat="1" x14ac:dyDescent="0.25">
      <c r="A72" s="31">
        <v>15</v>
      </c>
      <c r="B72" s="4" t="s">
        <v>125</v>
      </c>
      <c r="C72" s="5">
        <v>1</v>
      </c>
      <c r="D72" s="7">
        <v>0</v>
      </c>
      <c r="E72" s="3">
        <f>C72+(C72*D72)</f>
        <v>1</v>
      </c>
      <c r="F72" s="3" t="s">
        <v>867</v>
      </c>
      <c r="G72" s="77">
        <v>429.58</v>
      </c>
      <c r="H72" s="5" t="s">
        <v>1</v>
      </c>
      <c r="I72" s="78">
        <f>IF(H72="C",(G72/100)*E72,IF(H72="M",(G72/1000)*E72,G72*E72))</f>
        <v>429.58</v>
      </c>
      <c r="J72" s="110">
        <f>$O$4</f>
        <v>75</v>
      </c>
      <c r="K72" s="4">
        <v>1.55</v>
      </c>
      <c r="L72" s="5" t="s">
        <v>1</v>
      </c>
      <c r="M72" s="80">
        <f>IF(L72="C",(K72/100)*E72,IF(L72="M",(K72/1000)*E72,K72*E72))</f>
        <v>1.55</v>
      </c>
      <c r="N72" s="78">
        <f>M72*J72</f>
        <v>116.25</v>
      </c>
      <c r="O72" s="111">
        <f>N72+I72</f>
        <v>545.82999999999993</v>
      </c>
      <c r="P72" s="125">
        <v>1.94</v>
      </c>
      <c r="Q72" s="49">
        <v>2.33</v>
      </c>
      <c r="R72" s="125">
        <v>3.3</v>
      </c>
      <c r="S72" s="134">
        <v>4.13</v>
      </c>
      <c r="T72" s="49">
        <v>4.95</v>
      </c>
      <c r="U72" s="49">
        <v>149157</v>
      </c>
    </row>
    <row r="73" spans="1:21" s="1" customFormat="1" x14ac:dyDescent="0.25">
      <c r="A73" s="31"/>
      <c r="B73" s="4" t="s">
        <v>1161</v>
      </c>
      <c r="C73" s="5">
        <f>C72*4</f>
        <v>4</v>
      </c>
      <c r="D73" s="7">
        <v>0</v>
      </c>
      <c r="E73" s="3">
        <f t="shared" si="3"/>
        <v>4</v>
      </c>
      <c r="F73" s="3" t="s">
        <v>867</v>
      </c>
      <c r="G73" s="77">
        <v>0</v>
      </c>
      <c r="H73" s="5" t="s">
        <v>0</v>
      </c>
      <c r="I73" s="78">
        <f>IF(H73="C",(G73/100)*E73,IF(H73="M",(G73/1000)*E73,G73*E73))</f>
        <v>0</v>
      </c>
      <c r="J73" s="110">
        <f t="shared" ref="J73" si="18">$O$4</f>
        <v>75</v>
      </c>
      <c r="K73" s="4">
        <v>8</v>
      </c>
      <c r="L73" s="5" t="s">
        <v>0</v>
      </c>
      <c r="M73" s="80">
        <f t="shared" si="5"/>
        <v>0.32</v>
      </c>
      <c r="N73" s="78">
        <f t="shared" si="6"/>
        <v>24</v>
      </c>
      <c r="O73" s="111">
        <f t="shared" si="7"/>
        <v>24</v>
      </c>
      <c r="P73" s="125"/>
      <c r="Q73" s="49"/>
      <c r="R73" s="125"/>
      <c r="S73" s="134"/>
      <c r="T73" s="49"/>
      <c r="U73" s="49">
        <v>139605</v>
      </c>
    </row>
    <row r="74" spans="1:21" s="1" customFormat="1" ht="15.75" thickBot="1" x14ac:dyDescent="0.3">
      <c r="A74" s="31"/>
      <c r="B74" s="4"/>
      <c r="C74" s="5"/>
      <c r="D74" s="7"/>
      <c r="E74" s="3"/>
      <c r="F74" s="3"/>
      <c r="G74" s="77" t="s">
        <v>1202</v>
      </c>
      <c r="H74" s="5"/>
      <c r="I74" s="78"/>
      <c r="J74" s="4"/>
      <c r="K74" s="4"/>
      <c r="L74" s="5"/>
      <c r="M74" s="80"/>
      <c r="N74" s="78"/>
      <c r="O74" s="111"/>
      <c r="P74" s="125"/>
      <c r="Q74" s="49"/>
      <c r="R74" s="125"/>
      <c r="S74" s="134"/>
      <c r="T74" s="49"/>
      <c r="U74" s="49"/>
    </row>
    <row r="75" spans="1:21" s="1" customFormat="1" ht="15.75" thickBot="1" x14ac:dyDescent="0.3">
      <c r="A75" s="51"/>
      <c r="B75" s="120" t="s">
        <v>126</v>
      </c>
      <c r="C75" s="5"/>
      <c r="D75" s="7"/>
      <c r="E75" s="3"/>
      <c r="F75" s="3"/>
      <c r="G75" s="77" t="s">
        <v>1202</v>
      </c>
      <c r="H75" s="5"/>
      <c r="I75" s="78"/>
      <c r="J75" s="4"/>
      <c r="K75" s="4"/>
      <c r="L75" s="5"/>
      <c r="M75" s="80"/>
      <c r="N75" s="78"/>
      <c r="O75" s="111"/>
      <c r="P75" s="125"/>
      <c r="Q75" s="49"/>
      <c r="R75" s="125"/>
      <c r="S75" s="134"/>
      <c r="T75" s="49"/>
      <c r="U75" s="49"/>
    </row>
    <row r="76" spans="1:21" s="1" customFormat="1" x14ac:dyDescent="0.25">
      <c r="A76" s="31">
        <v>16</v>
      </c>
      <c r="B76" s="4" t="s">
        <v>127</v>
      </c>
      <c r="C76" s="5">
        <v>1</v>
      </c>
      <c r="D76" s="7">
        <v>0</v>
      </c>
      <c r="E76" s="3">
        <f>C76+(C76*D76)</f>
        <v>1</v>
      </c>
      <c r="F76" s="3" t="s">
        <v>867</v>
      </c>
      <c r="G76" s="77">
        <v>596.70000000000005</v>
      </c>
      <c r="H76" s="5" t="s">
        <v>1</v>
      </c>
      <c r="I76" s="78">
        <f>IF(H76="C",(G76/100)*E76,IF(H76="M",(G76/1000)*E76,G76*E76))</f>
        <v>596.70000000000005</v>
      </c>
      <c r="J76" s="110">
        <f>$O$4</f>
        <v>75</v>
      </c>
      <c r="K76" s="4">
        <v>1.9</v>
      </c>
      <c r="L76" s="5" t="s">
        <v>1</v>
      </c>
      <c r="M76" s="80">
        <f>IF(L76="C",(K76/100)*E76,IF(L76="M",(K76/1000)*E76,K76*E76))</f>
        <v>1.9</v>
      </c>
      <c r="N76" s="78">
        <f>M76*J76</f>
        <v>142.5</v>
      </c>
      <c r="O76" s="111">
        <f>N76+I76</f>
        <v>739.2</v>
      </c>
      <c r="P76" s="125">
        <v>2.38</v>
      </c>
      <c r="Q76" s="49">
        <v>2.85</v>
      </c>
      <c r="R76" s="125">
        <v>4.4000000000000004</v>
      </c>
      <c r="S76" s="134">
        <v>5.5</v>
      </c>
      <c r="T76" s="49">
        <v>6.6</v>
      </c>
      <c r="U76" s="49">
        <v>149238</v>
      </c>
    </row>
    <row r="77" spans="1:21" s="1" customFormat="1" x14ac:dyDescent="0.25">
      <c r="A77" s="31"/>
      <c r="B77" s="4" t="s">
        <v>1161</v>
      </c>
      <c r="C77" s="5">
        <f>C76*4</f>
        <v>4</v>
      </c>
      <c r="D77" s="7">
        <v>0</v>
      </c>
      <c r="E77" s="3">
        <f t="shared" si="3"/>
        <v>4</v>
      </c>
      <c r="F77" s="3" t="s">
        <v>867</v>
      </c>
      <c r="G77" s="77">
        <v>0</v>
      </c>
      <c r="H77" s="5" t="s">
        <v>0</v>
      </c>
      <c r="I77" s="78">
        <f>IF(H77="C",(G77/100)*E77,IF(H77="M",(G77/1000)*E77,G77*E77))</f>
        <v>0</v>
      </c>
      <c r="J77" s="110">
        <f t="shared" ref="J77" si="19">$O$4</f>
        <v>75</v>
      </c>
      <c r="K77" s="4">
        <v>8</v>
      </c>
      <c r="L77" s="5" t="s">
        <v>0</v>
      </c>
      <c r="M77" s="80">
        <f t="shared" si="5"/>
        <v>0.32</v>
      </c>
      <c r="N77" s="78">
        <f t="shared" si="6"/>
        <v>24</v>
      </c>
      <c r="O77" s="111">
        <f t="shared" si="7"/>
        <v>24</v>
      </c>
      <c r="P77" s="125"/>
      <c r="Q77" s="49"/>
      <c r="R77" s="125"/>
      <c r="S77" s="134"/>
      <c r="T77" s="49"/>
      <c r="U77" s="49">
        <v>139605</v>
      </c>
    </row>
    <row r="78" spans="1:21" s="1" customFormat="1" ht="15.75" thickBot="1" x14ac:dyDescent="0.3">
      <c r="A78" s="31"/>
      <c r="B78" s="4"/>
      <c r="C78" s="5"/>
      <c r="D78" s="7"/>
      <c r="E78" s="3"/>
      <c r="F78" s="3"/>
      <c r="G78" s="77" t="s">
        <v>1202</v>
      </c>
      <c r="H78" s="5"/>
      <c r="I78" s="78"/>
      <c r="J78" s="4"/>
      <c r="K78" s="4"/>
      <c r="L78" s="5"/>
      <c r="M78" s="80"/>
      <c r="N78" s="78"/>
      <c r="O78" s="111"/>
      <c r="P78" s="125"/>
      <c r="Q78" s="49"/>
      <c r="R78" s="125"/>
      <c r="S78" s="134"/>
      <c r="T78" s="49"/>
      <c r="U78" s="49"/>
    </row>
    <row r="79" spans="1:21" s="1" customFormat="1" ht="15.75" thickBot="1" x14ac:dyDescent="0.3">
      <c r="A79" s="51"/>
      <c r="B79" s="120" t="s">
        <v>128</v>
      </c>
      <c r="C79" s="5"/>
      <c r="D79" s="7"/>
      <c r="E79" s="3"/>
      <c r="F79" s="3"/>
      <c r="G79" s="77" t="s">
        <v>1202</v>
      </c>
      <c r="H79" s="5"/>
      <c r="I79" s="78"/>
      <c r="J79" s="4"/>
      <c r="K79" s="4"/>
      <c r="L79" s="5"/>
      <c r="M79" s="80"/>
      <c r="N79" s="78"/>
      <c r="O79" s="111"/>
      <c r="P79" s="125"/>
      <c r="Q79" s="49"/>
      <c r="R79" s="125"/>
      <c r="S79" s="134"/>
      <c r="T79" s="49"/>
      <c r="U79" s="49"/>
    </row>
    <row r="80" spans="1:21" s="1" customFormat="1" x14ac:dyDescent="0.25">
      <c r="A80" s="31">
        <v>17</v>
      </c>
      <c r="B80" s="4" t="s">
        <v>129</v>
      </c>
      <c r="C80" s="5">
        <v>1</v>
      </c>
      <c r="D80" s="7">
        <v>0</v>
      </c>
      <c r="E80" s="3">
        <f>C80+(C80*D80)</f>
        <v>1</v>
      </c>
      <c r="F80" s="3" t="s">
        <v>867</v>
      </c>
      <c r="G80" s="77">
        <v>742.84</v>
      </c>
      <c r="H80" s="5" t="s">
        <v>1</v>
      </c>
      <c r="I80" s="78">
        <f>IF(H80="C",(G80/100)*E80,IF(H80="M",(G80/1000)*E80,G80*E80))</f>
        <v>742.84</v>
      </c>
      <c r="J80" s="110">
        <f>$O$4</f>
        <v>75</v>
      </c>
      <c r="K80" s="4">
        <v>3.1</v>
      </c>
      <c r="L80" s="5" t="s">
        <v>1</v>
      </c>
      <c r="M80" s="80">
        <f>IF(L80="C",(K80/100)*E80,IF(L80="M",(K80/1000)*E80,K80*E80))</f>
        <v>3.1</v>
      </c>
      <c r="N80" s="78">
        <f>M80*J80</f>
        <v>232.5</v>
      </c>
      <c r="O80" s="111">
        <f>N80+I80</f>
        <v>975.34</v>
      </c>
      <c r="P80" s="125">
        <v>3.88</v>
      </c>
      <c r="Q80" s="49">
        <v>4.6500000000000004</v>
      </c>
      <c r="R80" s="125">
        <v>7.7</v>
      </c>
      <c r="S80" s="134">
        <v>9.6300000000000008</v>
      </c>
      <c r="T80" s="49">
        <v>11.55</v>
      </c>
      <c r="U80" s="49">
        <v>149319</v>
      </c>
    </row>
    <row r="81" spans="1:21" s="1" customFormat="1" x14ac:dyDescent="0.25">
      <c r="A81" s="31"/>
      <c r="B81" s="4" t="s">
        <v>1161</v>
      </c>
      <c r="C81" s="5">
        <f>C80*4</f>
        <v>4</v>
      </c>
      <c r="D81" s="7">
        <v>0</v>
      </c>
      <c r="E81" s="3">
        <f t="shared" si="3"/>
        <v>4</v>
      </c>
      <c r="F81" s="3" t="s">
        <v>867</v>
      </c>
      <c r="G81" s="77">
        <v>0</v>
      </c>
      <c r="H81" s="5" t="s">
        <v>0</v>
      </c>
      <c r="I81" s="78">
        <f>IF(H81="C",(G81/100)*E81,IF(H81="M",(G81/1000)*E81,G81*E81))</f>
        <v>0</v>
      </c>
      <c r="J81" s="110">
        <f t="shared" ref="J81" si="20">$O$4</f>
        <v>75</v>
      </c>
      <c r="K81" s="4">
        <v>8</v>
      </c>
      <c r="L81" s="5" t="s">
        <v>0</v>
      </c>
      <c r="M81" s="80">
        <f t="shared" si="5"/>
        <v>0.32</v>
      </c>
      <c r="N81" s="78">
        <f t="shared" si="6"/>
        <v>24</v>
      </c>
      <c r="O81" s="111">
        <f t="shared" si="7"/>
        <v>24</v>
      </c>
      <c r="P81" s="125"/>
      <c r="Q81" s="49"/>
      <c r="R81" s="125"/>
      <c r="S81" s="134"/>
      <c r="T81" s="49"/>
      <c r="U81" s="49">
        <v>139605</v>
      </c>
    </row>
    <row r="82" spans="1:21" s="1" customFormat="1" ht="15.75" thickBot="1" x14ac:dyDescent="0.3">
      <c r="A82" s="31"/>
      <c r="B82" s="4"/>
      <c r="C82" s="5"/>
      <c r="D82" s="7"/>
      <c r="E82" s="3"/>
      <c r="F82" s="3"/>
      <c r="G82" s="77" t="s">
        <v>1202</v>
      </c>
      <c r="H82" s="5"/>
      <c r="I82" s="78"/>
      <c r="J82" s="4"/>
      <c r="K82" s="4"/>
      <c r="L82" s="5"/>
      <c r="M82" s="80"/>
      <c r="N82" s="78"/>
      <c r="O82" s="111"/>
      <c r="P82" s="125"/>
      <c r="Q82" s="49"/>
      <c r="R82" s="125"/>
      <c r="S82" s="134"/>
      <c r="T82" s="49"/>
      <c r="U82" s="49"/>
    </row>
    <row r="83" spans="1:21" s="1" customFormat="1" ht="15.75" thickBot="1" x14ac:dyDescent="0.3">
      <c r="A83" s="51"/>
      <c r="B83" s="120" t="s">
        <v>130</v>
      </c>
      <c r="C83" s="5"/>
      <c r="D83" s="7"/>
      <c r="E83" s="3"/>
      <c r="F83" s="3"/>
      <c r="G83" s="77" t="s">
        <v>1202</v>
      </c>
      <c r="H83" s="5"/>
      <c r="I83" s="78"/>
      <c r="J83" s="4"/>
      <c r="K83" s="4"/>
      <c r="L83" s="5"/>
      <c r="M83" s="80"/>
      <c r="N83" s="78"/>
      <c r="O83" s="111"/>
      <c r="P83" s="125"/>
      <c r="Q83" s="49"/>
      <c r="R83" s="125"/>
      <c r="S83" s="134"/>
      <c r="T83" s="49"/>
      <c r="U83" s="49"/>
    </row>
    <row r="84" spans="1:21" s="1" customFormat="1" x14ac:dyDescent="0.25">
      <c r="A84" s="31">
        <v>18</v>
      </c>
      <c r="B84" s="4" t="s">
        <v>131</v>
      </c>
      <c r="C84" s="5">
        <v>1</v>
      </c>
      <c r="D84" s="7">
        <v>0</v>
      </c>
      <c r="E84" s="3">
        <f>C84+(C84*D84)</f>
        <v>1</v>
      </c>
      <c r="F84" s="3" t="s">
        <v>867</v>
      </c>
      <c r="G84" s="77">
        <v>225.38</v>
      </c>
      <c r="H84" s="5" t="s">
        <v>1</v>
      </c>
      <c r="I84" s="78">
        <f>IF(H84="C",(G84/100)*E84,IF(H84="M",(G84/1000)*E84,G84*E84))</f>
        <v>225.38</v>
      </c>
      <c r="J84" s="110">
        <f>$O$4</f>
        <v>75</v>
      </c>
      <c r="K84" s="4">
        <v>1.1000000000000001</v>
      </c>
      <c r="L84" s="5" t="s">
        <v>1</v>
      </c>
      <c r="M84" s="80">
        <f>IF(L84="C",(K84/100)*E84,IF(L84="M",(K84/1000)*E84,K84*E84))</f>
        <v>1.1000000000000001</v>
      </c>
      <c r="N84" s="78">
        <f>M84*J84</f>
        <v>82.5</v>
      </c>
      <c r="O84" s="111">
        <f>N84+I84</f>
        <v>307.88</v>
      </c>
      <c r="P84" s="125">
        <v>1.38</v>
      </c>
      <c r="Q84" s="49">
        <v>1.65</v>
      </c>
      <c r="R84" s="125">
        <v>2.2000000000000002</v>
      </c>
      <c r="S84" s="134">
        <v>2.75</v>
      </c>
      <c r="T84" s="49">
        <v>3.3</v>
      </c>
      <c r="U84" s="49">
        <v>149019</v>
      </c>
    </row>
    <row r="85" spans="1:21" s="1" customFormat="1" x14ac:dyDescent="0.25">
      <c r="A85" s="31"/>
      <c r="B85" s="4" t="s">
        <v>1161</v>
      </c>
      <c r="C85" s="5">
        <f>C84*4</f>
        <v>4</v>
      </c>
      <c r="D85" s="7">
        <v>0</v>
      </c>
      <c r="E85" s="3">
        <f t="shared" si="3"/>
        <v>4</v>
      </c>
      <c r="F85" s="3" t="s">
        <v>867</v>
      </c>
      <c r="G85" s="77">
        <v>0</v>
      </c>
      <c r="H85" s="5" t="s">
        <v>0</v>
      </c>
      <c r="I85" s="78">
        <f>IF(H85="C",(G85/100)*E85,IF(H85="M",(G85/1000)*E85,G85*E85))</f>
        <v>0</v>
      </c>
      <c r="J85" s="110">
        <f t="shared" ref="J85" si="21">$O$4</f>
        <v>75</v>
      </c>
      <c r="K85" s="4">
        <v>8</v>
      </c>
      <c r="L85" s="5" t="s">
        <v>0</v>
      </c>
      <c r="M85" s="80">
        <f t="shared" si="5"/>
        <v>0.32</v>
      </c>
      <c r="N85" s="78">
        <f t="shared" si="6"/>
        <v>24</v>
      </c>
      <c r="O85" s="111">
        <f t="shared" si="7"/>
        <v>24</v>
      </c>
      <c r="P85" s="125"/>
      <c r="Q85" s="49"/>
      <c r="R85" s="125"/>
      <c r="S85" s="134"/>
      <c r="T85" s="49"/>
      <c r="U85" s="49">
        <v>139605</v>
      </c>
    </row>
    <row r="86" spans="1:21" s="1" customFormat="1" x14ac:dyDescent="0.25">
      <c r="A86" s="31"/>
      <c r="B86" s="4" t="s">
        <v>132</v>
      </c>
      <c r="C86" s="5">
        <f>C84*3</f>
        <v>3</v>
      </c>
      <c r="D86" s="7">
        <v>0</v>
      </c>
      <c r="E86" s="3">
        <f t="shared" si="3"/>
        <v>3</v>
      </c>
      <c r="F86" s="3" t="s">
        <v>867</v>
      </c>
      <c r="G86" s="77">
        <v>6.73</v>
      </c>
      <c r="H86" s="5" t="s">
        <v>1</v>
      </c>
      <c r="I86" s="78">
        <f>IF(H86="C",(G86/100)*E86,IF(H86="M",(G86/1000)*E86,G86*E86))</f>
        <v>20.190000000000001</v>
      </c>
      <c r="J86" s="110">
        <f>$O$4</f>
        <v>75</v>
      </c>
      <c r="K86" s="4">
        <v>0.03</v>
      </c>
      <c r="L86" s="5" t="s">
        <v>1</v>
      </c>
      <c r="M86" s="80">
        <f t="shared" si="5"/>
        <v>0.09</v>
      </c>
      <c r="N86" s="78">
        <f t="shared" si="6"/>
        <v>6.75</v>
      </c>
      <c r="O86" s="111">
        <f t="shared" si="7"/>
        <v>26.94</v>
      </c>
      <c r="P86" s="125">
        <v>0.04</v>
      </c>
      <c r="Q86" s="49">
        <v>0.05</v>
      </c>
      <c r="R86" s="125">
        <v>0.04</v>
      </c>
      <c r="S86" s="134">
        <v>0.05</v>
      </c>
      <c r="T86" s="49">
        <v>0.06</v>
      </c>
      <c r="U86" s="49">
        <v>150885</v>
      </c>
    </row>
    <row r="87" spans="1:21" s="1" customFormat="1" ht="15.75" thickBot="1" x14ac:dyDescent="0.3">
      <c r="A87" s="31"/>
      <c r="B87" s="4"/>
      <c r="C87" s="5"/>
      <c r="D87" s="7"/>
      <c r="E87" s="3"/>
      <c r="F87" s="3"/>
      <c r="G87" s="77" t="s">
        <v>1202</v>
      </c>
      <c r="H87" s="5"/>
      <c r="I87" s="78"/>
      <c r="J87" s="4"/>
      <c r="K87" s="4"/>
      <c r="L87" s="5"/>
      <c r="M87" s="80"/>
      <c r="N87" s="78"/>
      <c r="O87" s="111"/>
      <c r="P87" s="125"/>
      <c r="Q87" s="49"/>
      <c r="R87" s="125"/>
      <c r="S87" s="134"/>
      <c r="T87" s="49"/>
      <c r="U87" s="49"/>
    </row>
    <row r="88" spans="1:21" s="1" customFormat="1" ht="15.75" thickBot="1" x14ac:dyDescent="0.3">
      <c r="A88" s="51"/>
      <c r="B88" s="120" t="s">
        <v>133</v>
      </c>
      <c r="C88" s="5"/>
      <c r="D88" s="7"/>
      <c r="E88" s="3"/>
      <c r="F88" s="3"/>
      <c r="G88" s="77" t="s">
        <v>1202</v>
      </c>
      <c r="H88" s="5"/>
      <c r="I88" s="78"/>
      <c r="J88" s="4"/>
      <c r="K88" s="4"/>
      <c r="L88" s="5"/>
      <c r="M88" s="80"/>
      <c r="N88" s="78"/>
      <c r="O88" s="111"/>
      <c r="P88" s="125"/>
      <c r="Q88" s="49"/>
      <c r="R88" s="125"/>
      <c r="S88" s="134"/>
      <c r="T88" s="49"/>
      <c r="U88" s="49"/>
    </row>
    <row r="89" spans="1:21" s="1" customFormat="1" x14ac:dyDescent="0.25">
      <c r="A89" s="31">
        <v>19</v>
      </c>
      <c r="B89" s="4" t="s">
        <v>134</v>
      </c>
      <c r="C89" s="5">
        <v>1</v>
      </c>
      <c r="D89" s="7">
        <v>0</v>
      </c>
      <c r="E89" s="3">
        <f>C89+(C89*D89)</f>
        <v>1</v>
      </c>
      <c r="F89" s="3" t="s">
        <v>867</v>
      </c>
      <c r="G89" s="77">
        <v>279.13</v>
      </c>
      <c r="H89" s="5" t="s">
        <v>1</v>
      </c>
      <c r="I89" s="78">
        <f>IF(H89="C",(G89/100)*E89,IF(H89="M",(G89/1000)*E89,G89*E89))</f>
        <v>279.13</v>
      </c>
      <c r="J89" s="110">
        <f>$O$4</f>
        <v>75</v>
      </c>
      <c r="K89" s="4">
        <v>1.5</v>
      </c>
      <c r="L89" s="5" t="s">
        <v>1</v>
      </c>
      <c r="M89" s="80">
        <f>IF(L89="C",(K89/100)*E89,IF(L89="M",(K89/1000)*E89,K89*E89))</f>
        <v>1.5</v>
      </c>
      <c r="N89" s="78">
        <f>M89*J89</f>
        <v>112.5</v>
      </c>
      <c r="O89" s="111">
        <f>N89+I89</f>
        <v>391.63</v>
      </c>
      <c r="P89" s="125">
        <v>1.88</v>
      </c>
      <c r="Q89" s="49">
        <v>2.25</v>
      </c>
      <c r="R89" s="125">
        <v>3.3</v>
      </c>
      <c r="S89" s="134">
        <v>4.13</v>
      </c>
      <c r="T89" s="49">
        <v>4.95</v>
      </c>
      <c r="U89" s="49">
        <v>149100</v>
      </c>
    </row>
    <row r="90" spans="1:21" s="1" customFormat="1" x14ac:dyDescent="0.25">
      <c r="A90" s="31"/>
      <c r="B90" s="4" t="s">
        <v>1161</v>
      </c>
      <c r="C90" s="5">
        <f>C89*4</f>
        <v>4</v>
      </c>
      <c r="D90" s="7">
        <v>0</v>
      </c>
      <c r="E90" s="3">
        <f t="shared" ref="E90:E120" si="22">C90+(C90*D90)</f>
        <v>4</v>
      </c>
      <c r="F90" s="3" t="s">
        <v>867</v>
      </c>
      <c r="G90" s="77">
        <v>0</v>
      </c>
      <c r="H90" s="5" t="s">
        <v>0</v>
      </c>
      <c r="I90" s="78">
        <f>IF(H90="C",(G90/100)*E90,IF(H90="M",(G90/1000)*E90,G90*E90))</f>
        <v>0</v>
      </c>
      <c r="J90" s="110">
        <f t="shared" ref="J90" si="23">$O$4</f>
        <v>75</v>
      </c>
      <c r="K90" s="4">
        <v>8</v>
      </c>
      <c r="L90" s="5" t="s">
        <v>0</v>
      </c>
      <c r="M90" s="80">
        <f t="shared" ref="M90:M120" si="24">IF(L90="C",(K90/100)*E90,IF(L90="M",(K90/1000)*E90,K90*E90))</f>
        <v>0.32</v>
      </c>
      <c r="N90" s="78">
        <f t="shared" ref="N90:N120" si="25">M90*J90</f>
        <v>24</v>
      </c>
      <c r="O90" s="111">
        <f t="shared" ref="O90:O120" si="26">N90+I90</f>
        <v>24</v>
      </c>
      <c r="P90" s="125"/>
      <c r="Q90" s="49"/>
      <c r="R90" s="125"/>
      <c r="S90" s="134"/>
      <c r="T90" s="49"/>
      <c r="U90" s="49">
        <v>139605</v>
      </c>
    </row>
    <row r="91" spans="1:21" s="1" customFormat="1" x14ac:dyDescent="0.25">
      <c r="A91" s="31"/>
      <c r="B91" s="4" t="s">
        <v>135</v>
      </c>
      <c r="C91" s="5">
        <f>C89*3</f>
        <v>3</v>
      </c>
      <c r="D91" s="7">
        <v>0</v>
      </c>
      <c r="E91" s="3">
        <f t="shared" si="22"/>
        <v>3</v>
      </c>
      <c r="F91" s="3" t="s">
        <v>867</v>
      </c>
      <c r="G91" s="77">
        <v>10.9</v>
      </c>
      <c r="H91" s="5" t="s">
        <v>1</v>
      </c>
      <c r="I91" s="78">
        <f>IF(H91="C",(G91/100)*E91,IF(H91="M",(G91/1000)*E91,G91*E91))</f>
        <v>32.700000000000003</v>
      </c>
      <c r="J91" s="110">
        <f>$O$4</f>
        <v>75</v>
      </c>
      <c r="K91" s="4">
        <v>0.04</v>
      </c>
      <c r="L91" s="5" t="s">
        <v>1</v>
      </c>
      <c r="M91" s="80">
        <f t="shared" si="24"/>
        <v>0.12</v>
      </c>
      <c r="N91" s="78">
        <f t="shared" si="25"/>
        <v>9</v>
      </c>
      <c r="O91" s="111">
        <f t="shared" si="26"/>
        <v>41.7</v>
      </c>
      <c r="P91" s="125">
        <v>0.05</v>
      </c>
      <c r="Q91" s="49">
        <v>0.06</v>
      </c>
      <c r="R91" s="125">
        <v>0.04</v>
      </c>
      <c r="S91" s="134">
        <v>0.05</v>
      </c>
      <c r="T91" s="49">
        <v>0.06</v>
      </c>
      <c r="U91" s="49">
        <v>150900</v>
      </c>
    </row>
    <row r="92" spans="1:21" s="1" customFormat="1" ht="15.75" thickBot="1" x14ac:dyDescent="0.3">
      <c r="A92" s="31"/>
      <c r="B92" s="4"/>
      <c r="C92" s="5"/>
      <c r="D92" s="7"/>
      <c r="E92" s="3"/>
      <c r="F92" s="3"/>
      <c r="G92" s="77" t="s">
        <v>1202</v>
      </c>
      <c r="H92" s="5"/>
      <c r="I92" s="78"/>
      <c r="J92" s="4"/>
      <c r="K92" s="4"/>
      <c r="L92" s="5"/>
      <c r="M92" s="80"/>
      <c r="N92" s="78"/>
      <c r="O92" s="111"/>
      <c r="P92" s="125"/>
      <c r="Q92" s="49"/>
      <c r="R92" s="125"/>
      <c r="S92" s="134"/>
      <c r="T92" s="49"/>
      <c r="U92" s="49"/>
    </row>
    <row r="93" spans="1:21" s="1" customFormat="1" ht="15.75" thickBot="1" x14ac:dyDescent="0.3">
      <c r="A93" s="51"/>
      <c r="B93" s="120" t="s">
        <v>136</v>
      </c>
      <c r="C93" s="5"/>
      <c r="D93" s="7"/>
      <c r="E93" s="3"/>
      <c r="F93" s="3"/>
      <c r="G93" s="77" t="s">
        <v>1202</v>
      </c>
      <c r="H93" s="5"/>
      <c r="I93" s="78"/>
      <c r="J93" s="4"/>
      <c r="K93" s="4"/>
      <c r="L93" s="5"/>
      <c r="M93" s="80"/>
      <c r="N93" s="78"/>
      <c r="O93" s="111"/>
      <c r="P93" s="125"/>
      <c r="Q93" s="49"/>
      <c r="R93" s="125"/>
      <c r="S93" s="134"/>
      <c r="T93" s="49"/>
      <c r="U93" s="49"/>
    </row>
    <row r="94" spans="1:21" s="1" customFormat="1" x14ac:dyDescent="0.25">
      <c r="A94" s="31">
        <v>20</v>
      </c>
      <c r="B94" s="4" t="s">
        <v>137</v>
      </c>
      <c r="C94" s="5">
        <v>1</v>
      </c>
      <c r="D94" s="7">
        <v>0</v>
      </c>
      <c r="E94" s="3">
        <f>C94+(C94*D94)</f>
        <v>1</v>
      </c>
      <c r="F94" s="3" t="s">
        <v>867</v>
      </c>
      <c r="G94" s="77">
        <v>449.58</v>
      </c>
      <c r="H94" s="5" t="s">
        <v>1</v>
      </c>
      <c r="I94" s="78">
        <f>IF(H94="C",(G94/100)*E94,IF(H94="M",(G94/1000)*E94,G94*E94))</f>
        <v>449.58</v>
      </c>
      <c r="J94" s="110">
        <f>$O$4</f>
        <v>75</v>
      </c>
      <c r="K94" s="4">
        <v>1.9</v>
      </c>
      <c r="L94" s="5" t="s">
        <v>1</v>
      </c>
      <c r="M94" s="80">
        <f>IF(L94="C",(K94/100)*E94,IF(L94="M",(K94/1000)*E94,K94*E94))</f>
        <v>1.9</v>
      </c>
      <c r="N94" s="78">
        <f>M94*J94</f>
        <v>142.5</v>
      </c>
      <c r="O94" s="111">
        <f>N94+I94</f>
        <v>592.07999999999993</v>
      </c>
      <c r="P94" s="125">
        <v>2.38</v>
      </c>
      <c r="Q94" s="49">
        <v>2.85</v>
      </c>
      <c r="R94" s="125">
        <v>4.4000000000000004</v>
      </c>
      <c r="S94" s="134">
        <v>5.5</v>
      </c>
      <c r="T94" s="49">
        <v>6.6</v>
      </c>
      <c r="U94" s="49">
        <v>149181</v>
      </c>
    </row>
    <row r="95" spans="1:21" s="1" customFormat="1" x14ac:dyDescent="0.25">
      <c r="A95" s="31"/>
      <c r="B95" s="4" t="s">
        <v>1161</v>
      </c>
      <c r="C95" s="5">
        <f>C94*4</f>
        <v>4</v>
      </c>
      <c r="D95" s="7">
        <v>0</v>
      </c>
      <c r="E95" s="3">
        <f t="shared" si="22"/>
        <v>4</v>
      </c>
      <c r="F95" s="3" t="s">
        <v>867</v>
      </c>
      <c r="G95" s="77">
        <v>0</v>
      </c>
      <c r="H95" s="5" t="s">
        <v>0</v>
      </c>
      <c r="I95" s="78">
        <f>IF(H95="C",(G95/100)*E95,IF(H95="M",(G95/1000)*E95,G95*E95))</f>
        <v>0</v>
      </c>
      <c r="J95" s="110">
        <f t="shared" ref="J95" si="27">$O$4</f>
        <v>75</v>
      </c>
      <c r="K95" s="4">
        <v>8</v>
      </c>
      <c r="L95" s="5" t="s">
        <v>0</v>
      </c>
      <c r="M95" s="80">
        <f t="shared" si="24"/>
        <v>0.32</v>
      </c>
      <c r="N95" s="78">
        <f t="shared" si="25"/>
        <v>24</v>
      </c>
      <c r="O95" s="111">
        <f t="shared" si="26"/>
        <v>24</v>
      </c>
      <c r="P95" s="125"/>
      <c r="Q95" s="49"/>
      <c r="R95" s="125"/>
      <c r="S95" s="134"/>
      <c r="T95" s="49"/>
      <c r="U95" s="49">
        <v>139605</v>
      </c>
    </row>
    <row r="96" spans="1:21" s="1" customFormat="1" x14ac:dyDescent="0.25">
      <c r="A96" s="31"/>
      <c r="B96" s="4" t="s">
        <v>138</v>
      </c>
      <c r="C96" s="5">
        <f>C94*3</f>
        <v>3</v>
      </c>
      <c r="D96" s="7">
        <v>0</v>
      </c>
      <c r="E96" s="3">
        <f t="shared" si="22"/>
        <v>3</v>
      </c>
      <c r="F96" s="3" t="s">
        <v>867</v>
      </c>
      <c r="G96" s="77">
        <v>25.3</v>
      </c>
      <c r="H96" s="5" t="s">
        <v>1</v>
      </c>
      <c r="I96" s="78">
        <f>IF(H96="C",(G96/100)*E96,IF(H96="M",(G96/1000)*E96,G96*E96))</f>
        <v>75.900000000000006</v>
      </c>
      <c r="J96" s="110">
        <f>$O$4</f>
        <v>75</v>
      </c>
      <c r="K96" s="4">
        <v>0.05</v>
      </c>
      <c r="L96" s="5" t="s">
        <v>1</v>
      </c>
      <c r="M96" s="80">
        <f t="shared" si="24"/>
        <v>0.15000000000000002</v>
      </c>
      <c r="N96" s="78">
        <f t="shared" si="25"/>
        <v>11.250000000000002</v>
      </c>
      <c r="O96" s="111">
        <f t="shared" si="26"/>
        <v>87.15</v>
      </c>
      <c r="P96" s="125">
        <v>0.06</v>
      </c>
      <c r="Q96" s="49">
        <v>0.08</v>
      </c>
      <c r="R96" s="125">
        <v>0.04</v>
      </c>
      <c r="S96" s="134">
        <v>0.05</v>
      </c>
      <c r="T96" s="49">
        <v>0.06</v>
      </c>
      <c r="U96" s="49">
        <v>150915</v>
      </c>
    </row>
    <row r="97" spans="1:21" s="1" customFormat="1" ht="15.75" thickBot="1" x14ac:dyDescent="0.3">
      <c r="A97" s="31"/>
      <c r="B97" s="4"/>
      <c r="C97" s="5"/>
      <c r="D97" s="7"/>
      <c r="E97" s="3"/>
      <c r="F97" s="3"/>
      <c r="G97" s="77" t="s">
        <v>1202</v>
      </c>
      <c r="H97" s="5"/>
      <c r="I97" s="78"/>
      <c r="J97" s="4"/>
      <c r="K97" s="4"/>
      <c r="L97" s="5"/>
      <c r="M97" s="80"/>
      <c r="N97" s="78"/>
      <c r="O97" s="111"/>
      <c r="P97" s="125"/>
      <c r="Q97" s="49"/>
      <c r="R97" s="125"/>
      <c r="S97" s="134"/>
      <c r="T97" s="49"/>
      <c r="U97" s="49"/>
    </row>
    <row r="98" spans="1:21" s="1" customFormat="1" ht="15.75" thickBot="1" x14ac:dyDescent="0.3">
      <c r="A98" s="51"/>
      <c r="B98" s="120" t="s">
        <v>139</v>
      </c>
      <c r="C98" s="5"/>
      <c r="D98" s="7"/>
      <c r="E98" s="3"/>
      <c r="F98" s="3"/>
      <c r="G98" s="77" t="s">
        <v>1202</v>
      </c>
      <c r="H98" s="5"/>
      <c r="I98" s="78"/>
      <c r="J98" s="4"/>
      <c r="K98" s="4"/>
      <c r="L98" s="5"/>
      <c r="M98" s="80"/>
      <c r="N98" s="78"/>
      <c r="O98" s="111"/>
      <c r="P98" s="125"/>
      <c r="Q98" s="49"/>
      <c r="R98" s="125"/>
      <c r="S98" s="134"/>
      <c r="T98" s="49"/>
      <c r="U98" s="49"/>
    </row>
    <row r="99" spans="1:21" s="1" customFormat="1" x14ac:dyDescent="0.25">
      <c r="A99" s="31">
        <v>21</v>
      </c>
      <c r="B99" s="4" t="s">
        <v>140</v>
      </c>
      <c r="C99" s="5">
        <v>1</v>
      </c>
      <c r="D99" s="7">
        <v>0</v>
      </c>
      <c r="E99" s="3">
        <f>C99+(C99*D99)</f>
        <v>1</v>
      </c>
      <c r="F99" s="3" t="s">
        <v>867</v>
      </c>
      <c r="G99" s="77">
        <v>712.1</v>
      </c>
      <c r="H99" s="5" t="s">
        <v>1</v>
      </c>
      <c r="I99" s="78">
        <f>IF(H99="C",(G99/100)*E99,IF(H99="M",(G99/1000)*E99,G99*E99))</f>
        <v>712.1</v>
      </c>
      <c r="J99" s="110">
        <f>$O$4</f>
        <v>75</v>
      </c>
      <c r="K99" s="4">
        <v>3.1</v>
      </c>
      <c r="L99" s="5" t="s">
        <v>1</v>
      </c>
      <c r="M99" s="80">
        <f>IF(L99="C",(K99/100)*E99,IF(L99="M",(K99/1000)*E99,K99*E99))</f>
        <v>3.1</v>
      </c>
      <c r="N99" s="78">
        <f>M99*J99</f>
        <v>232.5</v>
      </c>
      <c r="O99" s="111">
        <f>N99+I99</f>
        <v>944.6</v>
      </c>
      <c r="P99" s="125">
        <v>3.88</v>
      </c>
      <c r="Q99" s="49">
        <v>4.6500000000000004</v>
      </c>
      <c r="R99" s="125">
        <v>7.7</v>
      </c>
      <c r="S99" s="134">
        <v>9.6300000000000008</v>
      </c>
      <c r="T99" s="49">
        <v>11.55</v>
      </c>
      <c r="U99" s="49">
        <v>149262</v>
      </c>
    </row>
    <row r="100" spans="1:21" s="1" customFormat="1" x14ac:dyDescent="0.25">
      <c r="A100" s="31"/>
      <c r="B100" s="4" t="s">
        <v>1161</v>
      </c>
      <c r="C100" s="5">
        <f>C99*4</f>
        <v>4</v>
      </c>
      <c r="D100" s="7">
        <v>0</v>
      </c>
      <c r="E100" s="3">
        <f t="shared" si="22"/>
        <v>4</v>
      </c>
      <c r="F100" s="3" t="s">
        <v>867</v>
      </c>
      <c r="G100" s="77">
        <v>0</v>
      </c>
      <c r="H100" s="5" t="s">
        <v>0</v>
      </c>
      <c r="I100" s="78">
        <f>IF(H100="C",(G100/100)*E100,IF(H100="M",(G100/1000)*E100,G100*E100))</f>
        <v>0</v>
      </c>
      <c r="J100" s="110">
        <f t="shared" ref="J100" si="28">$O$4</f>
        <v>75</v>
      </c>
      <c r="K100" s="4">
        <v>8</v>
      </c>
      <c r="L100" s="5" t="s">
        <v>0</v>
      </c>
      <c r="M100" s="80">
        <f t="shared" si="24"/>
        <v>0.32</v>
      </c>
      <c r="N100" s="78">
        <f t="shared" si="25"/>
        <v>24</v>
      </c>
      <c r="O100" s="111">
        <f t="shared" si="26"/>
        <v>24</v>
      </c>
      <c r="P100" s="125"/>
      <c r="Q100" s="49"/>
      <c r="R100" s="125"/>
      <c r="S100" s="134"/>
      <c r="T100" s="49"/>
      <c r="U100" s="49">
        <v>139605</v>
      </c>
    </row>
    <row r="101" spans="1:21" s="1" customFormat="1" x14ac:dyDescent="0.25">
      <c r="A101" s="31"/>
      <c r="B101" s="4" t="s">
        <v>141</v>
      </c>
      <c r="C101" s="5">
        <f>C99*3</f>
        <v>3</v>
      </c>
      <c r="D101" s="7">
        <v>0</v>
      </c>
      <c r="E101" s="3">
        <f t="shared" si="22"/>
        <v>3</v>
      </c>
      <c r="F101" s="3" t="s">
        <v>867</v>
      </c>
      <c r="G101" s="77">
        <v>60.56</v>
      </c>
      <c r="H101" s="5" t="s">
        <v>1</v>
      </c>
      <c r="I101" s="78">
        <f>IF(H101="C",(G101/100)*E101,IF(H101="M",(G101/1000)*E101,G101*E101))</f>
        <v>181.68</v>
      </c>
      <c r="J101" s="110">
        <f>$O$4</f>
        <v>75</v>
      </c>
      <c r="K101" s="4">
        <v>0.09</v>
      </c>
      <c r="L101" s="5" t="s">
        <v>1</v>
      </c>
      <c r="M101" s="80">
        <f t="shared" si="24"/>
        <v>0.27</v>
      </c>
      <c r="N101" s="78">
        <f t="shared" si="25"/>
        <v>20.25</v>
      </c>
      <c r="O101" s="111">
        <f t="shared" si="26"/>
        <v>201.93</v>
      </c>
      <c r="P101" s="125">
        <v>0.11</v>
      </c>
      <c r="Q101" s="49">
        <v>0.14000000000000001</v>
      </c>
      <c r="R101" s="125">
        <v>0.1</v>
      </c>
      <c r="S101" s="134">
        <v>0.13</v>
      </c>
      <c r="T101" s="49">
        <v>0.15</v>
      </c>
      <c r="U101" s="49">
        <v>150930</v>
      </c>
    </row>
    <row r="102" spans="1:21" s="1" customFormat="1" ht="15.75" thickBot="1" x14ac:dyDescent="0.3">
      <c r="A102" s="31"/>
      <c r="B102" s="4"/>
      <c r="C102" s="5"/>
      <c r="D102" s="7"/>
      <c r="E102" s="3"/>
      <c r="F102" s="3"/>
      <c r="G102" s="77" t="s">
        <v>1202</v>
      </c>
      <c r="H102" s="5"/>
      <c r="I102" s="78"/>
      <c r="J102" s="4"/>
      <c r="K102" s="4"/>
      <c r="L102" s="5"/>
      <c r="M102" s="80"/>
      <c r="N102" s="78"/>
      <c r="O102" s="111"/>
      <c r="P102" s="125"/>
      <c r="Q102" s="49"/>
      <c r="R102" s="125"/>
      <c r="S102" s="134"/>
      <c r="T102" s="49"/>
      <c r="U102" s="49"/>
    </row>
    <row r="103" spans="1:21" s="1" customFormat="1" ht="15.75" thickBot="1" x14ac:dyDescent="0.3">
      <c r="A103" s="51"/>
      <c r="B103" s="120" t="s">
        <v>142</v>
      </c>
      <c r="C103" s="5"/>
      <c r="D103" s="7"/>
      <c r="E103" s="3"/>
      <c r="F103" s="3"/>
      <c r="G103" s="77" t="s">
        <v>1202</v>
      </c>
      <c r="H103" s="5"/>
      <c r="I103" s="78"/>
      <c r="J103" s="4"/>
      <c r="K103" s="4"/>
      <c r="L103" s="5"/>
      <c r="M103" s="80"/>
      <c r="N103" s="78"/>
      <c r="O103" s="111"/>
      <c r="P103" s="125"/>
      <c r="Q103" s="49"/>
      <c r="R103" s="125"/>
      <c r="S103" s="134"/>
      <c r="T103" s="49"/>
      <c r="U103" s="49"/>
    </row>
    <row r="104" spans="1:21" s="1" customFormat="1" x14ac:dyDescent="0.25">
      <c r="A104" s="31">
        <v>22</v>
      </c>
      <c r="B104" s="4" t="s">
        <v>143</v>
      </c>
      <c r="C104" s="5">
        <v>1</v>
      </c>
      <c r="D104" s="7">
        <v>0</v>
      </c>
      <c r="E104" s="3">
        <f>C104+(C104*D104)</f>
        <v>1</v>
      </c>
      <c r="F104" s="3" t="s">
        <v>867</v>
      </c>
      <c r="G104" s="77">
        <v>1465.71</v>
      </c>
      <c r="H104" s="5" t="s">
        <v>1</v>
      </c>
      <c r="I104" s="78">
        <f>IF(H104="C",(G104/100)*E104,IF(H104="M",(G104/1000)*E104,G104*E104))</f>
        <v>1465.71</v>
      </c>
      <c r="J104" s="110">
        <f>$O$4</f>
        <v>75</v>
      </c>
      <c r="K104" s="4">
        <v>4.4000000000000004</v>
      </c>
      <c r="L104" s="5" t="s">
        <v>1</v>
      </c>
      <c r="M104" s="80">
        <f>IF(L104="C",(K104/100)*E104,IF(L104="M",(K104/1000)*E104,K104*E104))</f>
        <v>4.4000000000000004</v>
      </c>
      <c r="N104" s="78">
        <f>M104*J104</f>
        <v>330</v>
      </c>
      <c r="O104" s="111">
        <f>N104+I104</f>
        <v>1795.71</v>
      </c>
      <c r="P104" s="125">
        <v>5.5</v>
      </c>
      <c r="Q104" s="49">
        <v>6.6</v>
      </c>
      <c r="R104" s="125">
        <v>13</v>
      </c>
      <c r="S104" s="134">
        <v>16.25</v>
      </c>
      <c r="T104" s="49">
        <v>19.5</v>
      </c>
      <c r="U104" s="49">
        <v>149343</v>
      </c>
    </row>
    <row r="105" spans="1:21" s="1" customFormat="1" x14ac:dyDescent="0.25">
      <c r="A105" s="31"/>
      <c r="B105" s="4" t="s">
        <v>1161</v>
      </c>
      <c r="C105" s="5">
        <f>C104*4</f>
        <v>4</v>
      </c>
      <c r="D105" s="7">
        <v>0</v>
      </c>
      <c r="E105" s="3">
        <f t="shared" si="22"/>
        <v>4</v>
      </c>
      <c r="F105" s="3" t="s">
        <v>867</v>
      </c>
      <c r="G105" s="77">
        <v>0</v>
      </c>
      <c r="H105" s="5" t="s">
        <v>0</v>
      </c>
      <c r="I105" s="78">
        <f>IF(H105="C",(G105/100)*E105,IF(H105="M",(G105/1000)*E105,G105*E105))</f>
        <v>0</v>
      </c>
      <c r="J105" s="110">
        <f t="shared" ref="J105" si="29">$O$4</f>
        <v>75</v>
      </c>
      <c r="K105" s="4">
        <v>8</v>
      </c>
      <c r="L105" s="5" t="s">
        <v>0</v>
      </c>
      <c r="M105" s="80">
        <f t="shared" si="24"/>
        <v>0.32</v>
      </c>
      <c r="N105" s="78">
        <f t="shared" si="25"/>
        <v>24</v>
      </c>
      <c r="O105" s="111">
        <f t="shared" si="26"/>
        <v>24</v>
      </c>
      <c r="P105" s="125"/>
      <c r="Q105" s="49"/>
      <c r="R105" s="125"/>
      <c r="S105" s="134"/>
      <c r="T105" s="49"/>
      <c r="U105" s="49">
        <v>139605</v>
      </c>
    </row>
    <row r="106" spans="1:21" s="1" customFormat="1" x14ac:dyDescent="0.25">
      <c r="A106" s="31"/>
      <c r="B106" s="4" t="s">
        <v>144</v>
      </c>
      <c r="C106" s="5">
        <f>C104*3</f>
        <v>3</v>
      </c>
      <c r="D106" s="7">
        <v>0</v>
      </c>
      <c r="E106" s="3">
        <f t="shared" si="22"/>
        <v>3</v>
      </c>
      <c r="F106" s="3" t="s">
        <v>867</v>
      </c>
      <c r="G106" s="77">
        <v>109.87</v>
      </c>
      <c r="H106" s="5" t="s">
        <v>1</v>
      </c>
      <c r="I106" s="78">
        <f>IF(H106="C",(G106/100)*E106,IF(H106="M",(G106/1000)*E106,G106*E106))</f>
        <v>329.61</v>
      </c>
      <c r="J106" s="110">
        <f>$O$4</f>
        <v>75</v>
      </c>
      <c r="K106" s="4">
        <v>0.12</v>
      </c>
      <c r="L106" s="5" t="s">
        <v>1</v>
      </c>
      <c r="M106" s="80">
        <f t="shared" si="24"/>
        <v>0.36</v>
      </c>
      <c r="N106" s="78">
        <f t="shared" si="25"/>
        <v>27</v>
      </c>
      <c r="O106" s="111">
        <f t="shared" si="26"/>
        <v>356.61</v>
      </c>
      <c r="P106" s="125">
        <v>0.15</v>
      </c>
      <c r="Q106" s="49">
        <v>0.18</v>
      </c>
      <c r="R106" s="125">
        <v>0.17</v>
      </c>
      <c r="S106" s="134">
        <v>0.21</v>
      </c>
      <c r="T106" s="49">
        <v>0.26</v>
      </c>
      <c r="U106" s="49">
        <v>150945</v>
      </c>
    </row>
    <row r="107" spans="1:21" s="1" customFormat="1" ht="15.75" thickBot="1" x14ac:dyDescent="0.3">
      <c r="A107" s="31"/>
      <c r="B107" s="4"/>
      <c r="C107" s="5"/>
      <c r="D107" s="7"/>
      <c r="E107" s="3"/>
      <c r="F107" s="3"/>
      <c r="G107" s="77" t="s">
        <v>1202</v>
      </c>
      <c r="H107" s="5"/>
      <c r="I107" s="78"/>
      <c r="J107" s="4"/>
      <c r="K107" s="4"/>
      <c r="L107" s="5"/>
      <c r="M107" s="80"/>
      <c r="N107" s="78"/>
      <c r="O107" s="111"/>
      <c r="P107" s="125"/>
      <c r="Q107" s="49"/>
      <c r="R107" s="125"/>
      <c r="S107" s="134"/>
      <c r="T107" s="49"/>
      <c r="U107" s="49"/>
    </row>
    <row r="108" spans="1:21" s="1" customFormat="1" ht="15.75" thickBot="1" x14ac:dyDescent="0.3">
      <c r="A108" s="51"/>
      <c r="B108" s="120" t="s">
        <v>145</v>
      </c>
      <c r="C108" s="5"/>
      <c r="D108" s="7"/>
      <c r="E108" s="3"/>
      <c r="F108" s="3"/>
      <c r="G108" s="77" t="s">
        <v>1202</v>
      </c>
      <c r="H108" s="5"/>
      <c r="I108" s="78"/>
      <c r="J108" s="4"/>
      <c r="K108" s="4"/>
      <c r="L108" s="5"/>
      <c r="M108" s="80"/>
      <c r="N108" s="78"/>
      <c r="O108" s="111"/>
      <c r="P108" s="125"/>
      <c r="Q108" s="49"/>
      <c r="R108" s="125"/>
      <c r="S108" s="134"/>
      <c r="T108" s="49"/>
      <c r="U108" s="49"/>
    </row>
    <row r="109" spans="1:21" s="1" customFormat="1" x14ac:dyDescent="0.25">
      <c r="A109" s="31">
        <v>23</v>
      </c>
      <c r="B109" s="4" t="s">
        <v>146</v>
      </c>
      <c r="C109" s="5">
        <v>1</v>
      </c>
      <c r="D109" s="7">
        <v>0</v>
      </c>
      <c r="E109" s="3">
        <f>C109+(C109*D109)</f>
        <v>1</v>
      </c>
      <c r="F109" s="3" t="s">
        <v>867</v>
      </c>
      <c r="G109" s="77">
        <v>0</v>
      </c>
      <c r="H109" s="5" t="s">
        <v>1</v>
      </c>
      <c r="I109" s="78">
        <f>IF(H109="C",(G109/100)*E109,IF(H109="M",(G109/1000)*E109,G109*E109))</f>
        <v>0</v>
      </c>
      <c r="J109" s="110">
        <f>$O$4</f>
        <v>75</v>
      </c>
      <c r="K109" s="4">
        <v>6</v>
      </c>
      <c r="L109" s="5" t="s">
        <v>1</v>
      </c>
      <c r="M109" s="80">
        <f>IF(L109="C",(K109/100)*E109,IF(L109="M",(K109/1000)*E109,K109*E109))</f>
        <v>6</v>
      </c>
      <c r="N109" s="78">
        <f>M109*J109</f>
        <v>450</v>
      </c>
      <c r="O109" s="111">
        <f>N109+I109</f>
        <v>450</v>
      </c>
      <c r="P109" s="125">
        <v>7.5</v>
      </c>
      <c r="Q109" s="49">
        <v>9</v>
      </c>
      <c r="R109" s="125">
        <v>15</v>
      </c>
      <c r="S109" s="134">
        <v>18.75</v>
      </c>
      <c r="T109" s="49">
        <v>22.5</v>
      </c>
      <c r="U109" s="49">
        <v>149424</v>
      </c>
    </row>
    <row r="110" spans="1:21" s="1" customFormat="1" x14ac:dyDescent="0.25">
      <c r="A110" s="31"/>
      <c r="B110" s="4" t="s">
        <v>87</v>
      </c>
      <c r="C110" s="5">
        <f>C109*4</f>
        <v>4</v>
      </c>
      <c r="D110" s="7">
        <v>0</v>
      </c>
      <c r="E110" s="3">
        <f t="shared" si="22"/>
        <v>4</v>
      </c>
      <c r="F110" s="3" t="s">
        <v>867</v>
      </c>
      <c r="G110" s="77">
        <v>0</v>
      </c>
      <c r="H110" s="5" t="s">
        <v>0</v>
      </c>
      <c r="I110" s="78">
        <f>IF(H110="C",(G110/100)*E110,IF(H110="M",(G110/1000)*E110,G110*E110))</f>
        <v>0</v>
      </c>
      <c r="J110" s="110">
        <f t="shared" ref="J110" si="30">$O$4</f>
        <v>75</v>
      </c>
      <c r="K110" s="4">
        <v>12</v>
      </c>
      <c r="L110" s="5" t="s">
        <v>0</v>
      </c>
      <c r="M110" s="80">
        <f t="shared" si="24"/>
        <v>0.48</v>
      </c>
      <c r="N110" s="78">
        <f t="shared" si="25"/>
        <v>36</v>
      </c>
      <c r="O110" s="111">
        <f t="shared" si="26"/>
        <v>36</v>
      </c>
      <c r="P110" s="125"/>
      <c r="Q110" s="49"/>
      <c r="R110" s="125"/>
      <c r="S110" s="134"/>
      <c r="T110" s="49"/>
      <c r="U110" s="49">
        <v>139608</v>
      </c>
    </row>
    <row r="111" spans="1:21" s="1" customFormat="1" x14ac:dyDescent="0.25">
      <c r="A111" s="31"/>
      <c r="B111" s="4" t="s">
        <v>147</v>
      </c>
      <c r="C111" s="5">
        <f>C109*3</f>
        <v>3</v>
      </c>
      <c r="D111" s="7">
        <v>0</v>
      </c>
      <c r="E111" s="3">
        <f t="shared" si="22"/>
        <v>3</v>
      </c>
      <c r="F111" s="3" t="s">
        <v>867</v>
      </c>
      <c r="G111" s="77">
        <v>161.94</v>
      </c>
      <c r="H111" s="5" t="s">
        <v>1</v>
      </c>
      <c r="I111" s="78">
        <f>IF(H111="C",(G111/100)*E111,IF(H111="M",(G111/1000)*E111,G111*E111))</f>
        <v>485.82</v>
      </c>
      <c r="J111" s="110">
        <f>$O$4</f>
        <v>75</v>
      </c>
      <c r="K111" s="4">
        <v>0.16</v>
      </c>
      <c r="L111" s="5" t="s">
        <v>1</v>
      </c>
      <c r="M111" s="80">
        <f t="shared" si="24"/>
        <v>0.48</v>
      </c>
      <c r="N111" s="78">
        <f t="shared" si="25"/>
        <v>36</v>
      </c>
      <c r="O111" s="111">
        <f t="shared" si="26"/>
        <v>521.81999999999994</v>
      </c>
      <c r="P111" s="125">
        <v>0.2</v>
      </c>
      <c r="Q111" s="49">
        <v>0.24</v>
      </c>
      <c r="R111" s="125">
        <v>0.2</v>
      </c>
      <c r="S111" s="134">
        <v>0.25</v>
      </c>
      <c r="T111" s="49">
        <v>0.3</v>
      </c>
      <c r="U111" s="49">
        <v>150954</v>
      </c>
    </row>
    <row r="112" spans="1:21" s="1" customFormat="1" ht="15.75" thickBot="1" x14ac:dyDescent="0.3">
      <c r="A112" s="31"/>
      <c r="B112" s="4"/>
      <c r="C112" s="5"/>
      <c r="D112" s="7"/>
      <c r="E112" s="3"/>
      <c r="F112" s="3"/>
      <c r="G112" s="77" t="s">
        <v>1202</v>
      </c>
      <c r="H112" s="5"/>
      <c r="I112" s="78"/>
      <c r="J112" s="4"/>
      <c r="K112" s="4"/>
      <c r="L112" s="5"/>
      <c r="M112" s="80"/>
      <c r="N112" s="78"/>
      <c r="O112" s="111"/>
      <c r="P112" s="125"/>
      <c r="Q112" s="49"/>
      <c r="R112" s="125"/>
      <c r="S112" s="134"/>
      <c r="T112" s="49"/>
      <c r="U112" s="49"/>
    </row>
    <row r="113" spans="1:21" s="1" customFormat="1" ht="15.75" thickBot="1" x14ac:dyDescent="0.3">
      <c r="A113" s="51"/>
      <c r="B113" s="120" t="s">
        <v>148</v>
      </c>
      <c r="C113" s="5"/>
      <c r="D113" s="7"/>
      <c r="E113" s="3"/>
      <c r="F113" s="3"/>
      <c r="G113" s="77" t="s">
        <v>1202</v>
      </c>
      <c r="H113" s="5"/>
      <c r="I113" s="78"/>
      <c r="J113" s="4"/>
      <c r="K113" s="4"/>
      <c r="L113" s="5"/>
      <c r="M113" s="80"/>
      <c r="N113" s="78"/>
      <c r="O113" s="111"/>
      <c r="P113" s="125"/>
      <c r="Q113" s="49"/>
      <c r="R113" s="125"/>
      <c r="S113" s="134"/>
      <c r="T113" s="49"/>
      <c r="U113" s="49"/>
    </row>
    <row r="114" spans="1:21" s="1" customFormat="1" x14ac:dyDescent="0.25">
      <c r="A114" s="31">
        <v>24</v>
      </c>
      <c r="B114" s="4" t="s">
        <v>149</v>
      </c>
      <c r="C114" s="5">
        <v>1</v>
      </c>
      <c r="D114" s="7">
        <v>0</v>
      </c>
      <c r="E114" s="3">
        <f>C114+(C114*D114)</f>
        <v>1</v>
      </c>
      <c r="F114" s="3" t="s">
        <v>867</v>
      </c>
      <c r="G114" s="77">
        <v>0</v>
      </c>
      <c r="H114" s="5" t="s">
        <v>1</v>
      </c>
      <c r="I114" s="78">
        <f>IF(H114="C",(G114/100)*E114,IF(H114="M",(G114/1000)*E114,G114*E114))</f>
        <v>0</v>
      </c>
      <c r="J114" s="110">
        <f>$O$4</f>
        <v>75</v>
      </c>
      <c r="K114" s="4">
        <v>8.4</v>
      </c>
      <c r="L114" s="5" t="s">
        <v>1</v>
      </c>
      <c r="M114" s="80">
        <f>IF(L114="C",(K114/100)*E114,IF(L114="M",(K114/1000)*E114,K114*E114))</f>
        <v>8.4</v>
      </c>
      <c r="N114" s="78">
        <f>M114*J114</f>
        <v>630</v>
      </c>
      <c r="O114" s="111">
        <f>N114+I114</f>
        <v>630</v>
      </c>
      <c r="P114" s="125">
        <v>10.5</v>
      </c>
      <c r="Q114" s="49">
        <v>12.6</v>
      </c>
      <c r="R114" s="125">
        <v>20</v>
      </c>
      <c r="S114" s="134">
        <v>25</v>
      </c>
      <c r="T114" s="49">
        <v>30</v>
      </c>
      <c r="U114" s="49">
        <v>149505</v>
      </c>
    </row>
    <row r="115" spans="1:21" s="1" customFormat="1" x14ac:dyDescent="0.25">
      <c r="A115" s="31"/>
      <c r="B115" s="4" t="s">
        <v>87</v>
      </c>
      <c r="C115" s="5">
        <f>C114*4</f>
        <v>4</v>
      </c>
      <c r="D115" s="7">
        <v>0</v>
      </c>
      <c r="E115" s="3">
        <f t="shared" si="22"/>
        <v>4</v>
      </c>
      <c r="F115" s="3" t="s">
        <v>867</v>
      </c>
      <c r="G115" s="77">
        <v>0</v>
      </c>
      <c r="H115" s="5" t="s">
        <v>0</v>
      </c>
      <c r="I115" s="78">
        <f>IF(H115="C",(G115/100)*E115,IF(H115="M",(G115/1000)*E115,G115*E115))</f>
        <v>0</v>
      </c>
      <c r="J115" s="110">
        <f t="shared" ref="J115" si="31">$O$4</f>
        <v>75</v>
      </c>
      <c r="K115" s="4">
        <v>12</v>
      </c>
      <c r="L115" s="5" t="s">
        <v>0</v>
      </c>
      <c r="M115" s="80">
        <f t="shared" si="24"/>
        <v>0.48</v>
      </c>
      <c r="N115" s="78">
        <f t="shared" si="25"/>
        <v>36</v>
      </c>
      <c r="O115" s="111">
        <f t="shared" si="26"/>
        <v>36</v>
      </c>
      <c r="P115" s="125"/>
      <c r="Q115" s="49"/>
      <c r="R115" s="125"/>
      <c r="S115" s="134"/>
      <c r="T115" s="49"/>
      <c r="U115" s="49">
        <v>139608</v>
      </c>
    </row>
    <row r="116" spans="1:21" s="1" customFormat="1" x14ac:dyDescent="0.25">
      <c r="A116" s="31"/>
      <c r="B116" s="4" t="s">
        <v>108</v>
      </c>
      <c r="C116" s="5">
        <f>C114*3</f>
        <v>3</v>
      </c>
      <c r="D116" s="7">
        <v>0</v>
      </c>
      <c r="E116" s="3">
        <f t="shared" si="22"/>
        <v>3</v>
      </c>
      <c r="F116" s="3" t="s">
        <v>867</v>
      </c>
      <c r="G116" s="77">
        <v>1513.08</v>
      </c>
      <c r="H116" s="5" t="s">
        <v>1</v>
      </c>
      <c r="I116" s="78">
        <f>IF(H116="C",(G116/100)*E116,IF(H116="M",(G116/1000)*E116,G116*E116))</f>
        <v>4539.24</v>
      </c>
      <c r="J116" s="110">
        <f>$O$4</f>
        <v>75</v>
      </c>
      <c r="K116" s="4">
        <v>0.3</v>
      </c>
      <c r="L116" s="5" t="s">
        <v>1</v>
      </c>
      <c r="M116" s="80">
        <f t="shared" si="24"/>
        <v>0.89999999999999991</v>
      </c>
      <c r="N116" s="78">
        <f t="shared" si="25"/>
        <v>67.5</v>
      </c>
      <c r="O116" s="111">
        <f t="shared" si="26"/>
        <v>4606.74</v>
      </c>
      <c r="P116" s="125">
        <v>0.38</v>
      </c>
      <c r="Q116" s="49">
        <v>0.45</v>
      </c>
      <c r="R116" s="125">
        <v>0.3</v>
      </c>
      <c r="S116" s="134">
        <v>0.38</v>
      </c>
      <c r="T116" s="49">
        <v>0.45</v>
      </c>
      <c r="U116" s="49">
        <v>151407</v>
      </c>
    </row>
    <row r="117" spans="1:21" s="1" customFormat="1" ht="15.75" thickBot="1" x14ac:dyDescent="0.3">
      <c r="A117" s="31"/>
      <c r="B117" s="4"/>
      <c r="C117" s="5"/>
      <c r="D117" s="7"/>
      <c r="E117" s="3"/>
      <c r="F117" s="3"/>
      <c r="G117" s="77" t="s">
        <v>1202</v>
      </c>
      <c r="H117" s="5"/>
      <c r="I117" s="78"/>
      <c r="J117" s="4"/>
      <c r="K117" s="4"/>
      <c r="L117" s="5"/>
      <c r="M117" s="80"/>
      <c r="N117" s="78"/>
      <c r="O117" s="111"/>
      <c r="P117" s="125"/>
      <c r="Q117" s="49"/>
      <c r="R117" s="125"/>
      <c r="S117" s="134"/>
      <c r="T117" s="49"/>
      <c r="U117" s="49"/>
    </row>
    <row r="118" spans="1:21" s="1" customFormat="1" ht="15.75" thickBot="1" x14ac:dyDescent="0.3">
      <c r="A118" s="51"/>
      <c r="B118" s="120" t="s">
        <v>150</v>
      </c>
      <c r="C118" s="5"/>
      <c r="D118" s="7"/>
      <c r="E118" s="3"/>
      <c r="F118" s="3"/>
      <c r="G118" s="77" t="s">
        <v>1202</v>
      </c>
      <c r="H118" s="5"/>
      <c r="I118" s="78"/>
      <c r="J118" s="4"/>
      <c r="K118" s="4"/>
      <c r="L118" s="5"/>
      <c r="M118" s="80"/>
      <c r="N118" s="78"/>
      <c r="O118" s="111"/>
      <c r="P118" s="125"/>
      <c r="Q118" s="49"/>
      <c r="R118" s="125"/>
      <c r="S118" s="134"/>
      <c r="T118" s="49"/>
      <c r="U118" s="49"/>
    </row>
    <row r="119" spans="1:21" s="1" customFormat="1" x14ac:dyDescent="0.25">
      <c r="A119" s="31">
        <v>25</v>
      </c>
      <c r="B119" s="4" t="s">
        <v>151</v>
      </c>
      <c r="C119" s="5">
        <v>1</v>
      </c>
      <c r="D119" s="7">
        <v>0</v>
      </c>
      <c r="E119" s="3">
        <f>C119+(C119*D119)</f>
        <v>1</v>
      </c>
      <c r="F119" s="3" t="s">
        <v>867</v>
      </c>
      <c r="G119" s="77">
        <v>0</v>
      </c>
      <c r="H119" s="5" t="s">
        <v>1</v>
      </c>
      <c r="I119" s="78">
        <f>IF(H119="C",(G119/100)*E119,IF(H119="M",(G119/1000)*E119,G119*E119))</f>
        <v>0</v>
      </c>
      <c r="J119" s="110">
        <f>$O$4</f>
        <v>75</v>
      </c>
      <c r="K119" s="4">
        <v>10.8</v>
      </c>
      <c r="L119" s="5" t="s">
        <v>1</v>
      </c>
      <c r="M119" s="80">
        <f>IF(L119="C",(K119/100)*E119,IF(L119="M",(K119/1000)*E119,K119*E119))</f>
        <v>10.8</v>
      </c>
      <c r="N119" s="78">
        <f>M119*J119</f>
        <v>810</v>
      </c>
      <c r="O119" s="111">
        <f>N119+I119</f>
        <v>810</v>
      </c>
      <c r="P119" s="125">
        <v>13.5</v>
      </c>
      <c r="Q119" s="49">
        <v>16.2</v>
      </c>
      <c r="R119" s="125">
        <v>24</v>
      </c>
      <c r="S119" s="134">
        <v>30</v>
      </c>
      <c r="T119" s="49">
        <v>36</v>
      </c>
      <c r="U119" s="49">
        <v>149586</v>
      </c>
    </row>
    <row r="120" spans="1:21" s="1" customFormat="1" x14ac:dyDescent="0.25">
      <c r="A120" s="31"/>
      <c r="B120" s="4" t="s">
        <v>87</v>
      </c>
      <c r="C120" s="5">
        <f>C119*4</f>
        <v>4</v>
      </c>
      <c r="D120" s="7">
        <v>0</v>
      </c>
      <c r="E120" s="3">
        <f t="shared" si="22"/>
        <v>4</v>
      </c>
      <c r="F120" s="3" t="s">
        <v>867</v>
      </c>
      <c r="G120" s="77">
        <v>0</v>
      </c>
      <c r="H120" s="5" t="s">
        <v>0</v>
      </c>
      <c r="I120" s="78">
        <f>IF(H120="C",(G120/100)*E120,IF(H120="M",(G120/1000)*E120,G120*E120))</f>
        <v>0</v>
      </c>
      <c r="J120" s="110">
        <f t="shared" ref="J120" si="32">$O$4</f>
        <v>75</v>
      </c>
      <c r="K120" s="4">
        <v>12</v>
      </c>
      <c r="L120" s="5" t="s">
        <v>0</v>
      </c>
      <c r="M120" s="80">
        <f t="shared" si="24"/>
        <v>0.48</v>
      </c>
      <c r="N120" s="78">
        <f t="shared" si="25"/>
        <v>36</v>
      </c>
      <c r="O120" s="111">
        <f t="shared" si="26"/>
        <v>36</v>
      </c>
      <c r="P120" s="125"/>
      <c r="Q120" s="49"/>
      <c r="R120" s="125"/>
      <c r="S120" s="134"/>
      <c r="T120" s="49"/>
      <c r="U120" s="49">
        <v>139608</v>
      </c>
    </row>
    <row r="121" spans="1:21" s="1" customFormat="1" ht="15.75" thickBot="1" x14ac:dyDescent="0.3">
      <c r="A121" s="31"/>
      <c r="B121" s="121" t="s">
        <v>111</v>
      </c>
      <c r="C121" s="5">
        <f>C119*3</f>
        <v>3</v>
      </c>
      <c r="D121" s="7">
        <v>0</v>
      </c>
      <c r="E121" s="3">
        <f>C121+(C121*D121)</f>
        <v>3</v>
      </c>
      <c r="F121" s="3" t="s">
        <v>867</v>
      </c>
      <c r="G121" s="77">
        <v>1721.44</v>
      </c>
      <c r="H121" s="5" t="s">
        <v>1</v>
      </c>
      <c r="I121" s="78">
        <f>IF(H121="C",(G121/100)*E121,IF(H121="M",(G121/1000)*E121,G121*E121))</f>
        <v>5164.32</v>
      </c>
      <c r="J121" s="110">
        <f>$O$4</f>
        <v>75</v>
      </c>
      <c r="K121" s="4">
        <v>0.4</v>
      </c>
      <c r="L121" s="5" t="s">
        <v>1</v>
      </c>
      <c r="M121" s="80">
        <f>IF(L121="C",(K121/100)*E121,IF(L121="M",(K121/1000)*E121,K121*E121))</f>
        <v>1.2000000000000002</v>
      </c>
      <c r="N121" s="78">
        <f>M121*J121</f>
        <v>90.000000000000014</v>
      </c>
      <c r="O121" s="111">
        <f>N121+I121</f>
        <v>5254.32</v>
      </c>
      <c r="P121" s="125">
        <v>0.5</v>
      </c>
      <c r="Q121" s="49">
        <v>0.6</v>
      </c>
      <c r="R121" s="125">
        <v>0.3</v>
      </c>
      <c r="S121" s="134">
        <v>0.38</v>
      </c>
      <c r="T121" s="49">
        <v>0.45</v>
      </c>
      <c r="U121" s="49">
        <v>151413</v>
      </c>
    </row>
    <row r="122" spans="1:21" s="1" customFormat="1" ht="15.75" thickBot="1" x14ac:dyDescent="0.3">
      <c r="A122" s="196"/>
      <c r="B122" s="219" t="s">
        <v>2597</v>
      </c>
      <c r="C122" s="197"/>
      <c r="D122" s="7"/>
      <c r="E122" s="3"/>
      <c r="F122" s="3"/>
      <c r="G122" s="77" t="s">
        <v>1202</v>
      </c>
      <c r="H122" s="5"/>
      <c r="I122" s="78"/>
      <c r="J122" s="4"/>
      <c r="K122" s="4"/>
      <c r="L122" s="5"/>
      <c r="M122" s="80"/>
      <c r="N122" s="78"/>
      <c r="O122" s="111"/>
      <c r="P122" s="125"/>
      <c r="Q122" s="49"/>
      <c r="R122" s="125"/>
      <c r="S122" s="134"/>
      <c r="T122" s="49"/>
      <c r="U122" s="49"/>
    </row>
    <row r="123" spans="1:21" x14ac:dyDescent="0.25">
      <c r="A123" s="72">
        <v>1</v>
      </c>
      <c r="B123" s="218" t="s">
        <v>131</v>
      </c>
      <c r="C123" s="65">
        <v>1</v>
      </c>
      <c r="D123" s="7">
        <v>0</v>
      </c>
      <c r="E123" s="3">
        <f>C123+(C123*D123)</f>
        <v>1</v>
      </c>
      <c r="F123" s="3" t="s">
        <v>867</v>
      </c>
      <c r="G123" s="77">
        <v>225.38</v>
      </c>
      <c r="H123" s="65" t="s">
        <v>1</v>
      </c>
      <c r="I123" s="78">
        <f t="shared" ref="I123:I186" si="33">IF(H123="C",(G123/100)*E123,IF(H123="M",(G123/1000)*E123,G123*E123))</f>
        <v>225.38</v>
      </c>
      <c r="J123" s="110">
        <f>$O$4</f>
        <v>75</v>
      </c>
      <c r="K123" s="4">
        <v>1.1000000000000001</v>
      </c>
      <c r="L123" s="65" t="s">
        <v>1</v>
      </c>
      <c r="M123" s="80">
        <f>IF(L123="C",(K123/100)*E123,IF(L123="M",(K123/1000)*E123,K123*E123))</f>
        <v>1.1000000000000001</v>
      </c>
      <c r="N123" s="78">
        <f>M123*J123</f>
        <v>82.5</v>
      </c>
      <c r="O123" s="111">
        <f>N123+I123</f>
        <v>307.88</v>
      </c>
      <c r="P123" s="125">
        <v>1.38</v>
      </c>
      <c r="Q123" s="49">
        <v>1.65</v>
      </c>
      <c r="R123" s="125">
        <v>2.2000000000000002</v>
      </c>
      <c r="S123" s="134">
        <v>2.75</v>
      </c>
      <c r="T123" s="49">
        <v>3.3</v>
      </c>
      <c r="U123" s="49">
        <v>149019</v>
      </c>
    </row>
    <row r="124" spans="1:21" x14ac:dyDescent="0.25">
      <c r="A124" s="72">
        <v>2</v>
      </c>
      <c r="B124" s="64" t="s">
        <v>293</v>
      </c>
      <c r="C124" s="65">
        <v>1</v>
      </c>
      <c r="D124" s="7">
        <v>0</v>
      </c>
      <c r="E124" s="3">
        <f t="shared" ref="E124:E140" si="34">C124+(C124*D124)</f>
        <v>1</v>
      </c>
      <c r="F124" s="3" t="s">
        <v>867</v>
      </c>
      <c r="G124" s="77">
        <v>278.98</v>
      </c>
      <c r="H124" s="65" t="s">
        <v>1</v>
      </c>
      <c r="I124" s="78">
        <f t="shared" si="33"/>
        <v>278.98</v>
      </c>
      <c r="J124" s="110">
        <f t="shared" ref="J124:J140" si="35">$O$4</f>
        <v>75</v>
      </c>
      <c r="K124" s="4">
        <v>1.2</v>
      </c>
      <c r="L124" s="65" t="s">
        <v>1</v>
      </c>
      <c r="M124" s="80">
        <f t="shared" ref="M124:M159" si="36">IF(L124="C",(K124/100)*E124,IF(L124="M",(K124/1000)*E124,K124*E124))</f>
        <v>1.2</v>
      </c>
      <c r="N124" s="78">
        <f t="shared" ref="N124:N187" si="37">M124*J124</f>
        <v>90</v>
      </c>
      <c r="O124" s="111">
        <f t="shared" ref="O124:O187" si="38">N124+I124</f>
        <v>368.98</v>
      </c>
      <c r="P124" s="125">
        <v>1.5</v>
      </c>
      <c r="Q124" s="49">
        <v>1.8</v>
      </c>
      <c r="R124" s="125">
        <v>3</v>
      </c>
      <c r="S124" s="134">
        <v>3.75</v>
      </c>
      <c r="T124" s="49">
        <v>4.5</v>
      </c>
      <c r="U124" s="49">
        <v>149022</v>
      </c>
    </row>
    <row r="125" spans="1:21" x14ac:dyDescent="0.25">
      <c r="A125" s="72">
        <v>3</v>
      </c>
      <c r="B125" s="64" t="s">
        <v>294</v>
      </c>
      <c r="C125" s="65">
        <v>1</v>
      </c>
      <c r="D125" s="7">
        <v>0</v>
      </c>
      <c r="E125" s="3">
        <f t="shared" si="34"/>
        <v>1</v>
      </c>
      <c r="F125" s="3" t="s">
        <v>867</v>
      </c>
      <c r="G125" s="77">
        <v>628</v>
      </c>
      <c r="H125" s="65" t="s">
        <v>1</v>
      </c>
      <c r="I125" s="78">
        <f t="shared" si="33"/>
        <v>628</v>
      </c>
      <c r="J125" s="110">
        <f t="shared" si="35"/>
        <v>75</v>
      </c>
      <c r="K125" s="4">
        <v>1.35</v>
      </c>
      <c r="L125" s="65" t="s">
        <v>1</v>
      </c>
      <c r="M125" s="80">
        <f t="shared" si="36"/>
        <v>1.35</v>
      </c>
      <c r="N125" s="78">
        <f t="shared" si="37"/>
        <v>101.25</v>
      </c>
      <c r="O125" s="111">
        <f t="shared" si="38"/>
        <v>729.25</v>
      </c>
      <c r="P125" s="125">
        <v>1.69</v>
      </c>
      <c r="Q125" s="49">
        <v>2.0299999999999998</v>
      </c>
      <c r="R125" s="125"/>
      <c r="S125" s="134"/>
      <c r="T125" s="49"/>
      <c r="U125" s="49"/>
    </row>
    <row r="126" spans="1:21" x14ac:dyDescent="0.25">
      <c r="A126" s="72">
        <v>4</v>
      </c>
      <c r="B126" s="64" t="s">
        <v>295</v>
      </c>
      <c r="C126" s="65">
        <v>1</v>
      </c>
      <c r="D126" s="7">
        <v>0</v>
      </c>
      <c r="E126" s="3">
        <f t="shared" si="34"/>
        <v>1</v>
      </c>
      <c r="F126" s="3" t="s">
        <v>867</v>
      </c>
      <c r="G126" s="77">
        <v>628</v>
      </c>
      <c r="H126" s="65" t="s">
        <v>1</v>
      </c>
      <c r="I126" s="78">
        <f t="shared" si="33"/>
        <v>628</v>
      </c>
      <c r="J126" s="110">
        <f t="shared" si="35"/>
        <v>75</v>
      </c>
      <c r="K126" s="4">
        <v>1.35</v>
      </c>
      <c r="L126" s="65" t="s">
        <v>1</v>
      </c>
      <c r="M126" s="80">
        <f t="shared" si="36"/>
        <v>1.35</v>
      </c>
      <c r="N126" s="78">
        <f t="shared" si="37"/>
        <v>101.25</v>
      </c>
      <c r="O126" s="111">
        <f t="shared" si="38"/>
        <v>729.25</v>
      </c>
      <c r="P126" s="125">
        <v>1.69</v>
      </c>
      <c r="Q126" s="49">
        <v>2.0299999999999998</v>
      </c>
      <c r="R126" s="125">
        <v>2.6</v>
      </c>
      <c r="S126" s="134">
        <v>3.25</v>
      </c>
      <c r="T126" s="49">
        <v>3.9</v>
      </c>
      <c r="U126" s="49"/>
    </row>
    <row r="127" spans="1:21" x14ac:dyDescent="0.25">
      <c r="A127" s="72">
        <v>5</v>
      </c>
      <c r="B127" s="64" t="s">
        <v>296</v>
      </c>
      <c r="C127" s="65">
        <v>1</v>
      </c>
      <c r="D127" s="7">
        <v>0</v>
      </c>
      <c r="E127" s="3">
        <f t="shared" si="34"/>
        <v>1</v>
      </c>
      <c r="F127" s="3" t="s">
        <v>867</v>
      </c>
      <c r="G127" s="77">
        <v>479.25</v>
      </c>
      <c r="H127" s="65" t="s">
        <v>1</v>
      </c>
      <c r="I127" s="78">
        <f t="shared" si="33"/>
        <v>479.25</v>
      </c>
      <c r="J127" s="110">
        <f t="shared" si="35"/>
        <v>75</v>
      </c>
      <c r="K127" s="4">
        <v>1.35</v>
      </c>
      <c r="L127" s="65" t="s">
        <v>1</v>
      </c>
      <c r="M127" s="80">
        <f t="shared" si="36"/>
        <v>1.35</v>
      </c>
      <c r="N127" s="78">
        <f t="shared" si="37"/>
        <v>101.25</v>
      </c>
      <c r="O127" s="111">
        <f t="shared" si="38"/>
        <v>580.5</v>
      </c>
      <c r="P127" s="125">
        <v>1.69</v>
      </c>
      <c r="Q127" s="49">
        <v>2.0299999999999998</v>
      </c>
      <c r="R127" s="125"/>
      <c r="S127" s="134"/>
      <c r="T127" s="49"/>
      <c r="U127" s="49"/>
    </row>
    <row r="128" spans="1:21" x14ac:dyDescent="0.25">
      <c r="A128" s="72">
        <v>6</v>
      </c>
      <c r="B128" s="64" t="s">
        <v>297</v>
      </c>
      <c r="C128" s="65">
        <v>1</v>
      </c>
      <c r="D128" s="7">
        <v>0</v>
      </c>
      <c r="E128" s="3">
        <f t="shared" si="34"/>
        <v>1</v>
      </c>
      <c r="F128" s="3" t="s">
        <v>867</v>
      </c>
      <c r="G128" s="77">
        <v>0</v>
      </c>
      <c r="H128" s="65" t="s">
        <v>1</v>
      </c>
      <c r="I128" s="78">
        <f t="shared" si="33"/>
        <v>0</v>
      </c>
      <c r="J128" s="110">
        <f t="shared" si="35"/>
        <v>75</v>
      </c>
      <c r="K128" s="4">
        <v>3</v>
      </c>
      <c r="L128" s="65" t="s">
        <v>1</v>
      </c>
      <c r="M128" s="80">
        <f t="shared" si="36"/>
        <v>3</v>
      </c>
      <c r="N128" s="78">
        <f t="shared" si="37"/>
        <v>225</v>
      </c>
      <c r="O128" s="111">
        <f t="shared" si="38"/>
        <v>225</v>
      </c>
      <c r="P128" s="125">
        <v>3.75</v>
      </c>
      <c r="Q128" s="49">
        <v>4.5</v>
      </c>
      <c r="R128" s="125">
        <v>3.5</v>
      </c>
      <c r="S128" s="134">
        <v>4.3499999999999996</v>
      </c>
      <c r="T128" s="49">
        <v>5.25</v>
      </c>
      <c r="U128" s="49">
        <v>149034</v>
      </c>
    </row>
    <row r="129" spans="1:21" x14ac:dyDescent="0.25">
      <c r="A129" s="72">
        <v>7</v>
      </c>
      <c r="B129" s="64" t="s">
        <v>298</v>
      </c>
      <c r="C129" s="65">
        <v>1</v>
      </c>
      <c r="D129" s="7">
        <v>0</v>
      </c>
      <c r="E129" s="3">
        <f t="shared" si="34"/>
        <v>1</v>
      </c>
      <c r="F129" s="3" t="s">
        <v>867</v>
      </c>
      <c r="G129" s="77">
        <v>0</v>
      </c>
      <c r="H129" s="65" t="s">
        <v>1</v>
      </c>
      <c r="I129" s="78">
        <f t="shared" si="33"/>
        <v>0</v>
      </c>
      <c r="J129" s="110">
        <f t="shared" si="35"/>
        <v>75</v>
      </c>
      <c r="K129" s="4">
        <v>3</v>
      </c>
      <c r="L129" s="65" t="s">
        <v>1</v>
      </c>
      <c r="M129" s="80">
        <f t="shared" si="36"/>
        <v>3</v>
      </c>
      <c r="N129" s="78">
        <f t="shared" si="37"/>
        <v>225</v>
      </c>
      <c r="O129" s="111">
        <f t="shared" si="38"/>
        <v>225</v>
      </c>
      <c r="P129" s="125">
        <v>3.75</v>
      </c>
      <c r="Q129" s="49">
        <v>4.5</v>
      </c>
      <c r="R129" s="125">
        <v>3.5</v>
      </c>
      <c r="S129" s="134">
        <v>4.3499999999999996</v>
      </c>
      <c r="T129" s="49">
        <v>5.25</v>
      </c>
      <c r="U129" s="49">
        <v>149037</v>
      </c>
    </row>
    <row r="130" spans="1:21" x14ac:dyDescent="0.25">
      <c r="A130" s="72">
        <v>8</v>
      </c>
      <c r="B130" s="64" t="s">
        <v>299</v>
      </c>
      <c r="C130" s="65">
        <v>1</v>
      </c>
      <c r="D130" s="7">
        <v>0</v>
      </c>
      <c r="E130" s="3">
        <f t="shared" si="34"/>
        <v>1</v>
      </c>
      <c r="F130" s="3" t="s">
        <v>867</v>
      </c>
      <c r="G130" s="77">
        <v>552.52</v>
      </c>
      <c r="H130" s="65" t="s">
        <v>1</v>
      </c>
      <c r="I130" s="78">
        <f t="shared" si="33"/>
        <v>552.52</v>
      </c>
      <c r="J130" s="110">
        <f t="shared" si="35"/>
        <v>75</v>
      </c>
      <c r="K130" s="4">
        <v>1.2</v>
      </c>
      <c r="L130" s="65" t="s">
        <v>1</v>
      </c>
      <c r="M130" s="80">
        <f t="shared" si="36"/>
        <v>1.2</v>
      </c>
      <c r="N130" s="78">
        <f t="shared" si="37"/>
        <v>90</v>
      </c>
      <c r="O130" s="111">
        <f t="shared" si="38"/>
        <v>642.52</v>
      </c>
      <c r="P130" s="125">
        <v>1.5</v>
      </c>
      <c r="Q130" s="49">
        <v>1.8</v>
      </c>
      <c r="R130" s="125"/>
      <c r="S130" s="134"/>
      <c r="T130" s="49"/>
      <c r="U130" s="49">
        <v>149040</v>
      </c>
    </row>
    <row r="131" spans="1:21" x14ac:dyDescent="0.25">
      <c r="A131" s="72">
        <v>9</v>
      </c>
      <c r="B131" s="64" t="s">
        <v>300</v>
      </c>
      <c r="C131" s="65">
        <v>1</v>
      </c>
      <c r="D131" s="7">
        <v>0</v>
      </c>
      <c r="E131" s="3">
        <f t="shared" si="34"/>
        <v>1</v>
      </c>
      <c r="F131" s="3" t="s">
        <v>867</v>
      </c>
      <c r="G131" s="77">
        <v>0</v>
      </c>
      <c r="H131" s="65" t="s">
        <v>1</v>
      </c>
      <c r="I131" s="78">
        <f t="shared" si="33"/>
        <v>0</v>
      </c>
      <c r="J131" s="110">
        <f t="shared" si="35"/>
        <v>75</v>
      </c>
      <c r="K131" s="4">
        <v>1.2</v>
      </c>
      <c r="L131" s="65" t="s">
        <v>1</v>
      </c>
      <c r="M131" s="80">
        <f t="shared" si="36"/>
        <v>1.2</v>
      </c>
      <c r="N131" s="78">
        <f t="shared" si="37"/>
        <v>90</v>
      </c>
      <c r="O131" s="111">
        <f t="shared" si="38"/>
        <v>90</v>
      </c>
      <c r="P131" s="125">
        <v>1.5</v>
      </c>
      <c r="Q131" s="49">
        <v>1.8</v>
      </c>
      <c r="R131" s="125"/>
      <c r="S131" s="134"/>
      <c r="T131" s="49"/>
      <c r="U131" s="49">
        <v>149043</v>
      </c>
    </row>
    <row r="132" spans="1:21" x14ac:dyDescent="0.25">
      <c r="A132" s="72">
        <v>10</v>
      </c>
      <c r="B132" s="64" t="s">
        <v>89</v>
      </c>
      <c r="C132" s="65">
        <v>1</v>
      </c>
      <c r="D132" s="7">
        <v>0</v>
      </c>
      <c r="E132" s="3">
        <f t="shared" si="34"/>
        <v>1</v>
      </c>
      <c r="F132" s="3" t="s">
        <v>867</v>
      </c>
      <c r="G132" s="77">
        <v>247.89</v>
      </c>
      <c r="H132" s="65" t="s">
        <v>1</v>
      </c>
      <c r="I132" s="78">
        <f t="shared" si="33"/>
        <v>247.89</v>
      </c>
      <c r="J132" s="110">
        <f t="shared" si="35"/>
        <v>75</v>
      </c>
      <c r="K132" s="4">
        <v>1.1000000000000001</v>
      </c>
      <c r="L132" s="65" t="s">
        <v>1</v>
      </c>
      <c r="M132" s="80">
        <f t="shared" si="36"/>
        <v>1.1000000000000001</v>
      </c>
      <c r="N132" s="78">
        <f t="shared" si="37"/>
        <v>82.5</v>
      </c>
      <c r="O132" s="111">
        <f t="shared" si="38"/>
        <v>330.39</v>
      </c>
      <c r="P132" s="125">
        <v>1.38</v>
      </c>
      <c r="Q132" s="49">
        <v>1.65</v>
      </c>
      <c r="R132" s="125">
        <v>2.2000000000000002</v>
      </c>
      <c r="S132" s="134">
        <v>2.75</v>
      </c>
      <c r="T132" s="49">
        <v>3.3</v>
      </c>
      <c r="U132" s="49">
        <v>149046</v>
      </c>
    </row>
    <row r="133" spans="1:21" x14ac:dyDescent="0.25">
      <c r="A133" s="72">
        <v>11</v>
      </c>
      <c r="B133" s="64" t="s">
        <v>301</v>
      </c>
      <c r="C133" s="65">
        <v>1</v>
      </c>
      <c r="D133" s="7">
        <v>0</v>
      </c>
      <c r="E133" s="3">
        <f t="shared" si="34"/>
        <v>1</v>
      </c>
      <c r="F133" s="3" t="s">
        <v>867</v>
      </c>
      <c r="G133" s="77">
        <v>439.75</v>
      </c>
      <c r="H133" s="65" t="s">
        <v>1</v>
      </c>
      <c r="I133" s="78">
        <f t="shared" si="33"/>
        <v>439.75</v>
      </c>
      <c r="J133" s="110">
        <f t="shared" si="35"/>
        <v>75</v>
      </c>
      <c r="K133" s="4">
        <v>1.2</v>
      </c>
      <c r="L133" s="65" t="s">
        <v>1</v>
      </c>
      <c r="M133" s="80">
        <f t="shared" si="36"/>
        <v>1.2</v>
      </c>
      <c r="N133" s="78">
        <f t="shared" si="37"/>
        <v>90</v>
      </c>
      <c r="O133" s="111">
        <f t="shared" si="38"/>
        <v>529.75</v>
      </c>
      <c r="P133" s="125">
        <v>1.5</v>
      </c>
      <c r="Q133" s="49">
        <v>1.8</v>
      </c>
      <c r="R133" s="125">
        <v>2.4</v>
      </c>
      <c r="S133" s="134">
        <v>3</v>
      </c>
      <c r="T133" s="49">
        <v>3.6</v>
      </c>
      <c r="U133" s="49">
        <v>149049</v>
      </c>
    </row>
    <row r="134" spans="1:21" x14ac:dyDescent="0.25">
      <c r="A134" s="72">
        <v>12</v>
      </c>
      <c r="B134" s="64" t="s">
        <v>302</v>
      </c>
      <c r="C134" s="65">
        <v>1</v>
      </c>
      <c r="D134" s="7">
        <v>0</v>
      </c>
      <c r="E134" s="3">
        <f t="shared" si="34"/>
        <v>1</v>
      </c>
      <c r="F134" s="3" t="s">
        <v>867</v>
      </c>
      <c r="G134" s="77">
        <v>961</v>
      </c>
      <c r="H134" s="65" t="s">
        <v>1</v>
      </c>
      <c r="I134" s="78">
        <f t="shared" si="33"/>
        <v>961</v>
      </c>
      <c r="J134" s="110">
        <f t="shared" si="35"/>
        <v>75</v>
      </c>
      <c r="K134" s="4">
        <v>1.35</v>
      </c>
      <c r="L134" s="65" t="s">
        <v>1</v>
      </c>
      <c r="M134" s="80">
        <f t="shared" si="36"/>
        <v>1.35</v>
      </c>
      <c r="N134" s="78">
        <f t="shared" si="37"/>
        <v>101.25</v>
      </c>
      <c r="O134" s="111">
        <f t="shared" si="38"/>
        <v>1062.25</v>
      </c>
      <c r="P134" s="125">
        <v>1.69</v>
      </c>
      <c r="Q134" s="49">
        <v>2.0299999999999998</v>
      </c>
      <c r="R134" s="125"/>
      <c r="S134" s="134"/>
      <c r="T134" s="49"/>
      <c r="U134" s="49"/>
    </row>
    <row r="135" spans="1:21" x14ac:dyDescent="0.25">
      <c r="A135" s="72">
        <v>13</v>
      </c>
      <c r="B135" s="64" t="s">
        <v>303</v>
      </c>
      <c r="C135" s="65">
        <v>1</v>
      </c>
      <c r="D135" s="7">
        <v>0</v>
      </c>
      <c r="E135" s="3">
        <f t="shared" si="34"/>
        <v>1</v>
      </c>
      <c r="F135" s="3" t="s">
        <v>867</v>
      </c>
      <c r="G135" s="77">
        <v>1081</v>
      </c>
      <c r="H135" s="65" t="s">
        <v>1</v>
      </c>
      <c r="I135" s="78">
        <f t="shared" si="33"/>
        <v>1081</v>
      </c>
      <c r="J135" s="110">
        <f t="shared" si="35"/>
        <v>75</v>
      </c>
      <c r="K135" s="4">
        <v>1.35</v>
      </c>
      <c r="L135" s="65" t="s">
        <v>1</v>
      </c>
      <c r="M135" s="80">
        <f t="shared" si="36"/>
        <v>1.35</v>
      </c>
      <c r="N135" s="78">
        <f t="shared" si="37"/>
        <v>101.25</v>
      </c>
      <c r="O135" s="111">
        <f t="shared" si="38"/>
        <v>1182.25</v>
      </c>
      <c r="P135" s="125">
        <v>1.69</v>
      </c>
      <c r="Q135" s="49">
        <v>2.0299999999999998</v>
      </c>
      <c r="R135" s="125">
        <v>2.6</v>
      </c>
      <c r="S135" s="134">
        <v>3.25</v>
      </c>
      <c r="T135" s="49">
        <v>3.9</v>
      </c>
      <c r="U135" s="49"/>
    </row>
    <row r="136" spans="1:21" x14ac:dyDescent="0.25">
      <c r="A136" s="72">
        <v>14</v>
      </c>
      <c r="B136" s="64" t="s">
        <v>304</v>
      </c>
      <c r="C136" s="65">
        <v>1</v>
      </c>
      <c r="D136" s="7">
        <v>0</v>
      </c>
      <c r="E136" s="3">
        <f t="shared" si="34"/>
        <v>1</v>
      </c>
      <c r="F136" s="3" t="s">
        <v>867</v>
      </c>
      <c r="G136" s="77">
        <v>219</v>
      </c>
      <c r="H136" s="65" t="s">
        <v>1</v>
      </c>
      <c r="I136" s="78">
        <f t="shared" si="33"/>
        <v>219</v>
      </c>
      <c r="J136" s="110">
        <f t="shared" si="35"/>
        <v>75</v>
      </c>
      <c r="K136" s="4">
        <v>1.35</v>
      </c>
      <c r="L136" s="65" t="s">
        <v>1</v>
      </c>
      <c r="M136" s="80">
        <f t="shared" si="36"/>
        <v>1.35</v>
      </c>
      <c r="N136" s="78">
        <f t="shared" si="37"/>
        <v>101.25</v>
      </c>
      <c r="O136" s="111">
        <f t="shared" si="38"/>
        <v>320.25</v>
      </c>
      <c r="P136" s="125">
        <v>1.69</v>
      </c>
      <c r="Q136" s="49">
        <v>2.0299999999999998</v>
      </c>
      <c r="R136" s="125"/>
      <c r="S136" s="134"/>
      <c r="T136" s="49"/>
      <c r="U136" s="49"/>
    </row>
    <row r="137" spans="1:21" x14ac:dyDescent="0.25">
      <c r="A137" s="72">
        <v>15</v>
      </c>
      <c r="B137" s="64" t="s">
        <v>305</v>
      </c>
      <c r="C137" s="65">
        <v>1</v>
      </c>
      <c r="D137" s="7">
        <v>0</v>
      </c>
      <c r="E137" s="3">
        <f t="shared" si="34"/>
        <v>1</v>
      </c>
      <c r="F137" s="3" t="s">
        <v>867</v>
      </c>
      <c r="G137" s="77">
        <v>1090</v>
      </c>
      <c r="H137" s="65" t="s">
        <v>1</v>
      </c>
      <c r="I137" s="78">
        <f t="shared" si="33"/>
        <v>1090</v>
      </c>
      <c r="J137" s="110">
        <f t="shared" si="35"/>
        <v>75</v>
      </c>
      <c r="K137" s="4">
        <v>3</v>
      </c>
      <c r="L137" s="65" t="s">
        <v>1</v>
      </c>
      <c r="M137" s="80">
        <f t="shared" si="36"/>
        <v>3</v>
      </c>
      <c r="N137" s="78">
        <f t="shared" si="37"/>
        <v>225</v>
      </c>
      <c r="O137" s="111">
        <f t="shared" si="38"/>
        <v>1315</v>
      </c>
      <c r="P137" s="125">
        <v>3.75</v>
      </c>
      <c r="Q137" s="49">
        <v>4.5</v>
      </c>
      <c r="R137" s="125">
        <v>3.5</v>
      </c>
      <c r="S137" s="134">
        <v>4.3499999999999996</v>
      </c>
      <c r="T137" s="49">
        <v>5.25</v>
      </c>
      <c r="U137" s="49"/>
    </row>
    <row r="138" spans="1:21" x14ac:dyDescent="0.25">
      <c r="A138" s="72">
        <v>16</v>
      </c>
      <c r="B138" s="64" t="s">
        <v>306</v>
      </c>
      <c r="C138" s="65">
        <v>1</v>
      </c>
      <c r="D138" s="7">
        <v>0</v>
      </c>
      <c r="E138" s="3">
        <f t="shared" si="34"/>
        <v>1</v>
      </c>
      <c r="F138" s="3" t="s">
        <v>867</v>
      </c>
      <c r="G138" s="77">
        <v>1090</v>
      </c>
      <c r="H138" s="65" t="s">
        <v>1</v>
      </c>
      <c r="I138" s="78">
        <f t="shared" si="33"/>
        <v>1090</v>
      </c>
      <c r="J138" s="110">
        <f t="shared" si="35"/>
        <v>75</v>
      </c>
      <c r="K138" s="4">
        <v>3</v>
      </c>
      <c r="L138" s="65" t="s">
        <v>1</v>
      </c>
      <c r="M138" s="80">
        <f t="shared" si="36"/>
        <v>3</v>
      </c>
      <c r="N138" s="78">
        <f t="shared" si="37"/>
        <v>225</v>
      </c>
      <c r="O138" s="111">
        <f t="shared" si="38"/>
        <v>1315</v>
      </c>
      <c r="P138" s="125">
        <v>3.75</v>
      </c>
      <c r="Q138" s="49">
        <v>4.5</v>
      </c>
      <c r="R138" s="125">
        <v>3.5</v>
      </c>
      <c r="S138" s="134">
        <v>4.3499999999999996</v>
      </c>
      <c r="T138" s="49">
        <v>5.25</v>
      </c>
      <c r="U138" s="49"/>
    </row>
    <row r="139" spans="1:21" x14ac:dyDescent="0.25">
      <c r="A139" s="72">
        <v>17</v>
      </c>
      <c r="B139" s="64" t="s">
        <v>307</v>
      </c>
      <c r="C139" s="65">
        <v>1</v>
      </c>
      <c r="D139" s="7">
        <v>0</v>
      </c>
      <c r="E139" s="3">
        <f t="shared" si="34"/>
        <v>1</v>
      </c>
      <c r="F139" s="3" t="s">
        <v>867</v>
      </c>
      <c r="G139" s="77">
        <v>560.41</v>
      </c>
      <c r="H139" s="65" t="s">
        <v>1</v>
      </c>
      <c r="I139" s="78">
        <f t="shared" si="33"/>
        <v>560.41</v>
      </c>
      <c r="J139" s="110">
        <f t="shared" si="35"/>
        <v>75</v>
      </c>
      <c r="K139" s="4">
        <v>1.2</v>
      </c>
      <c r="L139" s="65" t="s">
        <v>1</v>
      </c>
      <c r="M139" s="80">
        <f t="shared" si="36"/>
        <v>1.2</v>
      </c>
      <c r="N139" s="78">
        <f t="shared" si="37"/>
        <v>90</v>
      </c>
      <c r="O139" s="111">
        <f t="shared" si="38"/>
        <v>650.41</v>
      </c>
      <c r="P139" s="125">
        <v>1.5</v>
      </c>
      <c r="Q139" s="49">
        <v>1.8</v>
      </c>
      <c r="R139" s="125"/>
      <c r="S139" s="134"/>
      <c r="T139" s="49"/>
      <c r="U139" s="49">
        <v>149067</v>
      </c>
    </row>
    <row r="140" spans="1:21" x14ac:dyDescent="0.25">
      <c r="A140" s="72">
        <v>18</v>
      </c>
      <c r="B140" s="64" t="s">
        <v>308</v>
      </c>
      <c r="C140" s="65">
        <v>1</v>
      </c>
      <c r="D140" s="7">
        <v>0</v>
      </c>
      <c r="E140" s="3">
        <f t="shared" si="34"/>
        <v>1</v>
      </c>
      <c r="F140" s="3" t="s">
        <v>867</v>
      </c>
      <c r="G140" s="77">
        <v>0</v>
      </c>
      <c r="H140" s="65" t="s">
        <v>1</v>
      </c>
      <c r="I140" s="78">
        <f t="shared" si="33"/>
        <v>0</v>
      </c>
      <c r="J140" s="110">
        <f t="shared" si="35"/>
        <v>75</v>
      </c>
      <c r="K140" s="4">
        <v>1.2</v>
      </c>
      <c r="L140" s="65" t="s">
        <v>1</v>
      </c>
      <c r="M140" s="80">
        <f t="shared" si="36"/>
        <v>1.2</v>
      </c>
      <c r="N140" s="78">
        <f t="shared" si="37"/>
        <v>90</v>
      </c>
      <c r="O140" s="111">
        <f t="shared" si="38"/>
        <v>90</v>
      </c>
      <c r="P140" s="125">
        <v>1.5</v>
      </c>
      <c r="Q140" s="49">
        <v>1.8</v>
      </c>
      <c r="R140" s="125"/>
      <c r="S140" s="134"/>
      <c r="T140" s="49"/>
      <c r="U140" s="49">
        <v>149070</v>
      </c>
    </row>
    <row r="141" spans="1:21" x14ac:dyDescent="0.25">
      <c r="A141" s="72"/>
      <c r="B141" s="64"/>
      <c r="C141" s="65"/>
      <c r="D141" s="7"/>
      <c r="E141" s="3"/>
      <c r="F141" s="3"/>
      <c r="G141" s="77" t="s">
        <v>1202</v>
      </c>
      <c r="H141" s="65"/>
      <c r="I141" s="78"/>
      <c r="J141" s="64"/>
      <c r="K141" s="4"/>
      <c r="L141" s="65"/>
      <c r="M141" s="80"/>
      <c r="N141" s="78"/>
      <c r="O141" s="111"/>
      <c r="P141" s="125"/>
      <c r="Q141" s="49"/>
      <c r="R141" s="125"/>
      <c r="S141" s="134"/>
      <c r="T141" s="49"/>
      <c r="U141" s="49"/>
    </row>
    <row r="142" spans="1:21" x14ac:dyDescent="0.25">
      <c r="A142" s="72">
        <v>1</v>
      </c>
      <c r="B142" s="64" t="s">
        <v>134</v>
      </c>
      <c r="C142" s="65">
        <v>1</v>
      </c>
      <c r="D142" s="7">
        <v>0</v>
      </c>
      <c r="E142" s="3">
        <f t="shared" ref="E142:E187" si="39">C142+(C142*D142)</f>
        <v>1</v>
      </c>
      <c r="F142" s="3" t="s">
        <v>867</v>
      </c>
      <c r="G142" s="77">
        <v>279.13</v>
      </c>
      <c r="H142" s="65" t="s">
        <v>1</v>
      </c>
      <c r="I142" s="78">
        <f t="shared" si="33"/>
        <v>279.13</v>
      </c>
      <c r="J142" s="110">
        <f>$O$4</f>
        <v>75</v>
      </c>
      <c r="K142" s="4">
        <v>1.5</v>
      </c>
      <c r="L142" s="65" t="s">
        <v>1</v>
      </c>
      <c r="M142" s="80">
        <f t="shared" si="36"/>
        <v>1.5</v>
      </c>
      <c r="N142" s="78">
        <f t="shared" si="37"/>
        <v>112.5</v>
      </c>
      <c r="O142" s="111">
        <f t="shared" si="38"/>
        <v>391.63</v>
      </c>
      <c r="P142" s="125">
        <v>1.88</v>
      </c>
      <c r="Q142" s="49">
        <v>2.25</v>
      </c>
      <c r="R142" s="125">
        <v>3.3</v>
      </c>
      <c r="S142" s="134">
        <v>4.13</v>
      </c>
      <c r="T142" s="49">
        <v>4.95</v>
      </c>
      <c r="U142" s="49">
        <v>149100</v>
      </c>
    </row>
    <row r="143" spans="1:21" x14ac:dyDescent="0.25">
      <c r="A143" s="72">
        <v>2</v>
      </c>
      <c r="B143" s="64" t="s">
        <v>309</v>
      </c>
      <c r="C143" s="65">
        <v>1</v>
      </c>
      <c r="D143" s="7">
        <v>0</v>
      </c>
      <c r="E143" s="3">
        <f t="shared" si="39"/>
        <v>1</v>
      </c>
      <c r="F143" s="3" t="s">
        <v>867</v>
      </c>
      <c r="G143" s="77">
        <v>444.8</v>
      </c>
      <c r="H143" s="65" t="s">
        <v>1</v>
      </c>
      <c r="I143" s="78">
        <f t="shared" si="33"/>
        <v>444.8</v>
      </c>
      <c r="J143" s="110">
        <f t="shared" ref="J143:J159" si="40">$O$4</f>
        <v>75</v>
      </c>
      <c r="K143" s="4">
        <v>1.65</v>
      </c>
      <c r="L143" s="65" t="s">
        <v>1</v>
      </c>
      <c r="M143" s="80">
        <f t="shared" si="36"/>
        <v>1.65</v>
      </c>
      <c r="N143" s="78">
        <f t="shared" si="37"/>
        <v>123.75</v>
      </c>
      <c r="O143" s="111">
        <f t="shared" si="38"/>
        <v>568.54999999999995</v>
      </c>
      <c r="P143" s="125">
        <v>2.06</v>
      </c>
      <c r="Q143" s="49">
        <v>2.48</v>
      </c>
      <c r="R143" s="125">
        <v>4.2</v>
      </c>
      <c r="S143" s="134">
        <v>5.25</v>
      </c>
      <c r="T143" s="49">
        <v>6.3</v>
      </c>
      <c r="U143" s="49">
        <v>149103</v>
      </c>
    </row>
    <row r="144" spans="1:21" x14ac:dyDescent="0.25">
      <c r="A144" s="72">
        <v>3</v>
      </c>
      <c r="B144" s="64" t="s">
        <v>310</v>
      </c>
      <c r="C144" s="65">
        <v>1</v>
      </c>
      <c r="D144" s="7">
        <v>0</v>
      </c>
      <c r="E144" s="3">
        <f t="shared" si="39"/>
        <v>1</v>
      </c>
      <c r="F144" s="3" t="s">
        <v>867</v>
      </c>
      <c r="G144" s="77">
        <v>0</v>
      </c>
      <c r="H144" s="65" t="s">
        <v>1</v>
      </c>
      <c r="I144" s="78">
        <f t="shared" si="33"/>
        <v>0</v>
      </c>
      <c r="J144" s="110">
        <f t="shared" si="40"/>
        <v>75</v>
      </c>
      <c r="K144" s="4">
        <v>1.85</v>
      </c>
      <c r="L144" s="65" t="s">
        <v>1</v>
      </c>
      <c r="M144" s="80">
        <f t="shared" si="36"/>
        <v>1.85</v>
      </c>
      <c r="N144" s="78">
        <f t="shared" si="37"/>
        <v>138.75</v>
      </c>
      <c r="O144" s="111">
        <f t="shared" si="38"/>
        <v>138.75</v>
      </c>
      <c r="P144" s="125">
        <v>2.31</v>
      </c>
      <c r="Q144" s="49">
        <v>2.78</v>
      </c>
      <c r="R144" s="125"/>
      <c r="S144" s="134"/>
      <c r="T144" s="49"/>
      <c r="U144" s="49">
        <v>149106</v>
      </c>
    </row>
    <row r="145" spans="1:21" x14ac:dyDescent="0.25">
      <c r="A145" s="72">
        <v>4</v>
      </c>
      <c r="B145" s="64" t="s">
        <v>311</v>
      </c>
      <c r="C145" s="65">
        <v>1</v>
      </c>
      <c r="D145" s="7">
        <v>0</v>
      </c>
      <c r="E145" s="3">
        <f t="shared" si="39"/>
        <v>1</v>
      </c>
      <c r="F145" s="3" t="s">
        <v>867</v>
      </c>
      <c r="G145" s="77">
        <v>842</v>
      </c>
      <c r="H145" s="65" t="s">
        <v>1</v>
      </c>
      <c r="I145" s="78">
        <f t="shared" si="33"/>
        <v>842</v>
      </c>
      <c r="J145" s="110">
        <f t="shared" si="40"/>
        <v>75</v>
      </c>
      <c r="K145" s="4">
        <v>1.85</v>
      </c>
      <c r="L145" s="65" t="s">
        <v>1</v>
      </c>
      <c r="M145" s="80">
        <f t="shared" si="36"/>
        <v>1.85</v>
      </c>
      <c r="N145" s="78">
        <f t="shared" si="37"/>
        <v>138.75</v>
      </c>
      <c r="O145" s="111">
        <f t="shared" si="38"/>
        <v>980.75</v>
      </c>
      <c r="P145" s="125">
        <v>2.31</v>
      </c>
      <c r="Q145" s="49">
        <v>2.78</v>
      </c>
      <c r="R145" s="125">
        <v>4</v>
      </c>
      <c r="S145" s="134">
        <v>5</v>
      </c>
      <c r="T145" s="49">
        <v>6</v>
      </c>
      <c r="U145" s="49">
        <v>149109</v>
      </c>
    </row>
    <row r="146" spans="1:21" x14ac:dyDescent="0.25">
      <c r="A146" s="72">
        <v>5</v>
      </c>
      <c r="B146" s="64" t="s">
        <v>312</v>
      </c>
      <c r="C146" s="65">
        <v>1</v>
      </c>
      <c r="D146" s="7">
        <v>0</v>
      </c>
      <c r="E146" s="3">
        <f t="shared" si="39"/>
        <v>1</v>
      </c>
      <c r="F146" s="3" t="s">
        <v>867</v>
      </c>
      <c r="G146" s="77">
        <v>392</v>
      </c>
      <c r="H146" s="65" t="s">
        <v>1</v>
      </c>
      <c r="I146" s="78">
        <f t="shared" si="33"/>
        <v>392</v>
      </c>
      <c r="J146" s="110">
        <f t="shared" si="40"/>
        <v>75</v>
      </c>
      <c r="K146" s="4">
        <v>1.85</v>
      </c>
      <c r="L146" s="65" t="s">
        <v>1</v>
      </c>
      <c r="M146" s="80">
        <f t="shared" si="36"/>
        <v>1.85</v>
      </c>
      <c r="N146" s="78">
        <f t="shared" si="37"/>
        <v>138.75</v>
      </c>
      <c r="O146" s="111">
        <f t="shared" si="38"/>
        <v>530.75</v>
      </c>
      <c r="P146" s="125">
        <v>2.31</v>
      </c>
      <c r="Q146" s="49">
        <v>2.78</v>
      </c>
      <c r="R146" s="125"/>
      <c r="S146" s="134"/>
      <c r="T146" s="49"/>
      <c r="U146" s="49">
        <v>149112</v>
      </c>
    </row>
    <row r="147" spans="1:21" x14ac:dyDescent="0.25">
      <c r="A147" s="72">
        <v>6</v>
      </c>
      <c r="B147" s="64" t="s">
        <v>313</v>
      </c>
      <c r="C147" s="65">
        <v>1</v>
      </c>
      <c r="D147" s="7">
        <v>0</v>
      </c>
      <c r="E147" s="3">
        <f t="shared" si="39"/>
        <v>1</v>
      </c>
      <c r="F147" s="3" t="s">
        <v>867</v>
      </c>
      <c r="G147" s="77">
        <v>0</v>
      </c>
      <c r="H147" s="65" t="s">
        <v>1</v>
      </c>
      <c r="I147" s="78">
        <f t="shared" si="33"/>
        <v>0</v>
      </c>
      <c r="J147" s="110">
        <f t="shared" si="40"/>
        <v>75</v>
      </c>
      <c r="K147" s="4">
        <v>3.5</v>
      </c>
      <c r="L147" s="65" t="s">
        <v>1</v>
      </c>
      <c r="M147" s="80">
        <f t="shared" si="36"/>
        <v>3.5</v>
      </c>
      <c r="N147" s="78">
        <f t="shared" si="37"/>
        <v>262.5</v>
      </c>
      <c r="O147" s="111">
        <f t="shared" si="38"/>
        <v>262.5</v>
      </c>
      <c r="P147" s="125">
        <v>4.38</v>
      </c>
      <c r="Q147" s="49">
        <v>5.25</v>
      </c>
      <c r="R147" s="125">
        <v>4</v>
      </c>
      <c r="S147" s="134">
        <v>5</v>
      </c>
      <c r="T147" s="49">
        <v>6</v>
      </c>
      <c r="U147" s="49">
        <v>149115</v>
      </c>
    </row>
    <row r="148" spans="1:21" x14ac:dyDescent="0.25">
      <c r="A148" s="72">
        <v>7</v>
      </c>
      <c r="B148" s="64" t="s">
        <v>314</v>
      </c>
      <c r="C148" s="65">
        <v>1</v>
      </c>
      <c r="D148" s="7">
        <v>0</v>
      </c>
      <c r="E148" s="3">
        <f t="shared" si="39"/>
        <v>1</v>
      </c>
      <c r="F148" s="3" t="s">
        <v>867</v>
      </c>
      <c r="G148" s="77">
        <v>0</v>
      </c>
      <c r="H148" s="65" t="s">
        <v>1</v>
      </c>
      <c r="I148" s="78">
        <f t="shared" si="33"/>
        <v>0</v>
      </c>
      <c r="J148" s="110">
        <f t="shared" si="40"/>
        <v>75</v>
      </c>
      <c r="K148" s="4">
        <v>3.5</v>
      </c>
      <c r="L148" s="65" t="s">
        <v>1</v>
      </c>
      <c r="M148" s="80">
        <f t="shared" si="36"/>
        <v>3.5</v>
      </c>
      <c r="N148" s="78">
        <f t="shared" si="37"/>
        <v>262.5</v>
      </c>
      <c r="O148" s="111">
        <f t="shared" si="38"/>
        <v>262.5</v>
      </c>
      <c r="P148" s="125">
        <v>4.38</v>
      </c>
      <c r="Q148" s="49">
        <v>5.25</v>
      </c>
      <c r="R148" s="125">
        <v>4</v>
      </c>
      <c r="S148" s="134">
        <v>5</v>
      </c>
      <c r="T148" s="49">
        <v>6</v>
      </c>
      <c r="U148" s="49">
        <v>149118</v>
      </c>
    </row>
    <row r="149" spans="1:21" x14ac:dyDescent="0.25">
      <c r="A149" s="72">
        <v>8</v>
      </c>
      <c r="B149" s="64" t="s">
        <v>315</v>
      </c>
      <c r="C149" s="65">
        <v>1</v>
      </c>
      <c r="D149" s="7">
        <v>0</v>
      </c>
      <c r="E149" s="3">
        <f t="shared" si="39"/>
        <v>1</v>
      </c>
      <c r="F149" s="3" t="s">
        <v>867</v>
      </c>
      <c r="G149" s="77">
        <v>530.96</v>
      </c>
      <c r="H149" s="65" t="s">
        <v>1</v>
      </c>
      <c r="I149" s="78">
        <f t="shared" si="33"/>
        <v>530.96</v>
      </c>
      <c r="J149" s="110">
        <f t="shared" si="40"/>
        <v>75</v>
      </c>
      <c r="K149" s="4">
        <v>1.65</v>
      </c>
      <c r="L149" s="65" t="s">
        <v>1</v>
      </c>
      <c r="M149" s="80">
        <f t="shared" si="36"/>
        <v>1.65</v>
      </c>
      <c r="N149" s="78">
        <f t="shared" si="37"/>
        <v>123.75</v>
      </c>
      <c r="O149" s="111">
        <f t="shared" si="38"/>
        <v>654.71</v>
      </c>
      <c r="P149" s="125">
        <v>2.06</v>
      </c>
      <c r="Q149" s="49">
        <v>2.48</v>
      </c>
      <c r="R149" s="125"/>
      <c r="S149" s="134"/>
      <c r="T149" s="49"/>
      <c r="U149" s="49">
        <v>149121</v>
      </c>
    </row>
    <row r="150" spans="1:21" x14ac:dyDescent="0.25">
      <c r="A150" s="72">
        <v>9</v>
      </c>
      <c r="B150" s="64" t="s">
        <v>316</v>
      </c>
      <c r="C150" s="65">
        <v>1</v>
      </c>
      <c r="D150" s="7">
        <v>0</v>
      </c>
      <c r="E150" s="3">
        <f t="shared" si="39"/>
        <v>1</v>
      </c>
      <c r="F150" s="3" t="s">
        <v>867</v>
      </c>
      <c r="G150" s="77">
        <v>0</v>
      </c>
      <c r="H150" s="65" t="s">
        <v>1</v>
      </c>
      <c r="I150" s="78">
        <f t="shared" si="33"/>
        <v>0</v>
      </c>
      <c r="J150" s="110">
        <f t="shared" si="40"/>
        <v>75</v>
      </c>
      <c r="K150" s="4">
        <v>1.65</v>
      </c>
      <c r="L150" s="65" t="s">
        <v>1</v>
      </c>
      <c r="M150" s="80">
        <f t="shared" si="36"/>
        <v>1.65</v>
      </c>
      <c r="N150" s="78">
        <f t="shared" si="37"/>
        <v>123.75</v>
      </c>
      <c r="O150" s="111">
        <f t="shared" si="38"/>
        <v>123.75</v>
      </c>
      <c r="P150" s="125">
        <v>2.06</v>
      </c>
      <c r="Q150" s="49">
        <v>2.48</v>
      </c>
      <c r="R150" s="125"/>
      <c r="S150" s="134"/>
      <c r="T150" s="49"/>
      <c r="U150" s="49">
        <v>149124</v>
      </c>
    </row>
    <row r="151" spans="1:21" x14ac:dyDescent="0.25">
      <c r="A151" s="72">
        <v>10</v>
      </c>
      <c r="B151" s="64" t="s">
        <v>92</v>
      </c>
      <c r="C151" s="65">
        <v>1</v>
      </c>
      <c r="D151" s="7">
        <v>0</v>
      </c>
      <c r="E151" s="3">
        <f t="shared" si="39"/>
        <v>1</v>
      </c>
      <c r="F151" s="3" t="s">
        <v>867</v>
      </c>
      <c r="G151" s="77">
        <v>304.07</v>
      </c>
      <c r="H151" s="65" t="s">
        <v>1</v>
      </c>
      <c r="I151" s="78">
        <f t="shared" si="33"/>
        <v>304.07</v>
      </c>
      <c r="J151" s="110">
        <f t="shared" si="40"/>
        <v>75</v>
      </c>
      <c r="K151" s="4">
        <v>1.5</v>
      </c>
      <c r="L151" s="65" t="s">
        <v>1</v>
      </c>
      <c r="M151" s="80">
        <f t="shared" si="36"/>
        <v>1.5</v>
      </c>
      <c r="N151" s="78">
        <f t="shared" si="37"/>
        <v>112.5</v>
      </c>
      <c r="O151" s="111">
        <f t="shared" si="38"/>
        <v>416.57</v>
      </c>
      <c r="P151" s="125">
        <v>1.88</v>
      </c>
      <c r="Q151" s="49">
        <v>2.25</v>
      </c>
      <c r="R151" s="125">
        <v>3.3</v>
      </c>
      <c r="S151" s="134">
        <v>4.13</v>
      </c>
      <c r="T151" s="49">
        <v>4.95</v>
      </c>
      <c r="U151" s="49">
        <v>149127</v>
      </c>
    </row>
    <row r="152" spans="1:21" x14ac:dyDescent="0.25">
      <c r="A152" s="72">
        <v>11</v>
      </c>
      <c r="B152" s="64" t="s">
        <v>317</v>
      </c>
      <c r="C152" s="65">
        <v>1</v>
      </c>
      <c r="D152" s="7">
        <v>0</v>
      </c>
      <c r="E152" s="3">
        <f t="shared" ref="E152" si="41">C152+(C152*D152)</f>
        <v>1</v>
      </c>
      <c r="F152" s="3" t="s">
        <v>867</v>
      </c>
      <c r="G152" s="77">
        <v>509.41</v>
      </c>
      <c r="H152" s="65" t="s">
        <v>1</v>
      </c>
      <c r="I152" s="78">
        <f t="shared" si="33"/>
        <v>509.41</v>
      </c>
      <c r="J152" s="110">
        <f t="shared" si="40"/>
        <v>75</v>
      </c>
      <c r="K152" s="4">
        <v>1.65</v>
      </c>
      <c r="L152" s="65" t="s">
        <v>1</v>
      </c>
      <c r="M152" s="80">
        <f t="shared" si="36"/>
        <v>1.65</v>
      </c>
      <c r="N152" s="78">
        <f t="shared" ref="N152" si="42">M152*J152</f>
        <v>123.75</v>
      </c>
      <c r="O152" s="111">
        <f t="shared" ref="O152" si="43">N152+I152</f>
        <v>633.16000000000008</v>
      </c>
      <c r="P152" s="125">
        <v>2.06</v>
      </c>
      <c r="Q152" s="49">
        <v>2.48</v>
      </c>
      <c r="R152" s="125">
        <v>3.6</v>
      </c>
      <c r="S152" s="134">
        <v>4.5</v>
      </c>
      <c r="T152" s="49">
        <v>5.4</v>
      </c>
      <c r="U152" s="49">
        <v>149130</v>
      </c>
    </row>
    <row r="153" spans="1:21" x14ac:dyDescent="0.25">
      <c r="A153" s="72">
        <v>12</v>
      </c>
      <c r="B153" s="64" t="s">
        <v>318</v>
      </c>
      <c r="C153" s="65">
        <v>1</v>
      </c>
      <c r="D153" s="7">
        <v>0</v>
      </c>
      <c r="E153" s="3">
        <f t="shared" si="39"/>
        <v>1</v>
      </c>
      <c r="F153" s="3" t="s">
        <v>867</v>
      </c>
      <c r="G153" s="77">
        <v>1295</v>
      </c>
      <c r="H153" s="65" t="s">
        <v>1</v>
      </c>
      <c r="I153" s="78">
        <f t="shared" si="33"/>
        <v>1295</v>
      </c>
      <c r="J153" s="110">
        <f t="shared" si="40"/>
        <v>75</v>
      </c>
      <c r="K153" s="4">
        <v>1.85</v>
      </c>
      <c r="L153" s="65" t="s">
        <v>1</v>
      </c>
      <c r="M153" s="80">
        <f t="shared" si="36"/>
        <v>1.85</v>
      </c>
      <c r="N153" s="78">
        <f t="shared" si="37"/>
        <v>138.75</v>
      </c>
      <c r="O153" s="111">
        <f t="shared" si="38"/>
        <v>1433.75</v>
      </c>
      <c r="P153" s="125">
        <v>2.31</v>
      </c>
      <c r="Q153" s="49">
        <v>2.78</v>
      </c>
      <c r="R153" s="125"/>
      <c r="S153" s="134"/>
      <c r="T153" s="49"/>
      <c r="U153" s="49">
        <v>149133</v>
      </c>
    </row>
    <row r="154" spans="1:21" x14ac:dyDescent="0.25">
      <c r="A154" s="72">
        <v>13</v>
      </c>
      <c r="B154" s="64" t="s">
        <v>319</v>
      </c>
      <c r="C154" s="65">
        <v>1</v>
      </c>
      <c r="D154" s="7">
        <v>0</v>
      </c>
      <c r="E154" s="3">
        <f t="shared" si="39"/>
        <v>1</v>
      </c>
      <c r="F154" s="3" t="s">
        <v>867</v>
      </c>
      <c r="G154" s="77">
        <v>1266</v>
      </c>
      <c r="H154" s="65" t="s">
        <v>1</v>
      </c>
      <c r="I154" s="78">
        <f t="shared" si="33"/>
        <v>1266</v>
      </c>
      <c r="J154" s="110">
        <f t="shared" si="40"/>
        <v>75</v>
      </c>
      <c r="K154" s="4">
        <v>1.85</v>
      </c>
      <c r="L154" s="65" t="s">
        <v>1</v>
      </c>
      <c r="M154" s="80">
        <f t="shared" si="36"/>
        <v>1.85</v>
      </c>
      <c r="N154" s="78">
        <f t="shared" si="37"/>
        <v>138.75</v>
      </c>
      <c r="O154" s="111">
        <f t="shared" si="38"/>
        <v>1404.75</v>
      </c>
      <c r="P154" s="125">
        <v>2.31</v>
      </c>
      <c r="Q154" s="49">
        <v>2.78</v>
      </c>
      <c r="R154" s="125">
        <v>4</v>
      </c>
      <c r="S154" s="134">
        <v>5</v>
      </c>
      <c r="T154" s="49">
        <v>6</v>
      </c>
      <c r="U154" s="49">
        <v>149136</v>
      </c>
    </row>
    <row r="155" spans="1:21" x14ac:dyDescent="0.25">
      <c r="A155" s="72">
        <v>14</v>
      </c>
      <c r="B155" s="64" t="s">
        <v>320</v>
      </c>
      <c r="C155" s="65">
        <v>1</v>
      </c>
      <c r="D155" s="7">
        <v>0</v>
      </c>
      <c r="E155" s="3">
        <f t="shared" si="39"/>
        <v>1</v>
      </c>
      <c r="F155" s="3" t="s">
        <v>867</v>
      </c>
      <c r="G155" s="77">
        <v>2337</v>
      </c>
      <c r="H155" s="65" t="s">
        <v>1</v>
      </c>
      <c r="I155" s="78">
        <f t="shared" si="33"/>
        <v>2337</v>
      </c>
      <c r="J155" s="110">
        <f t="shared" si="40"/>
        <v>75</v>
      </c>
      <c r="K155" s="4">
        <v>1.85</v>
      </c>
      <c r="L155" s="65" t="s">
        <v>1</v>
      </c>
      <c r="M155" s="80">
        <f t="shared" si="36"/>
        <v>1.85</v>
      </c>
      <c r="N155" s="78">
        <f t="shared" si="37"/>
        <v>138.75</v>
      </c>
      <c r="O155" s="111">
        <f t="shared" si="38"/>
        <v>2475.75</v>
      </c>
      <c r="P155" s="125">
        <v>2.31</v>
      </c>
      <c r="Q155" s="49">
        <v>2.78</v>
      </c>
      <c r="R155" s="125"/>
      <c r="S155" s="134"/>
      <c r="T155" s="49"/>
      <c r="U155" s="49">
        <v>149139</v>
      </c>
    </row>
    <row r="156" spans="1:21" x14ac:dyDescent="0.25">
      <c r="A156" s="72">
        <v>15</v>
      </c>
      <c r="B156" s="64" t="s">
        <v>321</v>
      </c>
      <c r="C156" s="65">
        <v>1</v>
      </c>
      <c r="D156" s="7">
        <v>0</v>
      </c>
      <c r="E156" s="3">
        <f t="shared" si="39"/>
        <v>1</v>
      </c>
      <c r="F156" s="3" t="s">
        <v>867</v>
      </c>
      <c r="G156" s="77">
        <v>1991</v>
      </c>
      <c r="H156" s="65" t="s">
        <v>1</v>
      </c>
      <c r="I156" s="78">
        <f t="shared" si="33"/>
        <v>1991</v>
      </c>
      <c r="J156" s="110">
        <f t="shared" si="40"/>
        <v>75</v>
      </c>
      <c r="K156" s="4">
        <v>3.5</v>
      </c>
      <c r="L156" s="65" t="s">
        <v>1</v>
      </c>
      <c r="M156" s="80">
        <f t="shared" si="36"/>
        <v>3.5</v>
      </c>
      <c r="N156" s="78">
        <f t="shared" si="37"/>
        <v>262.5</v>
      </c>
      <c r="O156" s="111">
        <f t="shared" si="38"/>
        <v>2253.5</v>
      </c>
      <c r="P156" s="125">
        <v>4.38</v>
      </c>
      <c r="Q156" s="49">
        <v>5.25</v>
      </c>
      <c r="R156" s="125">
        <v>4</v>
      </c>
      <c r="S156" s="134">
        <v>5</v>
      </c>
      <c r="T156" s="49">
        <v>6</v>
      </c>
      <c r="U156" s="49">
        <v>149142</v>
      </c>
    </row>
    <row r="157" spans="1:21" x14ac:dyDescent="0.25">
      <c r="A157" s="72">
        <v>16</v>
      </c>
      <c r="B157" s="64" t="s">
        <v>322</v>
      </c>
      <c r="C157" s="65">
        <v>1</v>
      </c>
      <c r="D157" s="7">
        <v>0</v>
      </c>
      <c r="E157" s="3">
        <f t="shared" si="39"/>
        <v>1</v>
      </c>
      <c r="F157" s="3" t="s">
        <v>867</v>
      </c>
      <c r="G157" s="77">
        <v>1991</v>
      </c>
      <c r="H157" s="65" t="s">
        <v>1</v>
      </c>
      <c r="I157" s="78">
        <f t="shared" si="33"/>
        <v>1991</v>
      </c>
      <c r="J157" s="110">
        <f t="shared" si="40"/>
        <v>75</v>
      </c>
      <c r="K157" s="4">
        <v>3.5</v>
      </c>
      <c r="L157" s="65" t="s">
        <v>1</v>
      </c>
      <c r="M157" s="80">
        <f t="shared" si="36"/>
        <v>3.5</v>
      </c>
      <c r="N157" s="78">
        <f t="shared" si="37"/>
        <v>262.5</v>
      </c>
      <c r="O157" s="111">
        <f t="shared" si="38"/>
        <v>2253.5</v>
      </c>
      <c r="P157" s="125">
        <v>4.38</v>
      </c>
      <c r="Q157" s="49">
        <v>5.25</v>
      </c>
      <c r="R157" s="125">
        <v>4</v>
      </c>
      <c r="S157" s="134">
        <v>5</v>
      </c>
      <c r="T157" s="49">
        <v>6</v>
      </c>
      <c r="U157" s="49">
        <v>149145</v>
      </c>
    </row>
    <row r="158" spans="1:21" x14ac:dyDescent="0.25">
      <c r="A158" s="72">
        <v>17</v>
      </c>
      <c r="B158" s="64" t="s">
        <v>323</v>
      </c>
      <c r="C158" s="65">
        <v>1</v>
      </c>
      <c r="D158" s="7">
        <v>0</v>
      </c>
      <c r="E158" s="3">
        <f t="shared" si="39"/>
        <v>1</v>
      </c>
      <c r="F158" s="3" t="s">
        <v>867</v>
      </c>
      <c r="G158" s="77">
        <v>540.58000000000004</v>
      </c>
      <c r="H158" s="65" t="s">
        <v>1</v>
      </c>
      <c r="I158" s="78">
        <f t="shared" si="33"/>
        <v>540.58000000000004</v>
      </c>
      <c r="J158" s="110">
        <f t="shared" si="40"/>
        <v>75</v>
      </c>
      <c r="K158" s="4">
        <v>1.65</v>
      </c>
      <c r="L158" s="65" t="s">
        <v>1</v>
      </c>
      <c r="M158" s="80">
        <f t="shared" si="36"/>
        <v>1.65</v>
      </c>
      <c r="N158" s="78">
        <f t="shared" si="37"/>
        <v>123.75</v>
      </c>
      <c r="O158" s="111">
        <f t="shared" si="38"/>
        <v>664.33</v>
      </c>
      <c r="P158" s="125">
        <v>2.06</v>
      </c>
      <c r="Q158" s="49">
        <v>2.48</v>
      </c>
      <c r="R158" s="125"/>
      <c r="S158" s="134"/>
      <c r="T158" s="49"/>
      <c r="U158" s="49">
        <v>149148</v>
      </c>
    </row>
    <row r="159" spans="1:21" x14ac:dyDescent="0.25">
      <c r="A159" s="72">
        <v>18</v>
      </c>
      <c r="B159" s="64" t="s">
        <v>324</v>
      </c>
      <c r="C159" s="65">
        <v>1</v>
      </c>
      <c r="D159" s="7">
        <v>0</v>
      </c>
      <c r="E159" s="3">
        <f t="shared" si="39"/>
        <v>1</v>
      </c>
      <c r="F159" s="3" t="s">
        <v>867</v>
      </c>
      <c r="G159" s="77">
        <v>0</v>
      </c>
      <c r="H159" s="65" t="s">
        <v>1</v>
      </c>
      <c r="I159" s="78">
        <f t="shared" si="33"/>
        <v>0</v>
      </c>
      <c r="J159" s="110">
        <f t="shared" si="40"/>
        <v>75</v>
      </c>
      <c r="K159" s="4">
        <v>1.65</v>
      </c>
      <c r="L159" s="65" t="s">
        <v>1</v>
      </c>
      <c r="M159" s="80">
        <f t="shared" si="36"/>
        <v>1.65</v>
      </c>
      <c r="N159" s="78">
        <f t="shared" si="37"/>
        <v>123.75</v>
      </c>
      <c r="O159" s="111">
        <f t="shared" si="38"/>
        <v>123.75</v>
      </c>
      <c r="P159" s="125">
        <v>2.06</v>
      </c>
      <c r="Q159" s="49">
        <v>2.48</v>
      </c>
      <c r="R159" s="125"/>
      <c r="S159" s="134"/>
      <c r="T159" s="49"/>
      <c r="U159" s="49">
        <v>149151</v>
      </c>
    </row>
    <row r="160" spans="1:21" x14ac:dyDescent="0.25">
      <c r="A160" s="72"/>
      <c r="B160" s="64"/>
      <c r="C160" s="65"/>
      <c r="D160" s="7"/>
      <c r="E160" s="3"/>
      <c r="F160" s="3"/>
      <c r="G160" s="77" t="s">
        <v>1202</v>
      </c>
      <c r="H160" s="65"/>
      <c r="I160" s="78"/>
      <c r="J160" s="64"/>
      <c r="K160" s="4"/>
      <c r="L160" s="65"/>
      <c r="M160" s="80"/>
      <c r="N160" s="78"/>
      <c r="O160" s="111"/>
      <c r="P160" s="125"/>
      <c r="Q160" s="49"/>
      <c r="R160" s="125"/>
      <c r="S160" s="134"/>
      <c r="T160" s="49"/>
      <c r="U160" s="49"/>
    </row>
    <row r="161" spans="1:21" x14ac:dyDescent="0.25">
      <c r="A161" s="72">
        <v>1</v>
      </c>
      <c r="B161" s="64" t="s">
        <v>137</v>
      </c>
      <c r="C161" s="65">
        <v>1</v>
      </c>
      <c r="D161" s="7">
        <v>0</v>
      </c>
      <c r="E161" s="3">
        <f t="shared" si="39"/>
        <v>1</v>
      </c>
      <c r="F161" s="3" t="s">
        <v>867</v>
      </c>
      <c r="G161" s="77">
        <v>449.58</v>
      </c>
      <c r="H161" s="65" t="s">
        <v>1</v>
      </c>
      <c r="I161" s="78">
        <f t="shared" si="33"/>
        <v>449.58</v>
      </c>
      <c r="J161" s="110">
        <f>$O$4</f>
        <v>75</v>
      </c>
      <c r="K161" s="4">
        <v>1.9</v>
      </c>
      <c r="L161" s="65" t="s">
        <v>1</v>
      </c>
      <c r="M161" s="80">
        <f t="shared" ref="M161:M187" si="44">IF(L161="C",(K161/100)*E161,IF(L161="M",(K161/1000)*E161,K161*E161))</f>
        <v>1.9</v>
      </c>
      <c r="N161" s="78">
        <f t="shared" si="37"/>
        <v>142.5</v>
      </c>
      <c r="O161" s="111">
        <f t="shared" si="38"/>
        <v>592.07999999999993</v>
      </c>
      <c r="P161" s="125">
        <v>2.38</v>
      </c>
      <c r="Q161" s="49">
        <v>2.85</v>
      </c>
      <c r="R161" s="125">
        <v>4.4000000000000004</v>
      </c>
      <c r="S161" s="134">
        <v>5.5</v>
      </c>
      <c r="T161" s="49">
        <v>6.6</v>
      </c>
      <c r="U161" s="49">
        <v>149181</v>
      </c>
    </row>
    <row r="162" spans="1:21" x14ac:dyDescent="0.25">
      <c r="A162" s="72">
        <v>2</v>
      </c>
      <c r="B162" s="64" t="s">
        <v>325</v>
      </c>
      <c r="C162" s="65">
        <v>1</v>
      </c>
      <c r="D162" s="7">
        <v>0</v>
      </c>
      <c r="E162" s="3">
        <f t="shared" si="39"/>
        <v>1</v>
      </c>
      <c r="F162" s="3" t="s">
        <v>867</v>
      </c>
      <c r="G162" s="77">
        <v>662.02</v>
      </c>
      <c r="H162" s="65" t="s">
        <v>1</v>
      </c>
      <c r="I162" s="78">
        <f t="shared" si="33"/>
        <v>662.02</v>
      </c>
      <c r="J162" s="110">
        <f t="shared" ref="J162:J178" si="45">$O$4</f>
        <v>75</v>
      </c>
      <c r="K162" s="4">
        <v>2.1</v>
      </c>
      <c r="L162" s="65" t="s">
        <v>1</v>
      </c>
      <c r="M162" s="80">
        <f t="shared" si="44"/>
        <v>2.1</v>
      </c>
      <c r="N162" s="78">
        <f t="shared" si="37"/>
        <v>157.5</v>
      </c>
      <c r="O162" s="111">
        <f t="shared" si="38"/>
        <v>819.52</v>
      </c>
      <c r="P162" s="125">
        <v>2.63</v>
      </c>
      <c r="Q162" s="49">
        <v>3.15</v>
      </c>
      <c r="R162" s="125">
        <v>6.1</v>
      </c>
      <c r="S162" s="134">
        <v>7.63</v>
      </c>
      <c r="T162" s="49">
        <v>9.15</v>
      </c>
      <c r="U162" s="49">
        <v>149184</v>
      </c>
    </row>
    <row r="163" spans="1:21" x14ac:dyDescent="0.25">
      <c r="A163" s="72">
        <v>3</v>
      </c>
      <c r="B163" s="64" t="s">
        <v>326</v>
      </c>
      <c r="C163" s="65">
        <v>1</v>
      </c>
      <c r="D163" s="7">
        <v>0</v>
      </c>
      <c r="E163" s="3">
        <f t="shared" si="39"/>
        <v>1</v>
      </c>
      <c r="F163" s="3" t="s">
        <v>867</v>
      </c>
      <c r="G163" s="77">
        <v>0</v>
      </c>
      <c r="H163" s="65" t="s">
        <v>1</v>
      </c>
      <c r="I163" s="78">
        <f t="shared" si="33"/>
        <v>0</v>
      </c>
      <c r="J163" s="110">
        <f t="shared" si="45"/>
        <v>75</v>
      </c>
      <c r="K163" s="4">
        <v>2.2999999999999998</v>
      </c>
      <c r="L163" s="65" t="s">
        <v>1</v>
      </c>
      <c r="M163" s="80">
        <f t="shared" si="44"/>
        <v>2.2999999999999998</v>
      </c>
      <c r="N163" s="78">
        <f t="shared" si="37"/>
        <v>172.5</v>
      </c>
      <c r="O163" s="111">
        <f t="shared" si="38"/>
        <v>172.5</v>
      </c>
      <c r="P163" s="125">
        <v>2.88</v>
      </c>
      <c r="Q163" s="49">
        <v>3.45</v>
      </c>
      <c r="R163" s="125"/>
      <c r="S163" s="134"/>
      <c r="T163" s="49"/>
      <c r="U163" s="49">
        <v>149187</v>
      </c>
    </row>
    <row r="164" spans="1:21" x14ac:dyDescent="0.25">
      <c r="A164" s="72">
        <v>4</v>
      </c>
      <c r="B164" s="64" t="s">
        <v>327</v>
      </c>
      <c r="C164" s="65">
        <v>1</v>
      </c>
      <c r="D164" s="7">
        <v>0</v>
      </c>
      <c r="E164" s="3">
        <f t="shared" si="39"/>
        <v>1</v>
      </c>
      <c r="F164" s="3" t="s">
        <v>867</v>
      </c>
      <c r="G164" s="77">
        <v>0</v>
      </c>
      <c r="H164" s="65" t="s">
        <v>1</v>
      </c>
      <c r="I164" s="78">
        <f t="shared" si="33"/>
        <v>0</v>
      </c>
      <c r="J164" s="110">
        <f t="shared" si="45"/>
        <v>75</v>
      </c>
      <c r="K164" s="4">
        <v>2.2999999999999998</v>
      </c>
      <c r="L164" s="65" t="s">
        <v>1</v>
      </c>
      <c r="M164" s="80">
        <f t="shared" si="44"/>
        <v>2.2999999999999998</v>
      </c>
      <c r="N164" s="78">
        <f t="shared" si="37"/>
        <v>172.5</v>
      </c>
      <c r="O164" s="111">
        <f t="shared" si="38"/>
        <v>172.5</v>
      </c>
      <c r="P164" s="125">
        <v>2.88</v>
      </c>
      <c r="Q164" s="49">
        <v>3.45</v>
      </c>
      <c r="R164" s="125">
        <v>5.3</v>
      </c>
      <c r="S164" s="134">
        <v>6.63</v>
      </c>
      <c r="T164" s="49">
        <v>7.95</v>
      </c>
      <c r="U164" s="49">
        <v>149190</v>
      </c>
    </row>
    <row r="165" spans="1:21" x14ac:dyDescent="0.25">
      <c r="A165" s="72">
        <v>5</v>
      </c>
      <c r="B165" s="64" t="s">
        <v>328</v>
      </c>
      <c r="C165" s="65">
        <v>1</v>
      </c>
      <c r="D165" s="7">
        <v>0</v>
      </c>
      <c r="E165" s="3">
        <f t="shared" si="39"/>
        <v>1</v>
      </c>
      <c r="F165" s="3" t="s">
        <v>867</v>
      </c>
      <c r="G165" s="77">
        <v>0</v>
      </c>
      <c r="H165" s="65" t="s">
        <v>1</v>
      </c>
      <c r="I165" s="78">
        <f t="shared" si="33"/>
        <v>0</v>
      </c>
      <c r="J165" s="110">
        <f t="shared" si="45"/>
        <v>75</v>
      </c>
      <c r="K165" s="4">
        <v>2.2999999999999998</v>
      </c>
      <c r="L165" s="65" t="s">
        <v>1</v>
      </c>
      <c r="M165" s="80">
        <f t="shared" si="44"/>
        <v>2.2999999999999998</v>
      </c>
      <c r="N165" s="78">
        <f t="shared" si="37"/>
        <v>172.5</v>
      </c>
      <c r="O165" s="111">
        <f t="shared" si="38"/>
        <v>172.5</v>
      </c>
      <c r="P165" s="125">
        <v>2.88</v>
      </c>
      <c r="Q165" s="49">
        <v>3.45</v>
      </c>
      <c r="R165" s="125"/>
      <c r="S165" s="134"/>
      <c r="T165" s="49"/>
      <c r="U165" s="49">
        <v>149193</v>
      </c>
    </row>
    <row r="166" spans="1:21" x14ac:dyDescent="0.25">
      <c r="A166" s="72">
        <v>6</v>
      </c>
      <c r="B166" s="64" t="s">
        <v>329</v>
      </c>
      <c r="C166" s="65">
        <v>1</v>
      </c>
      <c r="D166" s="7">
        <v>0</v>
      </c>
      <c r="E166" s="3">
        <f t="shared" ref="E166" si="46">C166+(C166*D166)</f>
        <v>1</v>
      </c>
      <c r="F166" s="3" t="s">
        <v>867</v>
      </c>
      <c r="G166" s="77">
        <v>0</v>
      </c>
      <c r="H166" s="65" t="s">
        <v>1</v>
      </c>
      <c r="I166" s="78">
        <f t="shared" si="33"/>
        <v>0</v>
      </c>
      <c r="J166" s="110">
        <f t="shared" si="45"/>
        <v>75</v>
      </c>
      <c r="K166" s="4">
        <v>4.5</v>
      </c>
      <c r="L166" s="65" t="s">
        <v>1</v>
      </c>
      <c r="M166" s="80">
        <f t="shared" si="44"/>
        <v>4.5</v>
      </c>
      <c r="N166" s="78">
        <f t="shared" si="37"/>
        <v>337.5</v>
      </c>
      <c r="O166" s="111">
        <f t="shared" si="38"/>
        <v>337.5</v>
      </c>
      <c r="P166" s="125">
        <v>5.63</v>
      </c>
      <c r="Q166" s="49">
        <v>6.75</v>
      </c>
      <c r="R166" s="125">
        <v>5</v>
      </c>
      <c r="S166" s="134">
        <v>6.25</v>
      </c>
      <c r="T166" s="49">
        <v>7.5</v>
      </c>
      <c r="U166" s="49">
        <v>149196</v>
      </c>
    </row>
    <row r="167" spans="1:21" x14ac:dyDescent="0.25">
      <c r="A167" s="72">
        <v>7</v>
      </c>
      <c r="B167" s="64" t="s">
        <v>330</v>
      </c>
      <c r="C167" s="65">
        <v>1</v>
      </c>
      <c r="D167" s="7">
        <v>0</v>
      </c>
      <c r="E167" s="3">
        <f t="shared" si="39"/>
        <v>1</v>
      </c>
      <c r="F167" s="3" t="s">
        <v>867</v>
      </c>
      <c r="G167" s="77">
        <v>0</v>
      </c>
      <c r="H167" s="65" t="s">
        <v>1</v>
      </c>
      <c r="I167" s="78">
        <f t="shared" si="33"/>
        <v>0</v>
      </c>
      <c r="J167" s="110">
        <f t="shared" si="45"/>
        <v>75</v>
      </c>
      <c r="K167" s="4">
        <v>4.5</v>
      </c>
      <c r="L167" s="65" t="s">
        <v>1</v>
      </c>
      <c r="M167" s="80">
        <f t="shared" si="44"/>
        <v>4.5</v>
      </c>
      <c r="N167" s="78">
        <f t="shared" si="37"/>
        <v>337.5</v>
      </c>
      <c r="O167" s="111">
        <f t="shared" si="38"/>
        <v>337.5</v>
      </c>
      <c r="P167" s="125">
        <v>5.63</v>
      </c>
      <c r="Q167" s="49">
        <v>6.75</v>
      </c>
      <c r="R167" s="125">
        <v>5</v>
      </c>
      <c r="S167" s="134">
        <v>6.25</v>
      </c>
      <c r="T167" s="49">
        <v>7.5</v>
      </c>
      <c r="U167" s="49">
        <v>149199</v>
      </c>
    </row>
    <row r="168" spans="1:21" x14ac:dyDescent="0.25">
      <c r="A168" s="72">
        <v>8</v>
      </c>
      <c r="B168" s="64" t="s">
        <v>331</v>
      </c>
      <c r="C168" s="65">
        <v>1</v>
      </c>
      <c r="D168" s="7">
        <v>0</v>
      </c>
      <c r="E168" s="3">
        <f t="shared" si="39"/>
        <v>1</v>
      </c>
      <c r="F168" s="3" t="s">
        <v>867</v>
      </c>
      <c r="G168" s="77">
        <v>691.19</v>
      </c>
      <c r="H168" s="65" t="s">
        <v>1</v>
      </c>
      <c r="I168" s="78">
        <f t="shared" si="33"/>
        <v>691.19</v>
      </c>
      <c r="J168" s="110">
        <f t="shared" si="45"/>
        <v>75</v>
      </c>
      <c r="K168" s="4">
        <v>2.1</v>
      </c>
      <c r="L168" s="65" t="s">
        <v>1</v>
      </c>
      <c r="M168" s="80">
        <f t="shared" si="44"/>
        <v>2.1</v>
      </c>
      <c r="N168" s="78">
        <f t="shared" si="37"/>
        <v>157.5</v>
      </c>
      <c r="O168" s="111">
        <f t="shared" si="38"/>
        <v>848.69</v>
      </c>
      <c r="P168" s="125">
        <v>2.63</v>
      </c>
      <c r="Q168" s="49">
        <v>3.15</v>
      </c>
      <c r="R168" s="125"/>
      <c r="S168" s="134"/>
      <c r="T168" s="49"/>
      <c r="U168" s="49">
        <v>149202</v>
      </c>
    </row>
    <row r="169" spans="1:21" x14ac:dyDescent="0.25">
      <c r="A169" s="72">
        <v>9</v>
      </c>
      <c r="B169" s="64" t="s">
        <v>332</v>
      </c>
      <c r="C169" s="65">
        <v>1</v>
      </c>
      <c r="D169" s="7">
        <v>0</v>
      </c>
      <c r="E169" s="3">
        <f t="shared" si="39"/>
        <v>1</v>
      </c>
      <c r="F169" s="3" t="s">
        <v>867</v>
      </c>
      <c r="G169" s="77">
        <v>0</v>
      </c>
      <c r="H169" s="65" t="s">
        <v>1</v>
      </c>
      <c r="I169" s="78">
        <f t="shared" si="33"/>
        <v>0</v>
      </c>
      <c r="J169" s="110">
        <f t="shared" si="45"/>
        <v>75</v>
      </c>
      <c r="K169" s="4">
        <v>2.1</v>
      </c>
      <c r="L169" s="65" t="s">
        <v>1</v>
      </c>
      <c r="M169" s="80">
        <f t="shared" si="44"/>
        <v>2.1</v>
      </c>
      <c r="N169" s="78">
        <f t="shared" si="37"/>
        <v>157.5</v>
      </c>
      <c r="O169" s="111">
        <f t="shared" si="38"/>
        <v>157.5</v>
      </c>
      <c r="P169" s="125">
        <v>2.63</v>
      </c>
      <c r="Q169" s="49">
        <v>3.15</v>
      </c>
      <c r="R169" s="125"/>
      <c r="S169" s="134"/>
      <c r="T169" s="49"/>
      <c r="U169" s="49">
        <v>149205</v>
      </c>
    </row>
    <row r="170" spans="1:21" x14ac:dyDescent="0.25">
      <c r="A170" s="72">
        <v>10</v>
      </c>
      <c r="B170" s="64" t="s">
        <v>95</v>
      </c>
      <c r="C170" s="65">
        <v>1</v>
      </c>
      <c r="D170" s="7">
        <v>0</v>
      </c>
      <c r="E170" s="3">
        <f t="shared" si="39"/>
        <v>1</v>
      </c>
      <c r="F170" s="3" t="s">
        <v>867</v>
      </c>
      <c r="G170" s="77">
        <v>581.16</v>
      </c>
      <c r="H170" s="65" t="s">
        <v>1</v>
      </c>
      <c r="I170" s="78">
        <f t="shared" si="33"/>
        <v>581.16</v>
      </c>
      <c r="J170" s="110">
        <f t="shared" si="45"/>
        <v>75</v>
      </c>
      <c r="K170" s="4">
        <v>1.9</v>
      </c>
      <c r="L170" s="65" t="s">
        <v>1</v>
      </c>
      <c r="M170" s="80">
        <f t="shared" si="44"/>
        <v>1.9</v>
      </c>
      <c r="N170" s="78">
        <f t="shared" si="37"/>
        <v>142.5</v>
      </c>
      <c r="O170" s="111">
        <f t="shared" si="38"/>
        <v>723.66</v>
      </c>
      <c r="P170" s="125">
        <v>2.38</v>
      </c>
      <c r="Q170" s="49">
        <v>2.85</v>
      </c>
      <c r="R170" s="125">
        <v>4.4000000000000004</v>
      </c>
      <c r="S170" s="134">
        <v>5.5</v>
      </c>
      <c r="T170" s="49">
        <v>6.6</v>
      </c>
      <c r="U170" s="49">
        <v>149208</v>
      </c>
    </row>
    <row r="171" spans="1:21" x14ac:dyDescent="0.25">
      <c r="A171" s="72">
        <v>11</v>
      </c>
      <c r="B171" s="64" t="s">
        <v>333</v>
      </c>
      <c r="C171" s="65">
        <v>1</v>
      </c>
      <c r="D171" s="7">
        <v>0</v>
      </c>
      <c r="E171" s="3">
        <f t="shared" ref="E171" si="47">C171+(C171*D171)</f>
        <v>1</v>
      </c>
      <c r="F171" s="3" t="s">
        <v>867</v>
      </c>
      <c r="G171" s="77">
        <v>757.68</v>
      </c>
      <c r="H171" s="65" t="s">
        <v>1</v>
      </c>
      <c r="I171" s="78">
        <f t="shared" si="33"/>
        <v>757.68</v>
      </c>
      <c r="J171" s="110">
        <f t="shared" si="45"/>
        <v>75</v>
      </c>
      <c r="K171" s="4">
        <v>2.1</v>
      </c>
      <c r="L171" s="65" t="s">
        <v>1</v>
      </c>
      <c r="M171" s="80">
        <f t="shared" si="44"/>
        <v>2.1</v>
      </c>
      <c r="N171" s="78">
        <f t="shared" si="37"/>
        <v>157.5</v>
      </c>
      <c r="O171" s="111">
        <f t="shared" si="38"/>
        <v>915.18</v>
      </c>
      <c r="P171" s="125">
        <v>2.63</v>
      </c>
      <c r="Q171" s="49">
        <v>3.15</v>
      </c>
      <c r="R171" s="125">
        <v>4.8</v>
      </c>
      <c r="S171" s="134">
        <v>6</v>
      </c>
      <c r="T171" s="49">
        <v>7.2</v>
      </c>
      <c r="U171" s="49">
        <v>149211</v>
      </c>
    </row>
    <row r="172" spans="1:21" x14ac:dyDescent="0.25">
      <c r="A172" s="72">
        <v>12</v>
      </c>
      <c r="B172" s="64" t="s">
        <v>334</v>
      </c>
      <c r="C172" s="65">
        <v>1</v>
      </c>
      <c r="D172" s="7">
        <v>0</v>
      </c>
      <c r="E172" s="3">
        <f t="shared" si="39"/>
        <v>1</v>
      </c>
      <c r="F172" s="3" t="s">
        <v>867</v>
      </c>
      <c r="G172" s="146">
        <v>0</v>
      </c>
      <c r="H172" s="65" t="s">
        <v>1</v>
      </c>
      <c r="I172" s="78">
        <f t="shared" si="33"/>
        <v>0</v>
      </c>
      <c r="J172" s="110">
        <f t="shared" si="45"/>
        <v>75</v>
      </c>
      <c r="K172" s="4">
        <v>2.2999999999999998</v>
      </c>
      <c r="L172" s="65" t="s">
        <v>1</v>
      </c>
      <c r="M172" s="80">
        <f t="shared" si="44"/>
        <v>2.2999999999999998</v>
      </c>
      <c r="N172" s="78">
        <f t="shared" si="37"/>
        <v>172.5</v>
      </c>
      <c r="O172" s="111">
        <f t="shared" si="38"/>
        <v>172.5</v>
      </c>
      <c r="P172" s="125">
        <v>2.88</v>
      </c>
      <c r="Q172" s="49">
        <v>3.45</v>
      </c>
      <c r="R172" s="125"/>
      <c r="S172" s="134"/>
      <c r="T172" s="49"/>
      <c r="U172" s="49">
        <v>149214</v>
      </c>
    </row>
    <row r="173" spans="1:21" x14ac:dyDescent="0.25">
      <c r="A173" s="72">
        <v>13</v>
      </c>
      <c r="B173" s="64" t="s">
        <v>335</v>
      </c>
      <c r="C173" s="65">
        <v>1</v>
      </c>
      <c r="D173" s="7">
        <v>0</v>
      </c>
      <c r="E173" s="3">
        <f t="shared" si="39"/>
        <v>1</v>
      </c>
      <c r="F173" s="3" t="s">
        <v>867</v>
      </c>
      <c r="G173" s="146">
        <v>4912</v>
      </c>
      <c r="H173" s="65" t="s">
        <v>1</v>
      </c>
      <c r="I173" s="78">
        <f t="shared" si="33"/>
        <v>4912</v>
      </c>
      <c r="J173" s="110">
        <f t="shared" si="45"/>
        <v>75</v>
      </c>
      <c r="K173" s="4">
        <v>2.2999999999999998</v>
      </c>
      <c r="L173" s="65" t="s">
        <v>1</v>
      </c>
      <c r="M173" s="80">
        <f t="shared" si="44"/>
        <v>2.2999999999999998</v>
      </c>
      <c r="N173" s="78">
        <f t="shared" si="37"/>
        <v>172.5</v>
      </c>
      <c r="O173" s="111">
        <f t="shared" si="38"/>
        <v>5084.5</v>
      </c>
      <c r="P173" s="125">
        <v>2.88</v>
      </c>
      <c r="Q173" s="49">
        <v>3.45</v>
      </c>
      <c r="R173" s="125">
        <v>5.3</v>
      </c>
      <c r="S173" s="134">
        <v>6.63</v>
      </c>
      <c r="T173" s="49">
        <v>7.95</v>
      </c>
      <c r="U173" s="49">
        <v>149217</v>
      </c>
    </row>
    <row r="174" spans="1:21" x14ac:dyDescent="0.25">
      <c r="A174" s="72">
        <v>14</v>
      </c>
      <c r="B174" s="64" t="s">
        <v>336</v>
      </c>
      <c r="C174" s="65">
        <v>1</v>
      </c>
      <c r="D174" s="7">
        <v>0</v>
      </c>
      <c r="E174" s="3">
        <f t="shared" si="39"/>
        <v>1</v>
      </c>
      <c r="F174" s="3" t="s">
        <v>867</v>
      </c>
      <c r="G174" s="146">
        <v>0</v>
      </c>
      <c r="H174" s="65" t="s">
        <v>1</v>
      </c>
      <c r="I174" s="78">
        <f t="shared" si="33"/>
        <v>0</v>
      </c>
      <c r="J174" s="110">
        <f t="shared" si="45"/>
        <v>75</v>
      </c>
      <c r="K174" s="4">
        <v>2.2999999999999998</v>
      </c>
      <c r="L174" s="65" t="s">
        <v>1</v>
      </c>
      <c r="M174" s="80">
        <f t="shared" si="44"/>
        <v>2.2999999999999998</v>
      </c>
      <c r="N174" s="78">
        <f t="shared" si="37"/>
        <v>172.5</v>
      </c>
      <c r="O174" s="111">
        <f t="shared" si="38"/>
        <v>172.5</v>
      </c>
      <c r="P174" s="125">
        <v>2.88</v>
      </c>
      <c r="Q174" s="49">
        <v>3.45</v>
      </c>
      <c r="R174" s="125"/>
      <c r="S174" s="134"/>
      <c r="T174" s="49"/>
      <c r="U174" s="49">
        <v>149220</v>
      </c>
    </row>
    <row r="175" spans="1:21" x14ac:dyDescent="0.25">
      <c r="A175" s="72">
        <v>15</v>
      </c>
      <c r="B175" s="64" t="s">
        <v>337</v>
      </c>
      <c r="C175" s="65">
        <v>1</v>
      </c>
      <c r="D175" s="7">
        <v>0</v>
      </c>
      <c r="E175" s="3">
        <f t="shared" si="39"/>
        <v>1</v>
      </c>
      <c r="F175" s="3" t="s">
        <v>867</v>
      </c>
      <c r="G175" s="146">
        <v>4991</v>
      </c>
      <c r="H175" s="65" t="s">
        <v>1</v>
      </c>
      <c r="I175" s="78">
        <f t="shared" si="33"/>
        <v>4991</v>
      </c>
      <c r="J175" s="110">
        <f t="shared" si="45"/>
        <v>75</v>
      </c>
      <c r="K175" s="4">
        <v>4.5</v>
      </c>
      <c r="L175" s="65" t="s">
        <v>1</v>
      </c>
      <c r="M175" s="80">
        <f t="shared" si="44"/>
        <v>4.5</v>
      </c>
      <c r="N175" s="78">
        <f t="shared" si="37"/>
        <v>337.5</v>
      </c>
      <c r="O175" s="111">
        <f t="shared" si="38"/>
        <v>5328.5</v>
      </c>
      <c r="P175" s="125">
        <v>5.63</v>
      </c>
      <c r="Q175" s="49">
        <v>6.75</v>
      </c>
      <c r="R175" s="125">
        <v>5</v>
      </c>
      <c r="S175" s="134">
        <v>6.25</v>
      </c>
      <c r="T175" s="49">
        <v>7.5</v>
      </c>
      <c r="U175" s="49">
        <v>149223</v>
      </c>
    </row>
    <row r="176" spans="1:21" x14ac:dyDescent="0.25">
      <c r="A176" s="72">
        <v>16</v>
      </c>
      <c r="B176" s="64" t="s">
        <v>338</v>
      </c>
      <c r="C176" s="65">
        <v>1</v>
      </c>
      <c r="D176" s="7">
        <v>0</v>
      </c>
      <c r="E176" s="3">
        <f t="shared" si="39"/>
        <v>1</v>
      </c>
      <c r="F176" s="3" t="s">
        <v>867</v>
      </c>
      <c r="G176" s="146">
        <v>4991</v>
      </c>
      <c r="H176" s="65" t="s">
        <v>1</v>
      </c>
      <c r="I176" s="78">
        <f t="shared" si="33"/>
        <v>4991</v>
      </c>
      <c r="J176" s="110">
        <f t="shared" si="45"/>
        <v>75</v>
      </c>
      <c r="K176" s="4">
        <v>4.5</v>
      </c>
      <c r="L176" s="65" t="s">
        <v>1</v>
      </c>
      <c r="M176" s="80">
        <f t="shared" si="44"/>
        <v>4.5</v>
      </c>
      <c r="N176" s="78">
        <f t="shared" si="37"/>
        <v>337.5</v>
      </c>
      <c r="O176" s="111">
        <f t="shared" si="38"/>
        <v>5328.5</v>
      </c>
      <c r="P176" s="125">
        <v>5.63</v>
      </c>
      <c r="Q176" s="49">
        <v>6.75</v>
      </c>
      <c r="R176" s="125">
        <v>5</v>
      </c>
      <c r="S176" s="134">
        <v>6.25</v>
      </c>
      <c r="T176" s="49">
        <v>7.5</v>
      </c>
      <c r="U176" s="49">
        <v>149226</v>
      </c>
    </row>
    <row r="177" spans="1:21" x14ac:dyDescent="0.25">
      <c r="A177" s="72">
        <v>17</v>
      </c>
      <c r="B177" s="64" t="s">
        <v>339</v>
      </c>
      <c r="C177" s="65">
        <v>1</v>
      </c>
      <c r="D177" s="7">
        <v>0</v>
      </c>
      <c r="E177" s="3">
        <f t="shared" si="39"/>
        <v>1</v>
      </c>
      <c r="F177" s="3" t="s">
        <v>867</v>
      </c>
      <c r="G177" s="77">
        <v>955.45</v>
      </c>
      <c r="H177" s="65" t="s">
        <v>1</v>
      </c>
      <c r="I177" s="78">
        <f t="shared" si="33"/>
        <v>955.45</v>
      </c>
      <c r="J177" s="110">
        <f t="shared" si="45"/>
        <v>75</v>
      </c>
      <c r="K177" s="4">
        <v>2.1</v>
      </c>
      <c r="L177" s="65" t="s">
        <v>1</v>
      </c>
      <c r="M177" s="80">
        <f t="shared" si="44"/>
        <v>2.1</v>
      </c>
      <c r="N177" s="78">
        <f t="shared" si="37"/>
        <v>157.5</v>
      </c>
      <c r="O177" s="111">
        <f t="shared" si="38"/>
        <v>1112.95</v>
      </c>
      <c r="P177" s="125">
        <v>2.63</v>
      </c>
      <c r="Q177" s="49">
        <v>3.15</v>
      </c>
      <c r="R177" s="125"/>
      <c r="S177" s="134"/>
      <c r="T177" s="49"/>
      <c r="U177" s="49">
        <v>149229</v>
      </c>
    </row>
    <row r="178" spans="1:21" x14ac:dyDescent="0.25">
      <c r="A178" s="72">
        <v>18</v>
      </c>
      <c r="B178" s="64" t="s">
        <v>340</v>
      </c>
      <c r="C178" s="65">
        <v>1</v>
      </c>
      <c r="D178" s="7">
        <v>0</v>
      </c>
      <c r="E178" s="3">
        <f t="shared" si="39"/>
        <v>1</v>
      </c>
      <c r="F178" s="3" t="s">
        <v>867</v>
      </c>
      <c r="G178" s="77">
        <v>0</v>
      </c>
      <c r="H178" s="65" t="s">
        <v>1</v>
      </c>
      <c r="I178" s="78">
        <f t="shared" si="33"/>
        <v>0</v>
      </c>
      <c r="J178" s="110">
        <f t="shared" si="45"/>
        <v>75</v>
      </c>
      <c r="K178" s="4">
        <v>2.1</v>
      </c>
      <c r="L178" s="65" t="s">
        <v>1</v>
      </c>
      <c r="M178" s="80">
        <f t="shared" si="44"/>
        <v>2.1</v>
      </c>
      <c r="N178" s="78">
        <f t="shared" si="37"/>
        <v>157.5</v>
      </c>
      <c r="O178" s="111">
        <f t="shared" si="38"/>
        <v>157.5</v>
      </c>
      <c r="P178" s="125">
        <v>2.63</v>
      </c>
      <c r="Q178" s="49">
        <v>3.15</v>
      </c>
      <c r="R178" s="125"/>
      <c r="S178" s="134"/>
      <c r="T178" s="49"/>
      <c r="U178" s="49">
        <v>149232</v>
      </c>
    </row>
    <row r="179" spans="1:21" x14ac:dyDescent="0.25">
      <c r="A179" s="72"/>
      <c r="B179" s="64"/>
      <c r="C179" s="65"/>
      <c r="D179" s="7"/>
      <c r="E179" s="3"/>
      <c r="F179" s="3"/>
      <c r="G179" s="77" t="s">
        <v>1202</v>
      </c>
      <c r="H179" s="65"/>
      <c r="I179" s="78"/>
      <c r="J179" s="64"/>
      <c r="K179" s="4"/>
      <c r="L179" s="65"/>
      <c r="M179" s="80"/>
      <c r="N179" s="78"/>
      <c r="O179" s="111"/>
      <c r="P179" s="125"/>
      <c r="Q179" s="49"/>
      <c r="R179" s="125"/>
      <c r="S179" s="134"/>
      <c r="T179" s="49"/>
      <c r="U179" s="49"/>
    </row>
    <row r="180" spans="1:21" x14ac:dyDescent="0.25">
      <c r="A180" s="72">
        <v>1</v>
      </c>
      <c r="B180" s="64" t="s">
        <v>140</v>
      </c>
      <c r="C180" s="65">
        <v>1</v>
      </c>
      <c r="D180" s="7">
        <v>0</v>
      </c>
      <c r="E180" s="3">
        <f t="shared" si="39"/>
        <v>1</v>
      </c>
      <c r="F180" s="3" t="s">
        <v>867</v>
      </c>
      <c r="G180" s="77">
        <v>712.1</v>
      </c>
      <c r="H180" s="65" t="s">
        <v>1</v>
      </c>
      <c r="I180" s="78">
        <f t="shared" si="33"/>
        <v>712.1</v>
      </c>
      <c r="J180" s="110">
        <f>$O$4</f>
        <v>75</v>
      </c>
      <c r="K180" s="4">
        <v>3.1</v>
      </c>
      <c r="L180" s="65" t="s">
        <v>1</v>
      </c>
      <c r="M180" s="80">
        <f t="shared" si="44"/>
        <v>3.1</v>
      </c>
      <c r="N180" s="78">
        <f t="shared" si="37"/>
        <v>232.5</v>
      </c>
      <c r="O180" s="111">
        <f t="shared" si="38"/>
        <v>944.6</v>
      </c>
      <c r="P180" s="125">
        <v>3.88</v>
      </c>
      <c r="Q180" s="49">
        <v>4.6500000000000004</v>
      </c>
      <c r="R180" s="125">
        <v>7.7</v>
      </c>
      <c r="S180" s="134">
        <v>9.6300000000000008</v>
      </c>
      <c r="T180" s="49">
        <v>11.55</v>
      </c>
      <c r="U180" s="49">
        <v>149262</v>
      </c>
    </row>
    <row r="181" spans="1:21" x14ac:dyDescent="0.25">
      <c r="A181" s="72">
        <v>2</v>
      </c>
      <c r="B181" s="64" t="s">
        <v>341</v>
      </c>
      <c r="C181" s="65">
        <v>1</v>
      </c>
      <c r="D181" s="7">
        <v>0</v>
      </c>
      <c r="E181" s="3">
        <f t="shared" si="39"/>
        <v>1</v>
      </c>
      <c r="F181" s="3" t="s">
        <v>867</v>
      </c>
      <c r="G181" s="77">
        <v>856.14</v>
      </c>
      <c r="H181" s="65" t="s">
        <v>1</v>
      </c>
      <c r="I181" s="78">
        <f t="shared" si="33"/>
        <v>856.14</v>
      </c>
      <c r="J181" s="110">
        <f t="shared" ref="J181:J197" si="48">$O$4</f>
        <v>75</v>
      </c>
      <c r="K181" s="4">
        <v>3.4</v>
      </c>
      <c r="L181" s="65" t="s">
        <v>1</v>
      </c>
      <c r="M181" s="80">
        <f t="shared" si="44"/>
        <v>3.4</v>
      </c>
      <c r="N181" s="78">
        <f t="shared" si="37"/>
        <v>255</v>
      </c>
      <c r="O181" s="111">
        <f t="shared" si="38"/>
        <v>1111.1399999999999</v>
      </c>
      <c r="P181" s="125">
        <v>4.25</v>
      </c>
      <c r="Q181" s="49">
        <v>5.0999999999999996</v>
      </c>
      <c r="R181" s="125">
        <v>9.9</v>
      </c>
      <c r="S181" s="134">
        <v>12.38</v>
      </c>
      <c r="T181" s="49">
        <v>14.85</v>
      </c>
      <c r="U181" s="49">
        <v>149265</v>
      </c>
    </row>
    <row r="182" spans="1:21" x14ac:dyDescent="0.25">
      <c r="A182" s="72">
        <v>3</v>
      </c>
      <c r="B182" s="64" t="s">
        <v>342</v>
      </c>
      <c r="C182" s="65">
        <v>1</v>
      </c>
      <c r="D182" s="7">
        <v>0</v>
      </c>
      <c r="E182" s="3">
        <f t="shared" si="39"/>
        <v>1</v>
      </c>
      <c r="F182" s="3" t="s">
        <v>867</v>
      </c>
      <c r="G182" s="77">
        <v>0</v>
      </c>
      <c r="H182" s="65" t="s">
        <v>1</v>
      </c>
      <c r="I182" s="78">
        <f t="shared" si="33"/>
        <v>0</v>
      </c>
      <c r="J182" s="110">
        <f t="shared" si="48"/>
        <v>75</v>
      </c>
      <c r="K182" s="4">
        <v>3.75</v>
      </c>
      <c r="L182" s="65" t="s">
        <v>1</v>
      </c>
      <c r="M182" s="80">
        <f t="shared" si="44"/>
        <v>3.75</v>
      </c>
      <c r="N182" s="78">
        <f t="shared" si="37"/>
        <v>281.25</v>
      </c>
      <c r="O182" s="111">
        <f t="shared" si="38"/>
        <v>281.25</v>
      </c>
      <c r="P182" s="125">
        <v>4.6900000000000004</v>
      </c>
      <c r="Q182" s="49">
        <v>5.63</v>
      </c>
      <c r="R182" s="125"/>
      <c r="S182" s="134"/>
      <c r="T182" s="49"/>
      <c r="U182" s="49">
        <v>149268</v>
      </c>
    </row>
    <row r="183" spans="1:21" x14ac:dyDescent="0.25">
      <c r="A183" s="72">
        <v>4</v>
      </c>
      <c r="B183" s="64" t="s">
        <v>343</v>
      </c>
      <c r="C183" s="65">
        <v>1</v>
      </c>
      <c r="D183" s="7">
        <v>0</v>
      </c>
      <c r="E183" s="3">
        <f t="shared" si="39"/>
        <v>1</v>
      </c>
      <c r="F183" s="3" t="s">
        <v>867</v>
      </c>
      <c r="G183" s="77">
        <v>0</v>
      </c>
      <c r="H183" s="65" t="s">
        <v>1</v>
      </c>
      <c r="I183" s="78">
        <f t="shared" si="33"/>
        <v>0</v>
      </c>
      <c r="J183" s="110">
        <f t="shared" si="48"/>
        <v>75</v>
      </c>
      <c r="K183" s="4">
        <v>3.75</v>
      </c>
      <c r="L183" s="65" t="s">
        <v>1</v>
      </c>
      <c r="M183" s="80">
        <f t="shared" si="44"/>
        <v>3.75</v>
      </c>
      <c r="N183" s="78">
        <f t="shared" si="37"/>
        <v>281.25</v>
      </c>
      <c r="O183" s="111">
        <f t="shared" si="38"/>
        <v>281.25</v>
      </c>
      <c r="P183" s="125">
        <v>4.6900000000000004</v>
      </c>
      <c r="Q183" s="49">
        <v>5.63</v>
      </c>
      <c r="R183" s="125">
        <v>9.1999999999999993</v>
      </c>
      <c r="S183" s="134">
        <v>11.5</v>
      </c>
      <c r="T183" s="49">
        <v>13.8</v>
      </c>
      <c r="U183" s="49">
        <v>149271</v>
      </c>
    </row>
    <row r="184" spans="1:21" x14ac:dyDescent="0.25">
      <c r="A184" s="72">
        <v>5</v>
      </c>
      <c r="B184" s="64" t="s">
        <v>344</v>
      </c>
      <c r="C184" s="65">
        <v>1</v>
      </c>
      <c r="D184" s="7">
        <v>0</v>
      </c>
      <c r="E184" s="3">
        <f t="shared" si="39"/>
        <v>1</v>
      </c>
      <c r="F184" s="3" t="s">
        <v>867</v>
      </c>
      <c r="G184" s="77">
        <v>0</v>
      </c>
      <c r="H184" s="65" t="s">
        <v>1</v>
      </c>
      <c r="I184" s="78">
        <f t="shared" si="33"/>
        <v>0</v>
      </c>
      <c r="J184" s="110">
        <f t="shared" si="48"/>
        <v>75</v>
      </c>
      <c r="K184" s="4">
        <v>3.75</v>
      </c>
      <c r="L184" s="65" t="s">
        <v>1</v>
      </c>
      <c r="M184" s="80">
        <f t="shared" si="44"/>
        <v>3.75</v>
      </c>
      <c r="N184" s="78">
        <f t="shared" si="37"/>
        <v>281.25</v>
      </c>
      <c r="O184" s="111">
        <f t="shared" si="38"/>
        <v>281.25</v>
      </c>
      <c r="P184" s="125">
        <v>4.6900000000000004</v>
      </c>
      <c r="Q184" s="49">
        <v>5.63</v>
      </c>
      <c r="R184" s="125"/>
      <c r="S184" s="134"/>
      <c r="T184" s="49"/>
      <c r="U184" s="49">
        <v>149274</v>
      </c>
    </row>
    <row r="185" spans="1:21" x14ac:dyDescent="0.25">
      <c r="A185" s="72">
        <v>6</v>
      </c>
      <c r="B185" s="64" t="s">
        <v>345</v>
      </c>
      <c r="C185" s="65">
        <v>1</v>
      </c>
      <c r="D185" s="7">
        <v>0</v>
      </c>
      <c r="E185" s="3">
        <f t="shared" si="39"/>
        <v>1</v>
      </c>
      <c r="F185" s="3" t="s">
        <v>867</v>
      </c>
      <c r="G185" s="77">
        <v>0</v>
      </c>
      <c r="H185" s="65" t="s">
        <v>1</v>
      </c>
      <c r="I185" s="78">
        <f t="shared" si="33"/>
        <v>0</v>
      </c>
      <c r="J185" s="110">
        <f t="shared" si="48"/>
        <v>75</v>
      </c>
      <c r="K185" s="4">
        <v>6</v>
      </c>
      <c r="L185" s="65" t="s">
        <v>1</v>
      </c>
      <c r="M185" s="80">
        <f t="shared" si="44"/>
        <v>6</v>
      </c>
      <c r="N185" s="78">
        <f t="shared" si="37"/>
        <v>450</v>
      </c>
      <c r="O185" s="111">
        <f t="shared" si="38"/>
        <v>450</v>
      </c>
      <c r="P185" s="125">
        <v>7.5</v>
      </c>
      <c r="Q185" s="49">
        <v>9</v>
      </c>
      <c r="R185" s="125">
        <v>7</v>
      </c>
      <c r="S185" s="134">
        <v>8.75</v>
      </c>
      <c r="T185" s="49">
        <v>10</v>
      </c>
      <c r="U185" s="49">
        <v>149277</v>
      </c>
    </row>
    <row r="186" spans="1:21" x14ac:dyDescent="0.25">
      <c r="A186" s="72">
        <v>7</v>
      </c>
      <c r="B186" s="64" t="s">
        <v>346</v>
      </c>
      <c r="C186" s="65">
        <v>1</v>
      </c>
      <c r="D186" s="7">
        <v>0</v>
      </c>
      <c r="E186" s="3">
        <f t="shared" si="39"/>
        <v>1</v>
      </c>
      <c r="F186" s="3" t="s">
        <v>867</v>
      </c>
      <c r="G186" s="77">
        <v>0</v>
      </c>
      <c r="H186" s="65" t="s">
        <v>1</v>
      </c>
      <c r="I186" s="78">
        <f t="shared" si="33"/>
        <v>0</v>
      </c>
      <c r="J186" s="110">
        <f t="shared" si="48"/>
        <v>75</v>
      </c>
      <c r="K186" s="4">
        <v>6</v>
      </c>
      <c r="L186" s="65" t="s">
        <v>1</v>
      </c>
      <c r="M186" s="80">
        <f t="shared" si="44"/>
        <v>6</v>
      </c>
      <c r="N186" s="78">
        <f t="shared" si="37"/>
        <v>450</v>
      </c>
      <c r="O186" s="111">
        <f t="shared" si="38"/>
        <v>450</v>
      </c>
      <c r="P186" s="125">
        <v>7.5</v>
      </c>
      <c r="Q186" s="49">
        <v>9</v>
      </c>
      <c r="R186" s="125">
        <v>7</v>
      </c>
      <c r="S186" s="134">
        <v>8.75</v>
      </c>
      <c r="T186" s="49">
        <v>10</v>
      </c>
      <c r="U186" s="49">
        <v>149280</v>
      </c>
    </row>
    <row r="187" spans="1:21" x14ac:dyDescent="0.25">
      <c r="A187" s="72">
        <v>8</v>
      </c>
      <c r="B187" s="64" t="s">
        <v>347</v>
      </c>
      <c r="C187" s="65">
        <v>1</v>
      </c>
      <c r="D187" s="7">
        <v>0</v>
      </c>
      <c r="E187" s="3">
        <f t="shared" si="39"/>
        <v>1</v>
      </c>
      <c r="F187" s="3" t="s">
        <v>867</v>
      </c>
      <c r="G187" s="77">
        <v>1094.33</v>
      </c>
      <c r="H187" s="65" t="s">
        <v>1</v>
      </c>
      <c r="I187" s="78">
        <f t="shared" ref="I187:I250" si="49">IF(H187="C",(G187/100)*E187,IF(H187="M",(G187/1000)*E187,G187*E187))</f>
        <v>1094.33</v>
      </c>
      <c r="J187" s="110">
        <f t="shared" si="48"/>
        <v>75</v>
      </c>
      <c r="K187" s="4">
        <v>3.4</v>
      </c>
      <c r="L187" s="65" t="s">
        <v>1</v>
      </c>
      <c r="M187" s="80">
        <f t="shared" si="44"/>
        <v>3.4</v>
      </c>
      <c r="N187" s="78">
        <f t="shared" si="37"/>
        <v>255</v>
      </c>
      <c r="O187" s="111">
        <f t="shared" si="38"/>
        <v>1349.33</v>
      </c>
      <c r="P187" s="125">
        <v>4.25</v>
      </c>
      <c r="Q187" s="49">
        <v>5.0999999999999996</v>
      </c>
      <c r="R187" s="125"/>
      <c r="S187" s="134"/>
      <c r="T187" s="49"/>
      <c r="U187" s="49">
        <v>149283</v>
      </c>
    </row>
    <row r="188" spans="1:21" x14ac:dyDescent="0.25">
      <c r="A188" s="72">
        <v>9</v>
      </c>
      <c r="B188" s="64" t="s">
        <v>348</v>
      </c>
      <c r="C188" s="65">
        <v>1</v>
      </c>
      <c r="D188" s="7">
        <v>0</v>
      </c>
      <c r="E188" s="3">
        <f t="shared" ref="E188:E238" si="50">C188+(C188*D188)</f>
        <v>1</v>
      </c>
      <c r="F188" s="3" t="s">
        <v>867</v>
      </c>
      <c r="G188" s="77">
        <v>0</v>
      </c>
      <c r="H188" s="65" t="s">
        <v>1</v>
      </c>
      <c r="I188" s="78">
        <f t="shared" si="49"/>
        <v>0</v>
      </c>
      <c r="J188" s="110">
        <f t="shared" si="48"/>
        <v>75</v>
      </c>
      <c r="K188" s="4">
        <v>3.4</v>
      </c>
      <c r="L188" s="65" t="s">
        <v>1</v>
      </c>
      <c r="M188" s="80">
        <f t="shared" ref="M188:M238" si="51">IF(L188="C",(K188/100)*E188,IF(L188="M",(K188/1000)*E188,K188*E188))</f>
        <v>3.4</v>
      </c>
      <c r="N188" s="78">
        <f t="shared" ref="N188:N238" si="52">M188*J188</f>
        <v>255</v>
      </c>
      <c r="O188" s="111">
        <f t="shared" ref="O188:O238" si="53">N188+I188</f>
        <v>255</v>
      </c>
      <c r="P188" s="125">
        <v>4.25</v>
      </c>
      <c r="Q188" s="49">
        <v>5.0999999999999996</v>
      </c>
      <c r="R188" s="125"/>
      <c r="S188" s="134"/>
      <c r="T188" s="49"/>
      <c r="U188" s="49">
        <v>149286</v>
      </c>
    </row>
    <row r="189" spans="1:21" x14ac:dyDescent="0.25">
      <c r="A189" s="72">
        <v>10</v>
      </c>
      <c r="B189" s="64" t="s">
        <v>98</v>
      </c>
      <c r="C189" s="65">
        <v>1</v>
      </c>
      <c r="D189" s="7">
        <v>0</v>
      </c>
      <c r="E189" s="3">
        <f t="shared" si="50"/>
        <v>1</v>
      </c>
      <c r="F189" s="3" t="s">
        <v>867</v>
      </c>
      <c r="G189" s="77">
        <v>827.47</v>
      </c>
      <c r="H189" s="65" t="s">
        <v>1</v>
      </c>
      <c r="I189" s="78">
        <f t="shared" si="49"/>
        <v>827.47</v>
      </c>
      <c r="J189" s="110">
        <f t="shared" si="48"/>
        <v>75</v>
      </c>
      <c r="K189" s="4">
        <v>3.1</v>
      </c>
      <c r="L189" s="65" t="s">
        <v>1</v>
      </c>
      <c r="M189" s="80">
        <f t="shared" si="51"/>
        <v>3.1</v>
      </c>
      <c r="N189" s="78">
        <f t="shared" si="52"/>
        <v>232.5</v>
      </c>
      <c r="O189" s="111">
        <f t="shared" si="53"/>
        <v>1059.97</v>
      </c>
      <c r="P189" s="125">
        <v>3.88</v>
      </c>
      <c r="Q189" s="49">
        <v>4.6500000000000004</v>
      </c>
      <c r="R189" s="125">
        <v>7.7</v>
      </c>
      <c r="S189" s="134">
        <v>9.6300000000000008</v>
      </c>
      <c r="T189" s="49">
        <v>11.55</v>
      </c>
      <c r="U189" s="49">
        <v>149289</v>
      </c>
    </row>
    <row r="190" spans="1:21" x14ac:dyDescent="0.25">
      <c r="A190" s="72">
        <v>11</v>
      </c>
      <c r="B190" s="64" t="s">
        <v>349</v>
      </c>
      <c r="C190" s="65">
        <v>1</v>
      </c>
      <c r="D190" s="7">
        <v>0</v>
      </c>
      <c r="E190" s="3">
        <f t="shared" si="50"/>
        <v>1</v>
      </c>
      <c r="F190" s="3" t="s">
        <v>867</v>
      </c>
      <c r="G190" s="77">
        <v>1089.1400000000001</v>
      </c>
      <c r="H190" s="65" t="s">
        <v>1</v>
      </c>
      <c r="I190" s="78">
        <f t="shared" si="49"/>
        <v>1089.1400000000001</v>
      </c>
      <c r="J190" s="110">
        <f t="shared" si="48"/>
        <v>75</v>
      </c>
      <c r="K190" s="4">
        <v>3.4</v>
      </c>
      <c r="L190" s="65" t="s">
        <v>1</v>
      </c>
      <c r="M190" s="80">
        <f t="shared" si="51"/>
        <v>3.4</v>
      </c>
      <c r="N190" s="78">
        <f t="shared" si="52"/>
        <v>255</v>
      </c>
      <c r="O190" s="111">
        <f t="shared" si="53"/>
        <v>1344.14</v>
      </c>
      <c r="P190" s="125">
        <v>4.25</v>
      </c>
      <c r="Q190" s="49">
        <v>5.0999999999999996</v>
      </c>
      <c r="R190" s="125">
        <v>8.5</v>
      </c>
      <c r="S190" s="134">
        <v>10.63</v>
      </c>
      <c r="T190" s="49">
        <v>12.75</v>
      </c>
      <c r="U190" s="49">
        <v>149292</v>
      </c>
    </row>
    <row r="191" spans="1:21" x14ac:dyDescent="0.25">
      <c r="A191" s="72">
        <v>12</v>
      </c>
      <c r="B191" s="64" t="s">
        <v>350</v>
      </c>
      <c r="C191" s="65">
        <v>1</v>
      </c>
      <c r="D191" s="7">
        <v>0</v>
      </c>
      <c r="E191" s="3">
        <f t="shared" si="50"/>
        <v>1</v>
      </c>
      <c r="F191" s="3" t="s">
        <v>867</v>
      </c>
      <c r="G191" s="77">
        <v>0</v>
      </c>
      <c r="H191" s="65" t="s">
        <v>1</v>
      </c>
      <c r="I191" s="78">
        <f t="shared" si="49"/>
        <v>0</v>
      </c>
      <c r="J191" s="110">
        <f t="shared" si="48"/>
        <v>75</v>
      </c>
      <c r="K191" s="4">
        <v>3.75</v>
      </c>
      <c r="L191" s="65" t="s">
        <v>1</v>
      </c>
      <c r="M191" s="80">
        <f t="shared" si="51"/>
        <v>3.75</v>
      </c>
      <c r="N191" s="78">
        <f t="shared" si="52"/>
        <v>281.25</v>
      </c>
      <c r="O191" s="111">
        <f t="shared" si="53"/>
        <v>281.25</v>
      </c>
      <c r="P191" s="125">
        <v>4.6900000000000004</v>
      </c>
      <c r="Q191" s="49">
        <v>5.63</v>
      </c>
      <c r="R191" s="125"/>
      <c r="S191" s="134"/>
      <c r="T191" s="49"/>
      <c r="U191" s="49">
        <v>149295</v>
      </c>
    </row>
    <row r="192" spans="1:21" x14ac:dyDescent="0.25">
      <c r="A192" s="72">
        <v>13</v>
      </c>
      <c r="B192" s="64" t="s">
        <v>351</v>
      </c>
      <c r="C192" s="65">
        <v>1</v>
      </c>
      <c r="D192" s="7">
        <v>0</v>
      </c>
      <c r="E192" s="3">
        <f t="shared" si="50"/>
        <v>1</v>
      </c>
      <c r="F192" s="3" t="s">
        <v>867</v>
      </c>
      <c r="G192" s="77">
        <v>0</v>
      </c>
      <c r="H192" s="65" t="s">
        <v>1</v>
      </c>
      <c r="I192" s="78">
        <f t="shared" si="49"/>
        <v>0</v>
      </c>
      <c r="J192" s="110">
        <f t="shared" si="48"/>
        <v>75</v>
      </c>
      <c r="K192" s="4">
        <v>3.75</v>
      </c>
      <c r="L192" s="65" t="s">
        <v>1</v>
      </c>
      <c r="M192" s="80">
        <f t="shared" si="51"/>
        <v>3.75</v>
      </c>
      <c r="N192" s="78">
        <f t="shared" si="52"/>
        <v>281.25</v>
      </c>
      <c r="O192" s="111">
        <f t="shared" si="53"/>
        <v>281.25</v>
      </c>
      <c r="P192" s="125">
        <v>4.6900000000000004</v>
      </c>
      <c r="Q192" s="49">
        <v>5.63</v>
      </c>
      <c r="R192" s="125">
        <v>9.1999999999999993</v>
      </c>
      <c r="S192" s="134">
        <v>11.5</v>
      </c>
      <c r="T192" s="49">
        <v>13.8</v>
      </c>
      <c r="U192" s="49">
        <v>149298</v>
      </c>
    </row>
    <row r="193" spans="1:21" x14ac:dyDescent="0.25">
      <c r="A193" s="72">
        <v>14</v>
      </c>
      <c r="B193" s="64" t="s">
        <v>352</v>
      </c>
      <c r="C193" s="65">
        <v>1</v>
      </c>
      <c r="D193" s="7">
        <v>0</v>
      </c>
      <c r="E193" s="3">
        <f t="shared" si="50"/>
        <v>1</v>
      </c>
      <c r="F193" s="3" t="s">
        <v>867</v>
      </c>
      <c r="G193" s="77">
        <v>0</v>
      </c>
      <c r="H193" s="65" t="s">
        <v>1</v>
      </c>
      <c r="I193" s="78">
        <f t="shared" si="49"/>
        <v>0</v>
      </c>
      <c r="J193" s="110">
        <f t="shared" si="48"/>
        <v>75</v>
      </c>
      <c r="K193" s="4">
        <v>3.75</v>
      </c>
      <c r="L193" s="65" t="s">
        <v>1</v>
      </c>
      <c r="M193" s="80">
        <f t="shared" si="51"/>
        <v>3.75</v>
      </c>
      <c r="N193" s="78">
        <f t="shared" si="52"/>
        <v>281.25</v>
      </c>
      <c r="O193" s="111">
        <f t="shared" si="53"/>
        <v>281.25</v>
      </c>
      <c r="P193" s="125">
        <v>4.6900000000000004</v>
      </c>
      <c r="Q193" s="49">
        <v>5.63</v>
      </c>
      <c r="R193" s="125"/>
      <c r="S193" s="134"/>
      <c r="T193" s="49"/>
      <c r="U193" s="49">
        <v>149301</v>
      </c>
    </row>
    <row r="194" spans="1:21" x14ac:dyDescent="0.25">
      <c r="A194" s="72">
        <v>15</v>
      </c>
      <c r="B194" s="64" t="s">
        <v>353</v>
      </c>
      <c r="C194" s="65">
        <v>1</v>
      </c>
      <c r="D194" s="7">
        <v>0</v>
      </c>
      <c r="E194" s="3">
        <f t="shared" si="50"/>
        <v>1</v>
      </c>
      <c r="F194" s="3" t="s">
        <v>867</v>
      </c>
      <c r="G194" s="77">
        <v>0</v>
      </c>
      <c r="H194" s="65" t="s">
        <v>1</v>
      </c>
      <c r="I194" s="78">
        <f t="shared" si="49"/>
        <v>0</v>
      </c>
      <c r="J194" s="110">
        <f t="shared" si="48"/>
        <v>75</v>
      </c>
      <c r="K194" s="4">
        <v>6</v>
      </c>
      <c r="L194" s="65" t="s">
        <v>1</v>
      </c>
      <c r="M194" s="80">
        <f t="shared" si="51"/>
        <v>6</v>
      </c>
      <c r="N194" s="78">
        <f t="shared" si="52"/>
        <v>450</v>
      </c>
      <c r="O194" s="111">
        <f t="shared" si="53"/>
        <v>450</v>
      </c>
      <c r="P194" s="125">
        <v>7.5</v>
      </c>
      <c r="Q194" s="49">
        <v>9</v>
      </c>
      <c r="R194" s="125">
        <v>7</v>
      </c>
      <c r="S194" s="134">
        <v>8.75</v>
      </c>
      <c r="T194" s="49">
        <v>10</v>
      </c>
      <c r="U194" s="49">
        <v>149304</v>
      </c>
    </row>
    <row r="195" spans="1:21" x14ac:dyDescent="0.25">
      <c r="A195" s="72">
        <v>16</v>
      </c>
      <c r="B195" s="64" t="s">
        <v>354</v>
      </c>
      <c r="C195" s="65">
        <v>1</v>
      </c>
      <c r="D195" s="7">
        <v>0</v>
      </c>
      <c r="E195" s="3">
        <f t="shared" si="50"/>
        <v>1</v>
      </c>
      <c r="F195" s="3" t="s">
        <v>867</v>
      </c>
      <c r="G195" s="77">
        <v>0</v>
      </c>
      <c r="H195" s="65" t="s">
        <v>1</v>
      </c>
      <c r="I195" s="78">
        <f t="shared" si="49"/>
        <v>0</v>
      </c>
      <c r="J195" s="110">
        <f t="shared" si="48"/>
        <v>75</v>
      </c>
      <c r="K195" s="4">
        <v>6</v>
      </c>
      <c r="L195" s="65" t="s">
        <v>1</v>
      </c>
      <c r="M195" s="80">
        <f t="shared" si="51"/>
        <v>6</v>
      </c>
      <c r="N195" s="78">
        <f t="shared" si="52"/>
        <v>450</v>
      </c>
      <c r="O195" s="111">
        <f t="shared" si="53"/>
        <v>450</v>
      </c>
      <c r="P195" s="125">
        <v>7.5</v>
      </c>
      <c r="Q195" s="49">
        <v>9</v>
      </c>
      <c r="R195" s="125">
        <v>7</v>
      </c>
      <c r="S195" s="134">
        <v>8.75</v>
      </c>
      <c r="T195" s="49">
        <v>10</v>
      </c>
      <c r="U195" s="49">
        <v>149307</v>
      </c>
    </row>
    <row r="196" spans="1:21" x14ac:dyDescent="0.25">
      <c r="A196" s="72">
        <v>17</v>
      </c>
      <c r="B196" s="64" t="s">
        <v>355</v>
      </c>
      <c r="C196" s="65">
        <v>1</v>
      </c>
      <c r="D196" s="7">
        <v>0</v>
      </c>
      <c r="E196" s="3">
        <f t="shared" si="50"/>
        <v>1</v>
      </c>
      <c r="F196" s="3" t="s">
        <v>867</v>
      </c>
      <c r="G196" s="77">
        <v>1323.89</v>
      </c>
      <c r="H196" s="65" t="s">
        <v>1</v>
      </c>
      <c r="I196" s="78">
        <f t="shared" si="49"/>
        <v>1323.89</v>
      </c>
      <c r="J196" s="110">
        <f t="shared" si="48"/>
        <v>75</v>
      </c>
      <c r="K196" s="4">
        <v>3.4</v>
      </c>
      <c r="L196" s="65" t="s">
        <v>1</v>
      </c>
      <c r="M196" s="80">
        <f t="shared" si="51"/>
        <v>3.4</v>
      </c>
      <c r="N196" s="78">
        <f t="shared" si="52"/>
        <v>255</v>
      </c>
      <c r="O196" s="111">
        <f t="shared" si="53"/>
        <v>1578.89</v>
      </c>
      <c r="P196" s="125">
        <v>4.25</v>
      </c>
      <c r="Q196" s="49">
        <v>5.0999999999999996</v>
      </c>
      <c r="R196" s="125"/>
      <c r="S196" s="134"/>
      <c r="T196" s="49"/>
      <c r="U196" s="49">
        <v>149310</v>
      </c>
    </row>
    <row r="197" spans="1:21" x14ac:dyDescent="0.25">
      <c r="A197" s="72">
        <v>18</v>
      </c>
      <c r="B197" s="64" t="s">
        <v>356</v>
      </c>
      <c r="C197" s="65">
        <v>1</v>
      </c>
      <c r="D197" s="7">
        <v>0</v>
      </c>
      <c r="E197" s="3">
        <f t="shared" si="50"/>
        <v>1</v>
      </c>
      <c r="F197" s="3" t="s">
        <v>867</v>
      </c>
      <c r="G197" s="77">
        <v>0</v>
      </c>
      <c r="H197" s="65" t="s">
        <v>1</v>
      </c>
      <c r="I197" s="78">
        <f t="shared" si="49"/>
        <v>0</v>
      </c>
      <c r="J197" s="110">
        <f t="shared" si="48"/>
        <v>75</v>
      </c>
      <c r="K197" s="4">
        <v>3.4</v>
      </c>
      <c r="L197" s="65" t="s">
        <v>1</v>
      </c>
      <c r="M197" s="80">
        <f t="shared" si="51"/>
        <v>3.4</v>
      </c>
      <c r="N197" s="78">
        <f t="shared" si="52"/>
        <v>255</v>
      </c>
      <c r="O197" s="111">
        <f t="shared" si="53"/>
        <v>255</v>
      </c>
      <c r="P197" s="125">
        <v>4.25</v>
      </c>
      <c r="Q197" s="49">
        <v>5.0999999999999996</v>
      </c>
      <c r="R197" s="125"/>
      <c r="S197" s="134"/>
      <c r="T197" s="49"/>
      <c r="U197" s="49">
        <v>149313</v>
      </c>
    </row>
    <row r="198" spans="1:21" x14ac:dyDescent="0.25">
      <c r="A198" s="72"/>
      <c r="B198" s="64"/>
      <c r="C198" s="65"/>
      <c r="D198" s="7"/>
      <c r="E198" s="3"/>
      <c r="F198" s="3"/>
      <c r="G198" s="77" t="s">
        <v>1202</v>
      </c>
      <c r="H198" s="65"/>
      <c r="I198" s="78"/>
      <c r="J198" s="64"/>
      <c r="K198" s="4"/>
      <c r="L198" s="65"/>
      <c r="M198" s="80"/>
      <c r="N198" s="78"/>
      <c r="O198" s="111"/>
      <c r="P198" s="125"/>
      <c r="Q198" s="49"/>
      <c r="R198" s="125"/>
      <c r="S198" s="134"/>
      <c r="T198" s="49"/>
      <c r="U198" s="49"/>
    </row>
    <row r="199" spans="1:21" x14ac:dyDescent="0.25">
      <c r="A199" s="72">
        <v>1</v>
      </c>
      <c r="B199" s="64" t="s">
        <v>143</v>
      </c>
      <c r="C199" s="65">
        <v>1</v>
      </c>
      <c r="D199" s="7">
        <v>0</v>
      </c>
      <c r="E199" s="3">
        <f t="shared" si="50"/>
        <v>1</v>
      </c>
      <c r="F199" s="3" t="s">
        <v>867</v>
      </c>
      <c r="G199" s="77">
        <v>1465.71</v>
      </c>
      <c r="H199" s="65" t="s">
        <v>1</v>
      </c>
      <c r="I199" s="78">
        <f t="shared" si="49"/>
        <v>1465.71</v>
      </c>
      <c r="J199" s="110">
        <f>$O$4</f>
        <v>75</v>
      </c>
      <c r="K199" s="4">
        <v>4.4000000000000004</v>
      </c>
      <c r="L199" s="65" t="s">
        <v>1</v>
      </c>
      <c r="M199" s="80">
        <f t="shared" si="51"/>
        <v>4.4000000000000004</v>
      </c>
      <c r="N199" s="78">
        <f t="shared" si="52"/>
        <v>330</v>
      </c>
      <c r="O199" s="111">
        <f t="shared" si="53"/>
        <v>1795.71</v>
      </c>
      <c r="P199" s="125">
        <v>5.5</v>
      </c>
      <c r="Q199" s="49">
        <v>6.6</v>
      </c>
      <c r="R199" s="125">
        <v>13</v>
      </c>
      <c r="S199" s="134">
        <v>16.25</v>
      </c>
      <c r="T199" s="49">
        <v>19.5</v>
      </c>
      <c r="U199" s="49">
        <v>149343</v>
      </c>
    </row>
    <row r="200" spans="1:21" x14ac:dyDescent="0.25">
      <c r="A200" s="72">
        <v>2</v>
      </c>
      <c r="B200" s="64" t="s">
        <v>357</v>
      </c>
      <c r="C200" s="65">
        <v>1</v>
      </c>
      <c r="D200" s="7">
        <v>0</v>
      </c>
      <c r="E200" s="3">
        <f t="shared" si="50"/>
        <v>1</v>
      </c>
      <c r="F200" s="3" t="s">
        <v>867</v>
      </c>
      <c r="G200" s="77">
        <v>1730.37</v>
      </c>
      <c r="H200" s="65" t="s">
        <v>1</v>
      </c>
      <c r="I200" s="78">
        <f t="shared" si="49"/>
        <v>1730.37</v>
      </c>
      <c r="J200" s="110">
        <f t="shared" ref="J200:J216" si="54">$O$4</f>
        <v>75</v>
      </c>
      <c r="K200" s="4">
        <v>4.8</v>
      </c>
      <c r="L200" s="65" t="s">
        <v>1</v>
      </c>
      <c r="M200" s="80">
        <f t="shared" si="51"/>
        <v>4.8</v>
      </c>
      <c r="N200" s="78">
        <f t="shared" si="52"/>
        <v>360</v>
      </c>
      <c r="O200" s="111">
        <f t="shared" si="53"/>
        <v>2090.37</v>
      </c>
      <c r="P200" s="125">
        <v>6</v>
      </c>
      <c r="Q200" s="49">
        <v>7.2</v>
      </c>
      <c r="R200" s="125">
        <v>12</v>
      </c>
      <c r="S200" s="134">
        <v>15</v>
      </c>
      <c r="T200" s="49">
        <v>18</v>
      </c>
      <c r="U200" s="49">
        <v>149346</v>
      </c>
    </row>
    <row r="201" spans="1:21" x14ac:dyDescent="0.25">
      <c r="A201" s="72">
        <v>3</v>
      </c>
      <c r="B201" s="64" t="s">
        <v>358</v>
      </c>
      <c r="C201" s="65">
        <v>1</v>
      </c>
      <c r="D201" s="7">
        <v>0</v>
      </c>
      <c r="E201" s="3">
        <f t="shared" si="50"/>
        <v>1</v>
      </c>
      <c r="F201" s="3" t="s">
        <v>867</v>
      </c>
      <c r="G201" s="77">
        <v>0</v>
      </c>
      <c r="H201" s="65" t="s">
        <v>1</v>
      </c>
      <c r="I201" s="78">
        <f t="shared" si="49"/>
        <v>0</v>
      </c>
      <c r="J201" s="110">
        <f t="shared" si="54"/>
        <v>75</v>
      </c>
      <c r="K201" s="4">
        <v>5.3</v>
      </c>
      <c r="L201" s="65" t="s">
        <v>1</v>
      </c>
      <c r="M201" s="80">
        <f t="shared" si="51"/>
        <v>5.3</v>
      </c>
      <c r="N201" s="78">
        <f t="shared" si="52"/>
        <v>397.5</v>
      </c>
      <c r="O201" s="111">
        <f t="shared" si="53"/>
        <v>397.5</v>
      </c>
      <c r="P201" s="125">
        <v>6.63</v>
      </c>
      <c r="Q201" s="49">
        <v>7.95</v>
      </c>
      <c r="R201" s="125"/>
      <c r="S201" s="134"/>
      <c r="T201" s="49"/>
      <c r="U201" s="49">
        <v>149349</v>
      </c>
    </row>
    <row r="202" spans="1:21" x14ac:dyDescent="0.25">
      <c r="A202" s="72">
        <v>4</v>
      </c>
      <c r="B202" s="64" t="s">
        <v>359</v>
      </c>
      <c r="C202" s="65">
        <v>1</v>
      </c>
      <c r="D202" s="7">
        <v>0</v>
      </c>
      <c r="E202" s="3">
        <f t="shared" si="50"/>
        <v>1</v>
      </c>
      <c r="F202" s="3" t="s">
        <v>867</v>
      </c>
      <c r="G202" s="77">
        <v>0</v>
      </c>
      <c r="H202" s="65" t="s">
        <v>1</v>
      </c>
      <c r="I202" s="78">
        <f t="shared" si="49"/>
        <v>0</v>
      </c>
      <c r="J202" s="110">
        <f t="shared" si="54"/>
        <v>75</v>
      </c>
      <c r="K202" s="4">
        <v>5.3</v>
      </c>
      <c r="L202" s="65" t="s">
        <v>1</v>
      </c>
      <c r="M202" s="80">
        <f t="shared" si="51"/>
        <v>5.3</v>
      </c>
      <c r="N202" s="78">
        <f t="shared" si="52"/>
        <v>397.5</v>
      </c>
      <c r="O202" s="111">
        <f t="shared" si="53"/>
        <v>397.5</v>
      </c>
      <c r="P202" s="125">
        <v>6.63</v>
      </c>
      <c r="Q202" s="49">
        <v>7.95</v>
      </c>
      <c r="R202" s="125">
        <v>13</v>
      </c>
      <c r="S202" s="134">
        <v>16.25</v>
      </c>
      <c r="T202" s="49">
        <v>19.5</v>
      </c>
      <c r="U202" s="49">
        <v>149352</v>
      </c>
    </row>
    <row r="203" spans="1:21" x14ac:dyDescent="0.25">
      <c r="A203" s="72">
        <v>5</v>
      </c>
      <c r="B203" s="64" t="s">
        <v>360</v>
      </c>
      <c r="C203" s="65">
        <v>1</v>
      </c>
      <c r="D203" s="7">
        <v>0</v>
      </c>
      <c r="E203" s="3">
        <f t="shared" si="50"/>
        <v>1</v>
      </c>
      <c r="F203" s="3" t="s">
        <v>867</v>
      </c>
      <c r="G203" s="77">
        <v>0</v>
      </c>
      <c r="H203" s="65" t="s">
        <v>1</v>
      </c>
      <c r="I203" s="78">
        <f t="shared" si="49"/>
        <v>0</v>
      </c>
      <c r="J203" s="110">
        <f t="shared" si="54"/>
        <v>75</v>
      </c>
      <c r="K203" s="4">
        <v>5.3</v>
      </c>
      <c r="L203" s="65" t="s">
        <v>1</v>
      </c>
      <c r="M203" s="80">
        <f t="shared" si="51"/>
        <v>5.3</v>
      </c>
      <c r="N203" s="78">
        <f t="shared" si="52"/>
        <v>397.5</v>
      </c>
      <c r="O203" s="111">
        <f t="shared" si="53"/>
        <v>397.5</v>
      </c>
      <c r="P203" s="125">
        <v>6.63</v>
      </c>
      <c r="Q203" s="49">
        <v>7.95</v>
      </c>
      <c r="R203" s="125"/>
      <c r="S203" s="134"/>
      <c r="T203" s="49"/>
      <c r="U203" s="49">
        <v>149355</v>
      </c>
    </row>
    <row r="204" spans="1:21" x14ac:dyDescent="0.25">
      <c r="A204" s="72">
        <v>6</v>
      </c>
      <c r="B204" s="64" t="s">
        <v>361</v>
      </c>
      <c r="C204" s="65">
        <v>1</v>
      </c>
      <c r="D204" s="7">
        <v>0</v>
      </c>
      <c r="E204" s="3">
        <f t="shared" ref="E204" si="55">C204+(C204*D204)</f>
        <v>1</v>
      </c>
      <c r="F204" s="3" t="s">
        <v>867</v>
      </c>
      <c r="G204" s="77">
        <v>0</v>
      </c>
      <c r="H204" s="65" t="s">
        <v>1</v>
      </c>
      <c r="I204" s="78"/>
      <c r="J204" s="110">
        <f t="shared" si="54"/>
        <v>75</v>
      </c>
      <c r="K204" s="4">
        <v>7.2</v>
      </c>
      <c r="L204" s="65" t="s">
        <v>1</v>
      </c>
      <c r="M204" s="80">
        <f t="shared" ref="M204" si="56">IF(L204="C",(K204/100)*E204,IF(L204="M",(K204/1000)*E204,K204*E204))</f>
        <v>7.2</v>
      </c>
      <c r="N204" s="78">
        <f t="shared" ref="N204" si="57">M204*J204</f>
        <v>540</v>
      </c>
      <c r="O204" s="111">
        <f t="shared" ref="O204" si="58">N204+I204</f>
        <v>540</v>
      </c>
      <c r="P204" s="125">
        <v>9</v>
      </c>
      <c r="Q204" s="49">
        <v>10.8</v>
      </c>
      <c r="R204" s="125"/>
      <c r="S204" s="134"/>
      <c r="T204" s="49"/>
      <c r="U204" s="49">
        <v>149358</v>
      </c>
    </row>
    <row r="205" spans="1:21" x14ac:dyDescent="0.25">
      <c r="A205" s="72">
        <v>7</v>
      </c>
      <c r="B205" s="64" t="s">
        <v>362</v>
      </c>
      <c r="C205" s="65">
        <v>1</v>
      </c>
      <c r="D205" s="7">
        <v>0</v>
      </c>
      <c r="E205" s="3">
        <f t="shared" si="50"/>
        <v>1</v>
      </c>
      <c r="F205" s="3" t="s">
        <v>867</v>
      </c>
      <c r="G205" s="77">
        <v>0</v>
      </c>
      <c r="H205" s="65" t="s">
        <v>1</v>
      </c>
      <c r="I205" s="78">
        <f t="shared" si="49"/>
        <v>0</v>
      </c>
      <c r="J205" s="110">
        <f t="shared" si="54"/>
        <v>75</v>
      </c>
      <c r="K205" s="4">
        <v>7.2</v>
      </c>
      <c r="L205" s="65" t="s">
        <v>1</v>
      </c>
      <c r="M205" s="80">
        <f t="shared" si="51"/>
        <v>7.2</v>
      </c>
      <c r="N205" s="78">
        <f t="shared" si="52"/>
        <v>540</v>
      </c>
      <c r="O205" s="111">
        <f t="shared" si="53"/>
        <v>540</v>
      </c>
      <c r="P205" s="125">
        <v>9</v>
      </c>
      <c r="Q205" s="49">
        <v>10.8</v>
      </c>
      <c r="R205" s="125"/>
      <c r="S205" s="134"/>
      <c r="T205" s="49"/>
      <c r="U205" s="49">
        <v>149361</v>
      </c>
    </row>
    <row r="206" spans="1:21" x14ac:dyDescent="0.25">
      <c r="A206" s="72">
        <v>8</v>
      </c>
      <c r="B206" s="64" t="s">
        <v>363</v>
      </c>
      <c r="C206" s="65">
        <v>1</v>
      </c>
      <c r="D206" s="7">
        <v>0</v>
      </c>
      <c r="E206" s="3">
        <f t="shared" si="50"/>
        <v>1</v>
      </c>
      <c r="F206" s="3" t="s">
        <v>867</v>
      </c>
      <c r="G206" s="77">
        <v>0</v>
      </c>
      <c r="H206" s="65" t="s">
        <v>1</v>
      </c>
      <c r="I206" s="78">
        <f t="shared" si="49"/>
        <v>0</v>
      </c>
      <c r="J206" s="110">
        <f t="shared" si="54"/>
        <v>75</v>
      </c>
      <c r="K206" s="4">
        <v>4.8</v>
      </c>
      <c r="L206" s="65" t="s">
        <v>1</v>
      </c>
      <c r="M206" s="80">
        <f t="shared" si="51"/>
        <v>4.8</v>
      </c>
      <c r="N206" s="78">
        <f t="shared" si="52"/>
        <v>360</v>
      </c>
      <c r="O206" s="111">
        <f t="shared" si="53"/>
        <v>360</v>
      </c>
      <c r="P206" s="125">
        <v>6</v>
      </c>
      <c r="Q206" s="49">
        <v>7.2</v>
      </c>
      <c r="R206" s="125"/>
      <c r="S206" s="134"/>
      <c r="T206" s="49"/>
      <c r="U206" s="49">
        <v>149364</v>
      </c>
    </row>
    <row r="207" spans="1:21" x14ac:dyDescent="0.25">
      <c r="A207" s="72">
        <v>9</v>
      </c>
      <c r="B207" s="64" t="s">
        <v>364</v>
      </c>
      <c r="C207" s="65">
        <v>1</v>
      </c>
      <c r="D207" s="7">
        <v>0</v>
      </c>
      <c r="E207" s="3">
        <f t="shared" si="50"/>
        <v>1</v>
      </c>
      <c r="F207" s="3" t="s">
        <v>867</v>
      </c>
      <c r="G207" s="77">
        <v>0</v>
      </c>
      <c r="H207" s="65" t="s">
        <v>1</v>
      </c>
      <c r="I207" s="78">
        <f t="shared" si="49"/>
        <v>0</v>
      </c>
      <c r="J207" s="110">
        <f t="shared" si="54"/>
        <v>75</v>
      </c>
      <c r="K207" s="4">
        <v>4.8</v>
      </c>
      <c r="L207" s="65" t="s">
        <v>1</v>
      </c>
      <c r="M207" s="80">
        <f t="shared" si="51"/>
        <v>4.8</v>
      </c>
      <c r="N207" s="78">
        <f t="shared" si="52"/>
        <v>360</v>
      </c>
      <c r="O207" s="111">
        <f t="shared" si="53"/>
        <v>360</v>
      </c>
      <c r="P207" s="125">
        <v>6</v>
      </c>
      <c r="Q207" s="49">
        <v>7.2</v>
      </c>
      <c r="R207" s="125"/>
      <c r="S207" s="134"/>
      <c r="T207" s="49"/>
      <c r="U207" s="49">
        <v>149367</v>
      </c>
    </row>
    <row r="208" spans="1:21" x14ac:dyDescent="0.25">
      <c r="A208" s="72">
        <v>10</v>
      </c>
      <c r="B208" s="64" t="s">
        <v>101</v>
      </c>
      <c r="C208" s="65">
        <v>1</v>
      </c>
      <c r="D208" s="7">
        <v>0</v>
      </c>
      <c r="E208" s="3">
        <f t="shared" si="50"/>
        <v>1</v>
      </c>
      <c r="F208" s="3" t="s">
        <v>867</v>
      </c>
      <c r="G208" s="77">
        <v>2007.65</v>
      </c>
      <c r="H208" s="65" t="s">
        <v>1</v>
      </c>
      <c r="I208" s="78">
        <f t="shared" si="49"/>
        <v>2007.65</v>
      </c>
      <c r="J208" s="110">
        <f t="shared" si="54"/>
        <v>75</v>
      </c>
      <c r="K208" s="4">
        <v>4.4000000000000004</v>
      </c>
      <c r="L208" s="65" t="s">
        <v>1</v>
      </c>
      <c r="M208" s="80">
        <f t="shared" si="51"/>
        <v>4.4000000000000004</v>
      </c>
      <c r="N208" s="78">
        <f t="shared" si="52"/>
        <v>330</v>
      </c>
      <c r="O208" s="111">
        <f t="shared" si="53"/>
        <v>2337.65</v>
      </c>
      <c r="P208" s="125">
        <v>5.5</v>
      </c>
      <c r="Q208" s="49">
        <v>6.6</v>
      </c>
      <c r="R208" s="125">
        <v>13</v>
      </c>
      <c r="S208" s="134">
        <v>16.25</v>
      </c>
      <c r="T208" s="49">
        <v>19.5</v>
      </c>
      <c r="U208" s="49">
        <v>149370</v>
      </c>
    </row>
    <row r="209" spans="1:21" x14ac:dyDescent="0.25">
      <c r="A209" s="72">
        <v>11</v>
      </c>
      <c r="B209" s="64" t="s">
        <v>365</v>
      </c>
      <c r="C209" s="65">
        <v>1</v>
      </c>
      <c r="D209" s="7">
        <v>0</v>
      </c>
      <c r="E209" s="3">
        <f t="shared" si="50"/>
        <v>1</v>
      </c>
      <c r="F209" s="3" t="s">
        <v>867</v>
      </c>
      <c r="G209" s="77">
        <v>2295.94</v>
      </c>
      <c r="H209" s="65" t="s">
        <v>1</v>
      </c>
      <c r="I209" s="78">
        <f t="shared" si="49"/>
        <v>2295.94</v>
      </c>
      <c r="J209" s="110">
        <f t="shared" si="54"/>
        <v>75</v>
      </c>
      <c r="K209" s="4">
        <v>4.8</v>
      </c>
      <c r="L209" s="65" t="s">
        <v>1</v>
      </c>
      <c r="M209" s="80">
        <f t="shared" si="51"/>
        <v>4.8</v>
      </c>
      <c r="N209" s="78">
        <f t="shared" si="52"/>
        <v>360</v>
      </c>
      <c r="O209" s="111">
        <f t="shared" si="53"/>
        <v>2655.94</v>
      </c>
      <c r="P209" s="125">
        <v>6</v>
      </c>
      <c r="Q209" s="49">
        <v>7.2</v>
      </c>
      <c r="R209" s="125">
        <v>14</v>
      </c>
      <c r="S209" s="134">
        <v>17.5</v>
      </c>
      <c r="T209" s="49">
        <v>21</v>
      </c>
      <c r="U209" s="49">
        <v>149373</v>
      </c>
    </row>
    <row r="210" spans="1:21" x14ac:dyDescent="0.25">
      <c r="A210" s="72">
        <v>12</v>
      </c>
      <c r="B210" s="64" t="s">
        <v>366</v>
      </c>
      <c r="C210" s="65">
        <v>1</v>
      </c>
      <c r="D210" s="7">
        <v>0</v>
      </c>
      <c r="E210" s="3">
        <f t="shared" si="50"/>
        <v>1</v>
      </c>
      <c r="F210" s="3" t="s">
        <v>867</v>
      </c>
      <c r="G210" s="77">
        <v>0</v>
      </c>
      <c r="H210" s="65" t="s">
        <v>1</v>
      </c>
      <c r="I210" s="78">
        <f t="shared" si="49"/>
        <v>0</v>
      </c>
      <c r="J210" s="110">
        <f t="shared" si="54"/>
        <v>75</v>
      </c>
      <c r="K210" s="4">
        <v>5.3</v>
      </c>
      <c r="L210" s="65" t="s">
        <v>1</v>
      </c>
      <c r="M210" s="80">
        <f t="shared" si="51"/>
        <v>5.3</v>
      </c>
      <c r="N210" s="78">
        <f t="shared" si="52"/>
        <v>397.5</v>
      </c>
      <c r="O210" s="111">
        <f t="shared" si="53"/>
        <v>397.5</v>
      </c>
      <c r="P210" s="125">
        <v>6.63</v>
      </c>
      <c r="Q210" s="49">
        <v>7.95</v>
      </c>
      <c r="R210" s="125"/>
      <c r="S210" s="134"/>
      <c r="T210" s="49"/>
      <c r="U210" s="49">
        <v>149376</v>
      </c>
    </row>
    <row r="211" spans="1:21" x14ac:dyDescent="0.25">
      <c r="A211" s="72">
        <v>13</v>
      </c>
      <c r="B211" s="64" t="s">
        <v>367</v>
      </c>
      <c r="C211" s="65">
        <v>1</v>
      </c>
      <c r="D211" s="7">
        <v>0</v>
      </c>
      <c r="E211" s="3">
        <f t="shared" si="50"/>
        <v>1</v>
      </c>
      <c r="F211" s="3" t="s">
        <v>867</v>
      </c>
      <c r="G211" s="77">
        <v>0</v>
      </c>
      <c r="H211" s="65" t="s">
        <v>1</v>
      </c>
      <c r="I211" s="78">
        <f t="shared" si="49"/>
        <v>0</v>
      </c>
      <c r="J211" s="110">
        <f t="shared" si="54"/>
        <v>75</v>
      </c>
      <c r="K211" s="4">
        <v>5.3</v>
      </c>
      <c r="L211" s="65" t="s">
        <v>1</v>
      </c>
      <c r="M211" s="80">
        <f t="shared" si="51"/>
        <v>5.3</v>
      </c>
      <c r="N211" s="78">
        <f t="shared" si="52"/>
        <v>397.5</v>
      </c>
      <c r="O211" s="111">
        <f t="shared" si="53"/>
        <v>397.5</v>
      </c>
      <c r="P211" s="125">
        <v>6.63</v>
      </c>
      <c r="Q211" s="49">
        <v>7.95</v>
      </c>
      <c r="R211" s="125">
        <v>13</v>
      </c>
      <c r="S211" s="134">
        <v>16.25</v>
      </c>
      <c r="T211" s="49">
        <v>19.5</v>
      </c>
      <c r="U211" s="49">
        <v>149379</v>
      </c>
    </row>
    <row r="212" spans="1:21" x14ac:dyDescent="0.25">
      <c r="A212" s="72">
        <v>14</v>
      </c>
      <c r="B212" s="64" t="s">
        <v>368</v>
      </c>
      <c r="C212" s="65">
        <v>1</v>
      </c>
      <c r="D212" s="7">
        <v>0</v>
      </c>
      <c r="E212" s="3">
        <f t="shared" si="50"/>
        <v>1</v>
      </c>
      <c r="F212" s="3" t="s">
        <v>867</v>
      </c>
      <c r="G212" s="77">
        <v>0</v>
      </c>
      <c r="H212" s="65" t="s">
        <v>1</v>
      </c>
      <c r="I212" s="78">
        <f t="shared" si="49"/>
        <v>0</v>
      </c>
      <c r="J212" s="110">
        <f t="shared" si="54"/>
        <v>75</v>
      </c>
      <c r="K212" s="4">
        <v>5.3</v>
      </c>
      <c r="L212" s="65" t="s">
        <v>1</v>
      </c>
      <c r="M212" s="80">
        <f t="shared" si="51"/>
        <v>5.3</v>
      </c>
      <c r="N212" s="78">
        <f t="shared" si="52"/>
        <v>397.5</v>
      </c>
      <c r="O212" s="111">
        <f t="shared" si="53"/>
        <v>397.5</v>
      </c>
      <c r="P212" s="125">
        <v>6.63</v>
      </c>
      <c r="Q212" s="49">
        <v>7.95</v>
      </c>
      <c r="R212" s="125"/>
      <c r="S212" s="134"/>
      <c r="T212" s="49"/>
      <c r="U212" s="49">
        <v>149382</v>
      </c>
    </row>
    <row r="213" spans="1:21" x14ac:dyDescent="0.25">
      <c r="A213" s="72">
        <v>15</v>
      </c>
      <c r="B213" s="64" t="s">
        <v>369</v>
      </c>
      <c r="C213" s="65">
        <v>1</v>
      </c>
      <c r="D213" s="7">
        <v>0</v>
      </c>
      <c r="E213" s="3">
        <f t="shared" si="50"/>
        <v>1</v>
      </c>
      <c r="F213" s="3" t="s">
        <v>867</v>
      </c>
      <c r="G213" s="77">
        <v>0</v>
      </c>
      <c r="H213" s="65" t="s">
        <v>1</v>
      </c>
      <c r="I213" s="78">
        <f t="shared" si="49"/>
        <v>0</v>
      </c>
      <c r="J213" s="110">
        <f t="shared" si="54"/>
        <v>75</v>
      </c>
      <c r="K213" s="4">
        <v>7.2</v>
      </c>
      <c r="L213" s="65" t="s">
        <v>1</v>
      </c>
      <c r="M213" s="80">
        <f t="shared" si="51"/>
        <v>7.2</v>
      </c>
      <c r="N213" s="78">
        <f t="shared" si="52"/>
        <v>540</v>
      </c>
      <c r="O213" s="111">
        <f t="shared" si="53"/>
        <v>540</v>
      </c>
      <c r="P213" s="125">
        <v>9</v>
      </c>
      <c r="Q213" s="49">
        <v>10.8</v>
      </c>
      <c r="R213" s="125"/>
      <c r="S213" s="134"/>
      <c r="T213" s="49"/>
      <c r="U213" s="49">
        <v>149385</v>
      </c>
    </row>
    <row r="214" spans="1:21" x14ac:dyDescent="0.25">
      <c r="A214" s="72">
        <v>16</v>
      </c>
      <c r="B214" s="64" t="s">
        <v>370</v>
      </c>
      <c r="C214" s="65">
        <v>1</v>
      </c>
      <c r="D214" s="7">
        <v>0</v>
      </c>
      <c r="E214" s="3">
        <f t="shared" si="50"/>
        <v>1</v>
      </c>
      <c r="F214" s="3" t="s">
        <v>867</v>
      </c>
      <c r="G214" s="77">
        <v>0</v>
      </c>
      <c r="H214" s="65" t="s">
        <v>1</v>
      </c>
      <c r="I214" s="78">
        <f t="shared" si="49"/>
        <v>0</v>
      </c>
      <c r="J214" s="110">
        <f t="shared" si="54"/>
        <v>75</v>
      </c>
      <c r="K214" s="4">
        <v>7.2</v>
      </c>
      <c r="L214" s="65" t="s">
        <v>1</v>
      </c>
      <c r="M214" s="80">
        <f t="shared" si="51"/>
        <v>7.2</v>
      </c>
      <c r="N214" s="78">
        <f t="shared" si="52"/>
        <v>540</v>
      </c>
      <c r="O214" s="111">
        <f t="shared" si="53"/>
        <v>540</v>
      </c>
      <c r="P214" s="125">
        <v>9</v>
      </c>
      <c r="Q214" s="49">
        <v>10.8</v>
      </c>
      <c r="R214" s="125"/>
      <c r="S214" s="134"/>
      <c r="T214" s="49"/>
      <c r="U214" s="49">
        <v>149388</v>
      </c>
    </row>
    <row r="215" spans="1:21" x14ac:dyDescent="0.25">
      <c r="A215" s="72">
        <v>17</v>
      </c>
      <c r="B215" s="64" t="s">
        <v>371</v>
      </c>
      <c r="C215" s="65">
        <v>1</v>
      </c>
      <c r="D215" s="7">
        <v>0</v>
      </c>
      <c r="E215" s="3">
        <f t="shared" si="50"/>
        <v>1</v>
      </c>
      <c r="F215" s="3" t="s">
        <v>867</v>
      </c>
      <c r="G215" s="77">
        <v>0</v>
      </c>
      <c r="H215" s="65" t="s">
        <v>1</v>
      </c>
      <c r="I215" s="78">
        <f t="shared" si="49"/>
        <v>0</v>
      </c>
      <c r="J215" s="110">
        <f t="shared" si="54"/>
        <v>75</v>
      </c>
      <c r="K215" s="4">
        <v>4.8</v>
      </c>
      <c r="L215" s="65" t="s">
        <v>1</v>
      </c>
      <c r="M215" s="80">
        <f t="shared" si="51"/>
        <v>4.8</v>
      </c>
      <c r="N215" s="78">
        <f t="shared" si="52"/>
        <v>360</v>
      </c>
      <c r="O215" s="111">
        <f t="shared" si="53"/>
        <v>360</v>
      </c>
      <c r="P215" s="125">
        <v>6</v>
      </c>
      <c r="Q215" s="49">
        <v>7.2</v>
      </c>
      <c r="R215" s="125"/>
      <c r="S215" s="134"/>
      <c r="T215" s="49"/>
      <c r="U215" s="49">
        <v>149391</v>
      </c>
    </row>
    <row r="216" spans="1:21" x14ac:dyDescent="0.25">
      <c r="A216" s="72">
        <v>18</v>
      </c>
      <c r="B216" s="64" t="s">
        <v>372</v>
      </c>
      <c r="C216" s="65">
        <v>1</v>
      </c>
      <c r="D216" s="7">
        <v>0</v>
      </c>
      <c r="E216" s="3">
        <f t="shared" si="50"/>
        <v>1</v>
      </c>
      <c r="F216" s="3" t="s">
        <v>867</v>
      </c>
      <c r="G216" s="77">
        <v>0</v>
      </c>
      <c r="H216" s="65" t="s">
        <v>1</v>
      </c>
      <c r="I216" s="78">
        <f t="shared" si="49"/>
        <v>0</v>
      </c>
      <c r="J216" s="110">
        <f t="shared" si="54"/>
        <v>75</v>
      </c>
      <c r="K216" s="4">
        <v>4.8</v>
      </c>
      <c r="L216" s="65" t="s">
        <v>1</v>
      </c>
      <c r="M216" s="80">
        <f t="shared" si="51"/>
        <v>4.8</v>
      </c>
      <c r="N216" s="78">
        <f t="shared" si="52"/>
        <v>360</v>
      </c>
      <c r="O216" s="111">
        <f t="shared" si="53"/>
        <v>360</v>
      </c>
      <c r="P216" s="125">
        <v>6</v>
      </c>
      <c r="Q216" s="49">
        <v>7.2</v>
      </c>
      <c r="R216" s="125"/>
      <c r="S216" s="134"/>
      <c r="T216" s="49"/>
      <c r="U216" s="49">
        <v>149394</v>
      </c>
    </row>
    <row r="217" spans="1:21" x14ac:dyDescent="0.25">
      <c r="A217" s="72"/>
      <c r="B217" s="64"/>
      <c r="C217" s="65"/>
      <c r="D217" s="7"/>
      <c r="E217" s="3"/>
      <c r="F217" s="3"/>
      <c r="G217" s="77" t="s">
        <v>1202</v>
      </c>
      <c r="H217" s="65"/>
      <c r="I217" s="78"/>
      <c r="J217" s="64"/>
      <c r="K217" s="4"/>
      <c r="L217" s="65"/>
      <c r="M217" s="80"/>
      <c r="N217" s="78"/>
      <c r="O217" s="111"/>
      <c r="P217" s="125"/>
      <c r="Q217" s="49"/>
      <c r="R217" s="125"/>
      <c r="S217" s="134"/>
      <c r="T217" s="49"/>
      <c r="U217" s="49"/>
    </row>
    <row r="218" spans="1:21" x14ac:dyDescent="0.25">
      <c r="A218" s="72">
        <v>1</v>
      </c>
      <c r="B218" s="64" t="s">
        <v>146</v>
      </c>
      <c r="C218" s="65">
        <v>1</v>
      </c>
      <c r="D218" s="7">
        <v>0</v>
      </c>
      <c r="E218" s="3">
        <f t="shared" si="50"/>
        <v>1</v>
      </c>
      <c r="F218" s="3" t="s">
        <v>867</v>
      </c>
      <c r="G218" s="77">
        <v>0</v>
      </c>
      <c r="H218" s="65" t="s">
        <v>1</v>
      </c>
      <c r="I218" s="78">
        <f t="shared" si="49"/>
        <v>0</v>
      </c>
      <c r="J218" s="110">
        <f>$O$4</f>
        <v>75</v>
      </c>
      <c r="K218" s="4">
        <v>6</v>
      </c>
      <c r="L218" s="65" t="s">
        <v>1</v>
      </c>
      <c r="M218" s="80">
        <f t="shared" si="51"/>
        <v>6</v>
      </c>
      <c r="N218" s="78">
        <f t="shared" si="52"/>
        <v>450</v>
      </c>
      <c r="O218" s="111">
        <f t="shared" si="53"/>
        <v>450</v>
      </c>
      <c r="P218" s="125">
        <v>7.5</v>
      </c>
      <c r="Q218" s="49">
        <v>9</v>
      </c>
      <c r="R218" s="125">
        <v>15</v>
      </c>
      <c r="S218" s="134">
        <v>18.75</v>
      </c>
      <c r="T218" s="49">
        <v>22.5</v>
      </c>
      <c r="U218" s="49">
        <v>149424</v>
      </c>
    </row>
    <row r="219" spans="1:21" x14ac:dyDescent="0.25">
      <c r="A219" s="72">
        <v>2</v>
      </c>
      <c r="B219" s="64" t="s">
        <v>373</v>
      </c>
      <c r="C219" s="65">
        <v>1</v>
      </c>
      <c r="D219" s="7">
        <v>0</v>
      </c>
      <c r="E219" s="3">
        <f t="shared" si="50"/>
        <v>1</v>
      </c>
      <c r="F219" s="3" t="s">
        <v>867</v>
      </c>
      <c r="G219" s="77">
        <v>0</v>
      </c>
      <c r="H219" s="65" t="s">
        <v>1</v>
      </c>
      <c r="I219" s="78">
        <f t="shared" si="49"/>
        <v>0</v>
      </c>
      <c r="J219" s="110">
        <f t="shared" ref="J219:J235" si="59">$O$4</f>
        <v>75</v>
      </c>
      <c r="K219" s="4">
        <v>6.6</v>
      </c>
      <c r="L219" s="65" t="s">
        <v>1</v>
      </c>
      <c r="M219" s="80">
        <f t="shared" si="51"/>
        <v>6.6</v>
      </c>
      <c r="N219" s="78">
        <f t="shared" si="52"/>
        <v>495</v>
      </c>
      <c r="O219" s="111">
        <f t="shared" si="53"/>
        <v>495</v>
      </c>
      <c r="P219" s="125">
        <v>8.25</v>
      </c>
      <c r="Q219" s="49">
        <v>9.9</v>
      </c>
      <c r="R219" s="125">
        <v>17</v>
      </c>
      <c r="S219" s="134">
        <v>21.25</v>
      </c>
      <c r="T219" s="49">
        <v>25.5</v>
      </c>
      <c r="U219" s="49">
        <v>149427</v>
      </c>
    </row>
    <row r="220" spans="1:21" x14ac:dyDescent="0.25">
      <c r="A220" s="72">
        <v>3</v>
      </c>
      <c r="B220" s="64" t="s">
        <v>374</v>
      </c>
      <c r="C220" s="65">
        <v>1</v>
      </c>
      <c r="D220" s="7">
        <v>0</v>
      </c>
      <c r="E220" s="3">
        <f t="shared" si="50"/>
        <v>1</v>
      </c>
      <c r="F220" s="3" t="s">
        <v>867</v>
      </c>
      <c r="G220" s="77">
        <v>0</v>
      </c>
      <c r="H220" s="65" t="s">
        <v>1</v>
      </c>
      <c r="I220" s="78">
        <f t="shared" si="49"/>
        <v>0</v>
      </c>
      <c r="J220" s="110">
        <f t="shared" si="59"/>
        <v>75</v>
      </c>
      <c r="K220" s="4">
        <v>7.3</v>
      </c>
      <c r="L220" s="65" t="s">
        <v>1</v>
      </c>
      <c r="M220" s="80">
        <f t="shared" si="51"/>
        <v>7.3</v>
      </c>
      <c r="N220" s="78">
        <f t="shared" si="52"/>
        <v>547.5</v>
      </c>
      <c r="O220" s="111">
        <f t="shared" si="53"/>
        <v>547.5</v>
      </c>
      <c r="P220" s="125">
        <v>9.1300000000000008</v>
      </c>
      <c r="Q220" s="49">
        <v>10.95</v>
      </c>
      <c r="R220" s="125"/>
      <c r="S220" s="134"/>
      <c r="T220" s="49"/>
      <c r="U220" s="49">
        <v>149430</v>
      </c>
    </row>
    <row r="221" spans="1:21" x14ac:dyDescent="0.25">
      <c r="A221" s="72">
        <v>4</v>
      </c>
      <c r="B221" s="64" t="s">
        <v>375</v>
      </c>
      <c r="C221" s="65">
        <v>1</v>
      </c>
      <c r="D221" s="7">
        <v>0</v>
      </c>
      <c r="E221" s="3">
        <f t="shared" si="50"/>
        <v>1</v>
      </c>
      <c r="F221" s="3" t="s">
        <v>867</v>
      </c>
      <c r="G221" s="77">
        <v>0</v>
      </c>
      <c r="H221" s="65" t="s">
        <v>1</v>
      </c>
      <c r="I221" s="78">
        <f t="shared" si="49"/>
        <v>0</v>
      </c>
      <c r="J221" s="110">
        <f t="shared" si="59"/>
        <v>75</v>
      </c>
      <c r="K221" s="4">
        <v>7.3</v>
      </c>
      <c r="L221" s="65" t="s">
        <v>1</v>
      </c>
      <c r="M221" s="80">
        <f t="shared" si="51"/>
        <v>7.3</v>
      </c>
      <c r="N221" s="78">
        <f t="shared" si="52"/>
        <v>547.5</v>
      </c>
      <c r="O221" s="111">
        <f t="shared" si="53"/>
        <v>547.5</v>
      </c>
      <c r="P221" s="125">
        <v>9.1300000000000008</v>
      </c>
      <c r="Q221" s="49">
        <v>10.95</v>
      </c>
      <c r="R221" s="125">
        <v>18</v>
      </c>
      <c r="S221" s="134">
        <v>22.5</v>
      </c>
      <c r="T221" s="49">
        <v>27</v>
      </c>
      <c r="U221" s="49">
        <v>149433</v>
      </c>
    </row>
    <row r="222" spans="1:21" x14ac:dyDescent="0.25">
      <c r="A222" s="72">
        <v>5</v>
      </c>
      <c r="B222" s="64" t="s">
        <v>376</v>
      </c>
      <c r="C222" s="65">
        <v>1</v>
      </c>
      <c r="D222" s="7">
        <v>0</v>
      </c>
      <c r="E222" s="3">
        <f t="shared" si="50"/>
        <v>1</v>
      </c>
      <c r="F222" s="3" t="s">
        <v>867</v>
      </c>
      <c r="G222" s="77">
        <v>0</v>
      </c>
      <c r="H222" s="65" t="s">
        <v>1</v>
      </c>
      <c r="I222" s="78">
        <f t="shared" si="49"/>
        <v>0</v>
      </c>
      <c r="J222" s="110">
        <f t="shared" si="59"/>
        <v>75</v>
      </c>
      <c r="K222" s="4">
        <v>7.3</v>
      </c>
      <c r="L222" s="65" t="s">
        <v>1</v>
      </c>
      <c r="M222" s="80">
        <f t="shared" si="51"/>
        <v>7.3</v>
      </c>
      <c r="N222" s="78">
        <f t="shared" si="52"/>
        <v>547.5</v>
      </c>
      <c r="O222" s="111">
        <f t="shared" si="53"/>
        <v>547.5</v>
      </c>
      <c r="P222" s="125">
        <v>9.1300000000000008</v>
      </c>
      <c r="Q222" s="49">
        <v>10.95</v>
      </c>
      <c r="R222" s="125"/>
      <c r="S222" s="134"/>
      <c r="T222" s="49"/>
      <c r="U222" s="49">
        <v>149436</v>
      </c>
    </row>
    <row r="223" spans="1:21" x14ac:dyDescent="0.25">
      <c r="A223" s="72">
        <v>6</v>
      </c>
      <c r="B223" s="64" t="s">
        <v>377</v>
      </c>
      <c r="C223" s="65">
        <v>1</v>
      </c>
      <c r="D223" s="7">
        <v>0</v>
      </c>
      <c r="E223" s="3">
        <f t="shared" si="50"/>
        <v>1</v>
      </c>
      <c r="F223" s="3" t="s">
        <v>867</v>
      </c>
      <c r="G223" s="77">
        <v>0</v>
      </c>
      <c r="H223" s="65" t="s">
        <v>1</v>
      </c>
      <c r="I223" s="78">
        <f t="shared" si="49"/>
        <v>0</v>
      </c>
      <c r="J223" s="110">
        <f t="shared" si="59"/>
        <v>75</v>
      </c>
      <c r="K223" s="4">
        <v>9</v>
      </c>
      <c r="L223" s="65" t="s">
        <v>1</v>
      </c>
      <c r="M223" s="80">
        <f t="shared" si="51"/>
        <v>9</v>
      </c>
      <c r="N223" s="78">
        <f t="shared" si="52"/>
        <v>675</v>
      </c>
      <c r="O223" s="111">
        <f t="shared" si="53"/>
        <v>675</v>
      </c>
      <c r="P223" s="125">
        <v>11.25</v>
      </c>
      <c r="Q223" s="49">
        <v>13.5</v>
      </c>
      <c r="R223" s="125"/>
      <c r="S223" s="134"/>
      <c r="T223" s="49"/>
      <c r="U223" s="49">
        <v>149439</v>
      </c>
    </row>
    <row r="224" spans="1:21" x14ac:dyDescent="0.25">
      <c r="A224" s="72">
        <v>7</v>
      </c>
      <c r="B224" s="64" t="s">
        <v>378</v>
      </c>
      <c r="C224" s="65">
        <v>1</v>
      </c>
      <c r="D224" s="7">
        <v>0</v>
      </c>
      <c r="E224" s="3">
        <f t="shared" si="50"/>
        <v>1</v>
      </c>
      <c r="F224" s="3" t="s">
        <v>867</v>
      </c>
      <c r="G224" s="77">
        <v>0</v>
      </c>
      <c r="H224" s="65" t="s">
        <v>1</v>
      </c>
      <c r="I224" s="78">
        <f t="shared" si="49"/>
        <v>0</v>
      </c>
      <c r="J224" s="110">
        <f t="shared" si="59"/>
        <v>75</v>
      </c>
      <c r="K224" s="4">
        <v>9</v>
      </c>
      <c r="L224" s="65" t="s">
        <v>1</v>
      </c>
      <c r="M224" s="80">
        <f t="shared" si="51"/>
        <v>9</v>
      </c>
      <c r="N224" s="78">
        <f t="shared" si="52"/>
        <v>675</v>
      </c>
      <c r="O224" s="111">
        <f t="shared" si="53"/>
        <v>675</v>
      </c>
      <c r="P224" s="125">
        <v>11.25</v>
      </c>
      <c r="Q224" s="49">
        <v>13.5</v>
      </c>
      <c r="R224" s="125"/>
      <c r="S224" s="134"/>
      <c r="T224" s="49"/>
      <c r="U224" s="49">
        <v>149442</v>
      </c>
    </row>
    <row r="225" spans="1:21" x14ac:dyDescent="0.25">
      <c r="A225" s="72">
        <v>8</v>
      </c>
      <c r="B225" s="64" t="s">
        <v>379</v>
      </c>
      <c r="C225" s="65">
        <v>1</v>
      </c>
      <c r="D225" s="7">
        <v>0</v>
      </c>
      <c r="E225" s="3">
        <f t="shared" si="50"/>
        <v>1</v>
      </c>
      <c r="F225" s="3" t="s">
        <v>867</v>
      </c>
      <c r="G225" s="77">
        <v>0</v>
      </c>
      <c r="H225" s="65" t="s">
        <v>1</v>
      </c>
      <c r="I225" s="78">
        <f t="shared" si="49"/>
        <v>0</v>
      </c>
      <c r="J225" s="110">
        <f t="shared" si="59"/>
        <v>75</v>
      </c>
      <c r="K225" s="4">
        <v>6.6</v>
      </c>
      <c r="L225" s="65" t="s">
        <v>1</v>
      </c>
      <c r="M225" s="80">
        <f t="shared" si="51"/>
        <v>6.6</v>
      </c>
      <c r="N225" s="78">
        <f t="shared" si="52"/>
        <v>495</v>
      </c>
      <c r="O225" s="111">
        <f t="shared" si="53"/>
        <v>495</v>
      </c>
      <c r="P225" s="125">
        <v>8.25</v>
      </c>
      <c r="Q225" s="49">
        <v>9.9</v>
      </c>
      <c r="R225" s="125"/>
      <c r="S225" s="134"/>
      <c r="T225" s="49"/>
      <c r="U225" s="49">
        <v>149445</v>
      </c>
    </row>
    <row r="226" spans="1:21" x14ac:dyDescent="0.25">
      <c r="A226" s="72">
        <v>9</v>
      </c>
      <c r="B226" s="64" t="s">
        <v>380</v>
      </c>
      <c r="C226" s="65">
        <v>1</v>
      </c>
      <c r="D226" s="7">
        <v>0</v>
      </c>
      <c r="E226" s="3">
        <f t="shared" si="50"/>
        <v>1</v>
      </c>
      <c r="F226" s="3" t="s">
        <v>867</v>
      </c>
      <c r="G226" s="77">
        <v>0</v>
      </c>
      <c r="H226" s="65" t="s">
        <v>1</v>
      </c>
      <c r="I226" s="78">
        <f t="shared" si="49"/>
        <v>0</v>
      </c>
      <c r="J226" s="110">
        <f t="shared" si="59"/>
        <v>75</v>
      </c>
      <c r="K226" s="4">
        <v>6.6</v>
      </c>
      <c r="L226" s="65" t="s">
        <v>1</v>
      </c>
      <c r="M226" s="80">
        <f t="shared" si="51"/>
        <v>6.6</v>
      </c>
      <c r="N226" s="78">
        <f t="shared" si="52"/>
        <v>495</v>
      </c>
      <c r="O226" s="111">
        <f t="shared" si="53"/>
        <v>495</v>
      </c>
      <c r="P226" s="125">
        <v>8.25</v>
      </c>
      <c r="Q226" s="49">
        <v>9.9</v>
      </c>
      <c r="R226" s="125"/>
      <c r="S226" s="134"/>
      <c r="T226" s="49"/>
      <c r="U226" s="49">
        <v>149448</v>
      </c>
    </row>
    <row r="227" spans="1:21" x14ac:dyDescent="0.25">
      <c r="A227" s="72">
        <v>10</v>
      </c>
      <c r="B227" s="64" t="s">
        <v>104</v>
      </c>
      <c r="C227" s="65">
        <v>1</v>
      </c>
      <c r="D227" s="7">
        <v>0</v>
      </c>
      <c r="E227" s="3">
        <f t="shared" si="50"/>
        <v>1</v>
      </c>
      <c r="F227" s="3" t="s">
        <v>867</v>
      </c>
      <c r="G227" s="77">
        <v>3242.93</v>
      </c>
      <c r="H227" s="65" t="s">
        <v>1</v>
      </c>
      <c r="I227" s="78">
        <f t="shared" si="49"/>
        <v>3242.93</v>
      </c>
      <c r="J227" s="110">
        <f t="shared" si="59"/>
        <v>75</v>
      </c>
      <c r="K227" s="4">
        <v>6</v>
      </c>
      <c r="L227" s="65" t="s">
        <v>1</v>
      </c>
      <c r="M227" s="80">
        <f t="shared" si="51"/>
        <v>6</v>
      </c>
      <c r="N227" s="78">
        <f t="shared" si="52"/>
        <v>450</v>
      </c>
      <c r="O227" s="111">
        <f t="shared" si="53"/>
        <v>3692.93</v>
      </c>
      <c r="P227" s="125">
        <v>7.5</v>
      </c>
      <c r="Q227" s="49">
        <v>9</v>
      </c>
      <c r="R227" s="125">
        <v>17</v>
      </c>
      <c r="S227" s="134">
        <v>21.25</v>
      </c>
      <c r="T227" s="49">
        <v>25.5</v>
      </c>
      <c r="U227" s="49">
        <v>149451</v>
      </c>
    </row>
    <row r="228" spans="1:21" x14ac:dyDescent="0.25">
      <c r="A228" s="72">
        <v>11</v>
      </c>
      <c r="B228" s="64" t="s">
        <v>381</v>
      </c>
      <c r="C228" s="65">
        <v>1</v>
      </c>
      <c r="D228" s="7">
        <v>0</v>
      </c>
      <c r="E228" s="3">
        <f t="shared" ref="E228" si="60">C228+(C228*D228)</f>
        <v>1</v>
      </c>
      <c r="F228" s="3" t="s">
        <v>867</v>
      </c>
      <c r="G228" s="77">
        <v>4591.92</v>
      </c>
      <c r="H228" s="65" t="s">
        <v>1</v>
      </c>
      <c r="I228" s="78">
        <f t="shared" si="49"/>
        <v>4591.92</v>
      </c>
      <c r="J228" s="110">
        <f t="shared" si="59"/>
        <v>75</v>
      </c>
      <c r="K228" s="4">
        <v>6.6</v>
      </c>
      <c r="L228" s="65" t="s">
        <v>1</v>
      </c>
      <c r="M228" s="80">
        <f t="shared" si="51"/>
        <v>6.6</v>
      </c>
      <c r="N228" s="78">
        <f t="shared" si="52"/>
        <v>495</v>
      </c>
      <c r="O228" s="111">
        <f t="shared" si="53"/>
        <v>5086.92</v>
      </c>
      <c r="P228" s="125">
        <v>8.25</v>
      </c>
      <c r="Q228" s="49">
        <v>9.9</v>
      </c>
      <c r="R228" s="125">
        <v>19</v>
      </c>
      <c r="S228" s="134">
        <v>23.75</v>
      </c>
      <c r="T228" s="49">
        <v>28.5</v>
      </c>
      <c r="U228" s="49">
        <v>149454</v>
      </c>
    </row>
    <row r="229" spans="1:21" x14ac:dyDescent="0.25">
      <c r="A229" s="72">
        <v>12</v>
      </c>
      <c r="B229" s="64" t="s">
        <v>382</v>
      </c>
      <c r="C229" s="65">
        <v>1</v>
      </c>
      <c r="D229" s="7">
        <v>0</v>
      </c>
      <c r="E229" s="3">
        <f t="shared" si="50"/>
        <v>1</v>
      </c>
      <c r="F229" s="3" t="s">
        <v>867</v>
      </c>
      <c r="G229" s="77">
        <v>0</v>
      </c>
      <c r="H229" s="65" t="s">
        <v>1</v>
      </c>
      <c r="I229" s="78">
        <f t="shared" si="49"/>
        <v>0</v>
      </c>
      <c r="J229" s="110">
        <f t="shared" si="59"/>
        <v>75</v>
      </c>
      <c r="K229" s="4">
        <v>7.3</v>
      </c>
      <c r="L229" s="65" t="s">
        <v>1</v>
      </c>
      <c r="M229" s="80">
        <f t="shared" si="51"/>
        <v>7.3</v>
      </c>
      <c r="N229" s="78">
        <f t="shared" si="52"/>
        <v>547.5</v>
      </c>
      <c r="O229" s="111">
        <f t="shared" si="53"/>
        <v>547.5</v>
      </c>
      <c r="P229" s="125">
        <v>9.1300000000000008</v>
      </c>
      <c r="Q229" s="49">
        <v>10.95</v>
      </c>
      <c r="R229" s="125"/>
      <c r="S229" s="134"/>
      <c r="T229" s="49"/>
      <c r="U229" s="49">
        <v>149457</v>
      </c>
    </row>
    <row r="230" spans="1:21" x14ac:dyDescent="0.25">
      <c r="A230" s="72">
        <v>13</v>
      </c>
      <c r="B230" s="64" t="s">
        <v>383</v>
      </c>
      <c r="C230" s="65">
        <v>1</v>
      </c>
      <c r="D230" s="7">
        <v>0</v>
      </c>
      <c r="E230" s="3">
        <f t="shared" si="50"/>
        <v>1</v>
      </c>
      <c r="F230" s="3" t="s">
        <v>867</v>
      </c>
      <c r="G230" s="77">
        <v>0</v>
      </c>
      <c r="H230" s="65" t="s">
        <v>1</v>
      </c>
      <c r="I230" s="78">
        <f t="shared" si="49"/>
        <v>0</v>
      </c>
      <c r="J230" s="110">
        <f t="shared" si="59"/>
        <v>75</v>
      </c>
      <c r="K230" s="4">
        <v>7.3</v>
      </c>
      <c r="L230" s="65" t="s">
        <v>1</v>
      </c>
      <c r="M230" s="80">
        <f t="shared" si="51"/>
        <v>7.3</v>
      </c>
      <c r="N230" s="78">
        <f t="shared" si="52"/>
        <v>547.5</v>
      </c>
      <c r="O230" s="111">
        <f t="shared" si="53"/>
        <v>547.5</v>
      </c>
      <c r="P230" s="125">
        <v>9.1300000000000008</v>
      </c>
      <c r="Q230" s="49">
        <v>10.95</v>
      </c>
      <c r="R230" s="125">
        <v>18</v>
      </c>
      <c r="S230" s="134">
        <v>22.5</v>
      </c>
      <c r="T230" s="49">
        <v>27</v>
      </c>
      <c r="U230" s="49">
        <v>149460</v>
      </c>
    </row>
    <row r="231" spans="1:21" x14ac:dyDescent="0.25">
      <c r="A231" s="72">
        <v>14</v>
      </c>
      <c r="B231" s="64" t="s">
        <v>384</v>
      </c>
      <c r="C231" s="65">
        <v>1</v>
      </c>
      <c r="D231" s="7">
        <v>0</v>
      </c>
      <c r="E231" s="3">
        <f t="shared" si="50"/>
        <v>1</v>
      </c>
      <c r="F231" s="3" t="s">
        <v>867</v>
      </c>
      <c r="G231" s="77">
        <v>0</v>
      </c>
      <c r="H231" s="65" t="s">
        <v>1</v>
      </c>
      <c r="I231" s="78">
        <f t="shared" si="49"/>
        <v>0</v>
      </c>
      <c r="J231" s="110">
        <f t="shared" si="59"/>
        <v>75</v>
      </c>
      <c r="K231" s="4">
        <v>7.3</v>
      </c>
      <c r="L231" s="65" t="s">
        <v>1</v>
      </c>
      <c r="M231" s="80">
        <f t="shared" si="51"/>
        <v>7.3</v>
      </c>
      <c r="N231" s="78">
        <f t="shared" si="52"/>
        <v>547.5</v>
      </c>
      <c r="O231" s="111">
        <f t="shared" si="53"/>
        <v>547.5</v>
      </c>
      <c r="P231" s="125">
        <v>9.1300000000000008</v>
      </c>
      <c r="Q231" s="49">
        <v>10.95</v>
      </c>
      <c r="R231" s="125"/>
      <c r="S231" s="134"/>
      <c r="T231" s="49"/>
      <c r="U231" s="49">
        <v>149463</v>
      </c>
    </row>
    <row r="232" spans="1:21" x14ac:dyDescent="0.25">
      <c r="A232" s="72">
        <v>15</v>
      </c>
      <c r="B232" s="64" t="s">
        <v>385</v>
      </c>
      <c r="C232" s="65">
        <v>1</v>
      </c>
      <c r="D232" s="7">
        <v>0</v>
      </c>
      <c r="E232" s="3">
        <f t="shared" si="50"/>
        <v>1</v>
      </c>
      <c r="F232" s="3" t="s">
        <v>867</v>
      </c>
      <c r="G232" s="77">
        <v>0</v>
      </c>
      <c r="H232" s="65" t="s">
        <v>1</v>
      </c>
      <c r="I232" s="78">
        <f t="shared" si="49"/>
        <v>0</v>
      </c>
      <c r="J232" s="110">
        <f t="shared" si="59"/>
        <v>75</v>
      </c>
      <c r="K232" s="4">
        <v>9</v>
      </c>
      <c r="L232" s="65" t="s">
        <v>1</v>
      </c>
      <c r="M232" s="80">
        <f t="shared" si="51"/>
        <v>9</v>
      </c>
      <c r="N232" s="78">
        <f t="shared" si="52"/>
        <v>675</v>
      </c>
      <c r="O232" s="111">
        <f t="shared" si="53"/>
        <v>675</v>
      </c>
      <c r="P232" s="125">
        <v>11.25</v>
      </c>
      <c r="Q232" s="49">
        <v>13.5</v>
      </c>
      <c r="R232" s="125"/>
      <c r="S232" s="134"/>
      <c r="T232" s="49"/>
      <c r="U232" s="49">
        <v>149466</v>
      </c>
    </row>
    <row r="233" spans="1:21" x14ac:dyDescent="0.25">
      <c r="A233" s="72">
        <v>16</v>
      </c>
      <c r="B233" s="64" t="s">
        <v>386</v>
      </c>
      <c r="C233" s="65">
        <v>1</v>
      </c>
      <c r="D233" s="7">
        <v>0</v>
      </c>
      <c r="E233" s="3">
        <f t="shared" si="50"/>
        <v>1</v>
      </c>
      <c r="F233" s="3" t="s">
        <v>867</v>
      </c>
      <c r="G233" s="77">
        <v>0</v>
      </c>
      <c r="H233" s="65" t="s">
        <v>1</v>
      </c>
      <c r="I233" s="78">
        <f t="shared" si="49"/>
        <v>0</v>
      </c>
      <c r="J233" s="110">
        <f t="shared" si="59"/>
        <v>75</v>
      </c>
      <c r="K233" s="4">
        <v>9</v>
      </c>
      <c r="L233" s="65" t="s">
        <v>1</v>
      </c>
      <c r="M233" s="80">
        <f t="shared" si="51"/>
        <v>9</v>
      </c>
      <c r="N233" s="78">
        <f t="shared" si="52"/>
        <v>675</v>
      </c>
      <c r="O233" s="111">
        <f t="shared" si="53"/>
        <v>675</v>
      </c>
      <c r="P233" s="125">
        <v>11.25</v>
      </c>
      <c r="Q233" s="49">
        <v>13.5</v>
      </c>
      <c r="R233" s="125"/>
      <c r="S233" s="134"/>
      <c r="T233" s="49"/>
      <c r="U233" s="49">
        <v>149469</v>
      </c>
    </row>
    <row r="234" spans="1:21" x14ac:dyDescent="0.25">
      <c r="A234" s="72">
        <v>17</v>
      </c>
      <c r="B234" s="64" t="s">
        <v>387</v>
      </c>
      <c r="C234" s="65">
        <v>1</v>
      </c>
      <c r="D234" s="7">
        <v>0</v>
      </c>
      <c r="E234" s="3">
        <f t="shared" si="50"/>
        <v>1</v>
      </c>
      <c r="F234" s="3" t="s">
        <v>867</v>
      </c>
      <c r="G234" s="77">
        <v>0</v>
      </c>
      <c r="H234" s="65" t="s">
        <v>1</v>
      </c>
      <c r="I234" s="78">
        <f t="shared" si="49"/>
        <v>0</v>
      </c>
      <c r="J234" s="110">
        <f t="shared" si="59"/>
        <v>75</v>
      </c>
      <c r="K234" s="4">
        <v>6.6</v>
      </c>
      <c r="L234" s="65" t="s">
        <v>1</v>
      </c>
      <c r="M234" s="80">
        <f t="shared" si="51"/>
        <v>6.6</v>
      </c>
      <c r="N234" s="78">
        <f t="shared" si="52"/>
        <v>495</v>
      </c>
      <c r="O234" s="111">
        <f t="shared" si="53"/>
        <v>495</v>
      </c>
      <c r="P234" s="125">
        <v>8.25</v>
      </c>
      <c r="Q234" s="49">
        <v>9.9</v>
      </c>
      <c r="R234" s="125"/>
      <c r="S234" s="134"/>
      <c r="T234" s="49"/>
      <c r="U234" s="49">
        <v>149472</v>
      </c>
    </row>
    <row r="235" spans="1:21" x14ac:dyDescent="0.25">
      <c r="A235" s="72">
        <v>18</v>
      </c>
      <c r="B235" s="64" t="s">
        <v>388</v>
      </c>
      <c r="C235" s="65">
        <v>1</v>
      </c>
      <c r="D235" s="7">
        <v>0</v>
      </c>
      <c r="E235" s="3">
        <f t="shared" si="50"/>
        <v>1</v>
      </c>
      <c r="F235" s="3" t="s">
        <v>867</v>
      </c>
      <c r="G235" s="77">
        <v>0</v>
      </c>
      <c r="H235" s="65" t="s">
        <v>1</v>
      </c>
      <c r="I235" s="78">
        <f t="shared" si="49"/>
        <v>0</v>
      </c>
      <c r="J235" s="110">
        <f t="shared" si="59"/>
        <v>75</v>
      </c>
      <c r="K235" s="4">
        <v>6.6</v>
      </c>
      <c r="L235" s="65" t="s">
        <v>1</v>
      </c>
      <c r="M235" s="80">
        <f t="shared" si="51"/>
        <v>6.6</v>
      </c>
      <c r="N235" s="78">
        <f t="shared" si="52"/>
        <v>495</v>
      </c>
      <c r="O235" s="111">
        <f t="shared" si="53"/>
        <v>495</v>
      </c>
      <c r="P235" s="125">
        <v>8.25</v>
      </c>
      <c r="Q235" s="49">
        <v>9.9</v>
      </c>
      <c r="R235" s="125"/>
      <c r="S235" s="134"/>
      <c r="T235" s="49"/>
      <c r="U235" s="49">
        <v>149475</v>
      </c>
    </row>
    <row r="236" spans="1:21" x14ac:dyDescent="0.25">
      <c r="A236" s="72"/>
      <c r="B236" s="64"/>
      <c r="C236" s="65"/>
      <c r="D236" s="7"/>
      <c r="E236" s="3"/>
      <c r="F236" s="3"/>
      <c r="G236" s="77" t="s">
        <v>1202</v>
      </c>
      <c r="H236" s="65"/>
      <c r="I236" s="78"/>
      <c r="J236" s="64"/>
      <c r="K236" s="4"/>
      <c r="L236" s="65"/>
      <c r="M236" s="80"/>
      <c r="N236" s="78"/>
      <c r="O236" s="111"/>
      <c r="P236" s="125"/>
      <c r="Q236" s="49"/>
      <c r="R236" s="125"/>
      <c r="S236" s="134"/>
      <c r="T236" s="49"/>
      <c r="U236" s="49"/>
    </row>
    <row r="237" spans="1:21" x14ac:dyDescent="0.25">
      <c r="A237" s="72">
        <v>1</v>
      </c>
      <c r="B237" s="64" t="s">
        <v>149</v>
      </c>
      <c r="C237" s="65">
        <v>1</v>
      </c>
      <c r="D237" s="7">
        <v>0</v>
      </c>
      <c r="E237" s="3">
        <f t="shared" si="50"/>
        <v>1</v>
      </c>
      <c r="F237" s="3" t="s">
        <v>867</v>
      </c>
      <c r="G237" s="77">
        <v>0</v>
      </c>
      <c r="H237" s="65" t="s">
        <v>1</v>
      </c>
      <c r="I237" s="78">
        <f t="shared" si="49"/>
        <v>0</v>
      </c>
      <c r="J237" s="110">
        <f>$O$4</f>
        <v>75</v>
      </c>
      <c r="K237" s="4">
        <v>8.4</v>
      </c>
      <c r="L237" s="65" t="s">
        <v>1</v>
      </c>
      <c r="M237" s="80">
        <f t="shared" si="51"/>
        <v>8.4</v>
      </c>
      <c r="N237" s="78">
        <f t="shared" si="52"/>
        <v>630</v>
      </c>
      <c r="O237" s="111">
        <f t="shared" si="53"/>
        <v>630</v>
      </c>
      <c r="P237" s="125">
        <v>10.5</v>
      </c>
      <c r="Q237" s="49">
        <v>12.6</v>
      </c>
      <c r="R237" s="125">
        <v>20</v>
      </c>
      <c r="S237" s="134">
        <v>25</v>
      </c>
      <c r="T237" s="49">
        <v>30</v>
      </c>
      <c r="U237" s="49">
        <v>149505</v>
      </c>
    </row>
    <row r="238" spans="1:21" x14ac:dyDescent="0.25">
      <c r="A238" s="72">
        <v>2</v>
      </c>
      <c r="B238" s="64" t="s">
        <v>389</v>
      </c>
      <c r="C238" s="65">
        <v>1</v>
      </c>
      <c r="D238" s="7">
        <v>0</v>
      </c>
      <c r="E238" s="3">
        <f t="shared" si="50"/>
        <v>1</v>
      </c>
      <c r="F238" s="3" t="s">
        <v>867</v>
      </c>
      <c r="G238" s="77">
        <v>0</v>
      </c>
      <c r="H238" s="65" t="s">
        <v>1</v>
      </c>
      <c r="I238" s="78">
        <f t="shared" si="49"/>
        <v>0</v>
      </c>
      <c r="J238" s="110">
        <f t="shared" ref="J238:J254" si="61">$O$4</f>
        <v>75</v>
      </c>
      <c r="K238" s="4">
        <v>9.3000000000000007</v>
      </c>
      <c r="L238" s="65" t="s">
        <v>1</v>
      </c>
      <c r="M238" s="80">
        <f t="shared" si="51"/>
        <v>9.3000000000000007</v>
      </c>
      <c r="N238" s="78">
        <f t="shared" si="52"/>
        <v>697.5</v>
      </c>
      <c r="O238" s="111">
        <f t="shared" si="53"/>
        <v>697.5</v>
      </c>
      <c r="P238" s="125">
        <v>11.63</v>
      </c>
      <c r="Q238" s="49">
        <v>13.95</v>
      </c>
      <c r="R238" s="125">
        <v>22</v>
      </c>
      <c r="S238" s="134">
        <v>27.5</v>
      </c>
      <c r="T238" s="49">
        <v>33</v>
      </c>
      <c r="U238" s="49">
        <v>149508</v>
      </c>
    </row>
    <row r="239" spans="1:21" x14ac:dyDescent="0.25">
      <c r="A239" s="72">
        <v>3</v>
      </c>
      <c r="B239" s="64" t="s">
        <v>390</v>
      </c>
      <c r="C239" s="65">
        <v>1</v>
      </c>
      <c r="D239" s="7">
        <v>0</v>
      </c>
      <c r="E239" s="3">
        <f t="shared" ref="E239:E302" si="62">C239+(C239*D239)</f>
        <v>1</v>
      </c>
      <c r="F239" s="3" t="s">
        <v>867</v>
      </c>
      <c r="G239" s="77">
        <v>0</v>
      </c>
      <c r="H239" s="65" t="s">
        <v>1</v>
      </c>
      <c r="I239" s="78">
        <f t="shared" si="49"/>
        <v>0</v>
      </c>
      <c r="J239" s="110">
        <f t="shared" si="61"/>
        <v>75</v>
      </c>
      <c r="K239" s="4">
        <v>10.199999999999999</v>
      </c>
      <c r="L239" s="65" t="s">
        <v>1</v>
      </c>
      <c r="M239" s="80">
        <f t="shared" ref="M239:M302" si="63">IF(L239="C",(K239/100)*E239,IF(L239="M",(K239/1000)*E239,K239*E239))</f>
        <v>10.199999999999999</v>
      </c>
      <c r="N239" s="78">
        <f t="shared" ref="N239:N302" si="64">M239*J239</f>
        <v>765</v>
      </c>
      <c r="O239" s="111">
        <f t="shared" ref="O239:O302" si="65">N239+I239</f>
        <v>765</v>
      </c>
      <c r="P239" s="125">
        <v>12.75</v>
      </c>
      <c r="Q239" s="49">
        <v>15.3</v>
      </c>
      <c r="R239" s="125"/>
      <c r="S239" s="134"/>
      <c r="T239" s="49"/>
      <c r="U239" s="49">
        <v>149511</v>
      </c>
    </row>
    <row r="240" spans="1:21" x14ac:dyDescent="0.25">
      <c r="A240" s="72">
        <v>4</v>
      </c>
      <c r="B240" s="64" t="s">
        <v>391</v>
      </c>
      <c r="C240" s="65">
        <v>1</v>
      </c>
      <c r="D240" s="7">
        <v>0</v>
      </c>
      <c r="E240" s="3">
        <f t="shared" si="62"/>
        <v>1</v>
      </c>
      <c r="F240" s="3" t="s">
        <v>867</v>
      </c>
      <c r="G240" s="77">
        <v>0</v>
      </c>
      <c r="H240" s="65" t="s">
        <v>1</v>
      </c>
      <c r="I240" s="78">
        <f t="shared" si="49"/>
        <v>0</v>
      </c>
      <c r="J240" s="110">
        <f t="shared" si="61"/>
        <v>75</v>
      </c>
      <c r="K240" s="4">
        <v>10.199999999999999</v>
      </c>
      <c r="L240" s="65" t="s">
        <v>1</v>
      </c>
      <c r="M240" s="80">
        <f t="shared" si="63"/>
        <v>10.199999999999999</v>
      </c>
      <c r="N240" s="78">
        <f t="shared" si="64"/>
        <v>765</v>
      </c>
      <c r="O240" s="111">
        <f t="shared" si="65"/>
        <v>765</v>
      </c>
      <c r="P240" s="125">
        <v>12.75</v>
      </c>
      <c r="Q240" s="49">
        <v>15.3</v>
      </c>
      <c r="R240" s="125">
        <v>24</v>
      </c>
      <c r="S240" s="134">
        <v>30</v>
      </c>
      <c r="T240" s="49">
        <v>36</v>
      </c>
      <c r="U240" s="49">
        <v>149514</v>
      </c>
    </row>
    <row r="241" spans="1:21" x14ac:dyDescent="0.25">
      <c r="A241" s="72">
        <v>5</v>
      </c>
      <c r="B241" s="64" t="s">
        <v>392</v>
      </c>
      <c r="C241" s="65">
        <v>1</v>
      </c>
      <c r="D241" s="7">
        <v>0</v>
      </c>
      <c r="E241" s="3">
        <f t="shared" si="62"/>
        <v>1</v>
      </c>
      <c r="F241" s="3" t="s">
        <v>867</v>
      </c>
      <c r="G241" s="77">
        <v>0</v>
      </c>
      <c r="H241" s="65" t="s">
        <v>1</v>
      </c>
      <c r="I241" s="78">
        <f t="shared" si="49"/>
        <v>0</v>
      </c>
      <c r="J241" s="110">
        <f t="shared" si="61"/>
        <v>75</v>
      </c>
      <c r="K241" s="4">
        <v>10.199999999999999</v>
      </c>
      <c r="L241" s="65" t="s">
        <v>1</v>
      </c>
      <c r="M241" s="80">
        <f t="shared" si="63"/>
        <v>10.199999999999999</v>
      </c>
      <c r="N241" s="78">
        <f t="shared" si="64"/>
        <v>765</v>
      </c>
      <c r="O241" s="111">
        <f t="shared" si="65"/>
        <v>765</v>
      </c>
      <c r="P241" s="125">
        <v>12.75</v>
      </c>
      <c r="Q241" s="49">
        <v>15.3</v>
      </c>
      <c r="R241" s="125"/>
      <c r="S241" s="134"/>
      <c r="T241" s="49"/>
      <c r="U241" s="49">
        <v>149517</v>
      </c>
    </row>
    <row r="242" spans="1:21" x14ac:dyDescent="0.25">
      <c r="A242" s="72">
        <v>6</v>
      </c>
      <c r="B242" s="64" t="s">
        <v>393</v>
      </c>
      <c r="C242" s="65">
        <v>1</v>
      </c>
      <c r="D242" s="7">
        <v>0</v>
      </c>
      <c r="E242" s="3">
        <f t="shared" si="62"/>
        <v>1</v>
      </c>
      <c r="F242" s="3" t="s">
        <v>867</v>
      </c>
      <c r="G242" s="77">
        <v>0</v>
      </c>
      <c r="H242" s="65" t="s">
        <v>1</v>
      </c>
      <c r="I242" s="78">
        <f t="shared" si="49"/>
        <v>0</v>
      </c>
      <c r="J242" s="110">
        <f t="shared" si="61"/>
        <v>75</v>
      </c>
      <c r="K242" s="4">
        <v>12</v>
      </c>
      <c r="L242" s="65" t="s">
        <v>1</v>
      </c>
      <c r="M242" s="80">
        <f t="shared" si="63"/>
        <v>12</v>
      </c>
      <c r="N242" s="78">
        <f t="shared" si="64"/>
        <v>900</v>
      </c>
      <c r="O242" s="111">
        <f t="shared" si="65"/>
        <v>900</v>
      </c>
      <c r="P242" s="125">
        <v>15</v>
      </c>
      <c r="Q242" s="49">
        <v>18</v>
      </c>
      <c r="R242" s="125"/>
      <c r="S242" s="134"/>
      <c r="T242" s="49"/>
      <c r="U242" s="49">
        <v>149520</v>
      </c>
    </row>
    <row r="243" spans="1:21" x14ac:dyDescent="0.25">
      <c r="A243" s="72">
        <v>7</v>
      </c>
      <c r="B243" s="64" t="s">
        <v>394</v>
      </c>
      <c r="C243" s="65">
        <v>1</v>
      </c>
      <c r="D243" s="7">
        <v>0</v>
      </c>
      <c r="E243" s="3">
        <f t="shared" si="62"/>
        <v>1</v>
      </c>
      <c r="F243" s="3" t="s">
        <v>867</v>
      </c>
      <c r="G243" s="77">
        <v>0</v>
      </c>
      <c r="H243" s="65" t="s">
        <v>1</v>
      </c>
      <c r="I243" s="78">
        <f t="shared" si="49"/>
        <v>0</v>
      </c>
      <c r="J243" s="110">
        <f t="shared" si="61"/>
        <v>75</v>
      </c>
      <c r="K243" s="4">
        <v>12</v>
      </c>
      <c r="L243" s="65" t="s">
        <v>1</v>
      </c>
      <c r="M243" s="80">
        <f t="shared" si="63"/>
        <v>12</v>
      </c>
      <c r="N243" s="78">
        <f t="shared" si="64"/>
        <v>900</v>
      </c>
      <c r="O243" s="111">
        <f t="shared" si="65"/>
        <v>900</v>
      </c>
      <c r="P243" s="125">
        <v>15</v>
      </c>
      <c r="Q243" s="49">
        <v>18</v>
      </c>
      <c r="R243" s="125"/>
      <c r="S243" s="134"/>
      <c r="T243" s="49"/>
      <c r="U243" s="49">
        <v>149523</v>
      </c>
    </row>
    <row r="244" spans="1:21" x14ac:dyDescent="0.25">
      <c r="A244" s="72">
        <v>8</v>
      </c>
      <c r="B244" s="64" t="s">
        <v>395</v>
      </c>
      <c r="C244" s="65">
        <v>1</v>
      </c>
      <c r="D244" s="7">
        <v>0</v>
      </c>
      <c r="E244" s="3">
        <f t="shared" si="62"/>
        <v>1</v>
      </c>
      <c r="F244" s="3" t="s">
        <v>867</v>
      </c>
      <c r="G244" s="77">
        <v>0</v>
      </c>
      <c r="H244" s="65" t="s">
        <v>1</v>
      </c>
      <c r="I244" s="78">
        <f t="shared" si="49"/>
        <v>0</v>
      </c>
      <c r="J244" s="110">
        <f t="shared" si="61"/>
        <v>75</v>
      </c>
      <c r="K244" s="4">
        <v>9.3000000000000007</v>
      </c>
      <c r="L244" s="65" t="s">
        <v>1</v>
      </c>
      <c r="M244" s="80">
        <f t="shared" si="63"/>
        <v>9.3000000000000007</v>
      </c>
      <c r="N244" s="78">
        <f t="shared" si="64"/>
        <v>697.5</v>
      </c>
      <c r="O244" s="111">
        <f t="shared" si="65"/>
        <v>697.5</v>
      </c>
      <c r="P244" s="125">
        <v>11.63</v>
      </c>
      <c r="Q244" s="49">
        <v>13.95</v>
      </c>
      <c r="R244" s="125"/>
      <c r="S244" s="134"/>
      <c r="T244" s="49"/>
      <c r="U244" s="49">
        <v>149526</v>
      </c>
    </row>
    <row r="245" spans="1:21" x14ac:dyDescent="0.25">
      <c r="A245" s="72">
        <v>9</v>
      </c>
      <c r="B245" s="64" t="s">
        <v>396</v>
      </c>
      <c r="C245" s="65">
        <v>1</v>
      </c>
      <c r="D245" s="7">
        <v>0</v>
      </c>
      <c r="E245" s="3">
        <f t="shared" si="62"/>
        <v>1</v>
      </c>
      <c r="F245" s="3" t="s">
        <v>867</v>
      </c>
      <c r="G245" s="77">
        <v>0</v>
      </c>
      <c r="H245" s="65" t="s">
        <v>1</v>
      </c>
      <c r="I245" s="78">
        <f t="shared" si="49"/>
        <v>0</v>
      </c>
      <c r="J245" s="110">
        <f t="shared" si="61"/>
        <v>75</v>
      </c>
      <c r="K245" s="4">
        <v>9.3000000000000007</v>
      </c>
      <c r="L245" s="65" t="s">
        <v>1</v>
      </c>
      <c r="M245" s="80">
        <f t="shared" si="63"/>
        <v>9.3000000000000007</v>
      </c>
      <c r="N245" s="78">
        <f t="shared" si="64"/>
        <v>697.5</v>
      </c>
      <c r="O245" s="111">
        <f t="shared" si="65"/>
        <v>697.5</v>
      </c>
      <c r="P245" s="125">
        <v>11.63</v>
      </c>
      <c r="Q245" s="49">
        <v>13.95</v>
      </c>
      <c r="R245" s="125"/>
      <c r="S245" s="134"/>
      <c r="T245" s="49"/>
      <c r="U245" s="49">
        <v>149529</v>
      </c>
    </row>
    <row r="246" spans="1:21" x14ac:dyDescent="0.25">
      <c r="A246" s="72">
        <v>10</v>
      </c>
      <c r="B246" s="64" t="s">
        <v>107</v>
      </c>
      <c r="C246" s="65">
        <v>1</v>
      </c>
      <c r="D246" s="7">
        <v>0</v>
      </c>
      <c r="E246" s="3">
        <f t="shared" si="62"/>
        <v>1</v>
      </c>
      <c r="F246" s="3" t="s">
        <v>867</v>
      </c>
      <c r="G246" s="77">
        <v>6002.65</v>
      </c>
      <c r="H246" s="65" t="s">
        <v>1</v>
      </c>
      <c r="I246" s="78">
        <f t="shared" si="49"/>
        <v>6002.65</v>
      </c>
      <c r="J246" s="110">
        <f t="shared" si="61"/>
        <v>75</v>
      </c>
      <c r="K246" s="4">
        <v>8.4</v>
      </c>
      <c r="L246" s="65" t="s">
        <v>1</v>
      </c>
      <c r="M246" s="80">
        <f t="shared" si="63"/>
        <v>8.4</v>
      </c>
      <c r="N246" s="78">
        <f t="shared" si="64"/>
        <v>630</v>
      </c>
      <c r="O246" s="111">
        <f t="shared" si="65"/>
        <v>6632.65</v>
      </c>
      <c r="P246" s="125">
        <v>10.5</v>
      </c>
      <c r="Q246" s="49">
        <v>12.6</v>
      </c>
      <c r="R246" s="125">
        <v>22</v>
      </c>
      <c r="S246" s="134">
        <v>27.5</v>
      </c>
      <c r="T246" s="49">
        <v>33</v>
      </c>
      <c r="U246" s="49">
        <v>149532</v>
      </c>
    </row>
    <row r="247" spans="1:21" x14ac:dyDescent="0.25">
      <c r="A247" s="72">
        <v>11</v>
      </c>
      <c r="B247" s="64" t="s">
        <v>397</v>
      </c>
      <c r="C247" s="65">
        <v>1</v>
      </c>
      <c r="D247" s="7">
        <v>0</v>
      </c>
      <c r="E247" s="3">
        <f t="shared" si="62"/>
        <v>1</v>
      </c>
      <c r="F247" s="3" t="s">
        <v>867</v>
      </c>
      <c r="G247" s="77">
        <v>0</v>
      </c>
      <c r="H247" s="65" t="s">
        <v>1</v>
      </c>
      <c r="I247" s="78">
        <f t="shared" si="49"/>
        <v>0</v>
      </c>
      <c r="J247" s="110">
        <f t="shared" si="61"/>
        <v>75</v>
      </c>
      <c r="K247" s="4">
        <v>9.3000000000000007</v>
      </c>
      <c r="L247" s="65" t="s">
        <v>1</v>
      </c>
      <c r="M247" s="80">
        <f t="shared" si="63"/>
        <v>9.3000000000000007</v>
      </c>
      <c r="N247" s="78">
        <f t="shared" si="64"/>
        <v>697.5</v>
      </c>
      <c r="O247" s="111">
        <f t="shared" si="65"/>
        <v>697.5</v>
      </c>
      <c r="P247" s="125">
        <v>11.63</v>
      </c>
      <c r="Q247" s="49">
        <v>13.95</v>
      </c>
      <c r="R247" s="125">
        <v>22</v>
      </c>
      <c r="S247" s="134">
        <v>27.5</v>
      </c>
      <c r="T247" s="49">
        <v>33</v>
      </c>
      <c r="U247" s="49">
        <v>149535</v>
      </c>
    </row>
    <row r="248" spans="1:21" x14ac:dyDescent="0.25">
      <c r="A248" s="72">
        <v>12</v>
      </c>
      <c r="B248" s="64" t="s">
        <v>398</v>
      </c>
      <c r="C248" s="65">
        <v>1</v>
      </c>
      <c r="D248" s="7">
        <v>0</v>
      </c>
      <c r="E248" s="3">
        <f t="shared" si="62"/>
        <v>1</v>
      </c>
      <c r="F248" s="3" t="s">
        <v>867</v>
      </c>
      <c r="G248" s="77">
        <v>0</v>
      </c>
      <c r="H248" s="65" t="s">
        <v>1</v>
      </c>
      <c r="I248" s="78">
        <f t="shared" si="49"/>
        <v>0</v>
      </c>
      <c r="J248" s="110">
        <f t="shared" si="61"/>
        <v>75</v>
      </c>
      <c r="K248" s="4">
        <v>10.199999999999999</v>
      </c>
      <c r="L248" s="65" t="s">
        <v>1</v>
      </c>
      <c r="M248" s="80">
        <f t="shared" si="63"/>
        <v>10.199999999999999</v>
      </c>
      <c r="N248" s="78">
        <f t="shared" si="64"/>
        <v>765</v>
      </c>
      <c r="O248" s="111">
        <f t="shared" si="65"/>
        <v>765</v>
      </c>
      <c r="P248" s="125">
        <v>12.75</v>
      </c>
      <c r="Q248" s="49">
        <v>15.3</v>
      </c>
      <c r="R248" s="125"/>
      <c r="S248" s="134"/>
      <c r="T248" s="49"/>
      <c r="U248" s="49">
        <v>149538</v>
      </c>
    </row>
    <row r="249" spans="1:21" x14ac:dyDescent="0.25">
      <c r="A249" s="72">
        <v>13</v>
      </c>
      <c r="B249" s="64" t="s">
        <v>399</v>
      </c>
      <c r="C249" s="65">
        <v>1</v>
      </c>
      <c r="D249" s="7">
        <v>0</v>
      </c>
      <c r="E249" s="3">
        <f t="shared" si="62"/>
        <v>1</v>
      </c>
      <c r="F249" s="3" t="s">
        <v>867</v>
      </c>
      <c r="G249" s="77">
        <v>0</v>
      </c>
      <c r="H249" s="65" t="s">
        <v>1</v>
      </c>
      <c r="I249" s="78">
        <f t="shared" si="49"/>
        <v>0</v>
      </c>
      <c r="J249" s="110">
        <f t="shared" si="61"/>
        <v>75</v>
      </c>
      <c r="K249" s="4">
        <v>10.199999999999999</v>
      </c>
      <c r="L249" s="65" t="s">
        <v>1</v>
      </c>
      <c r="M249" s="80">
        <f t="shared" si="63"/>
        <v>10.199999999999999</v>
      </c>
      <c r="N249" s="78">
        <f t="shared" si="64"/>
        <v>765</v>
      </c>
      <c r="O249" s="111">
        <f t="shared" si="65"/>
        <v>765</v>
      </c>
      <c r="P249" s="125">
        <v>12.75</v>
      </c>
      <c r="Q249" s="49">
        <v>15.3</v>
      </c>
      <c r="R249" s="125">
        <v>24</v>
      </c>
      <c r="S249" s="134">
        <v>30</v>
      </c>
      <c r="T249" s="49">
        <v>36</v>
      </c>
      <c r="U249" s="49">
        <v>149541</v>
      </c>
    </row>
    <row r="250" spans="1:21" x14ac:dyDescent="0.25">
      <c r="A250" s="72">
        <v>14</v>
      </c>
      <c r="B250" s="64" t="s">
        <v>400</v>
      </c>
      <c r="C250" s="65">
        <v>1</v>
      </c>
      <c r="D250" s="7">
        <v>0</v>
      </c>
      <c r="E250" s="3">
        <f t="shared" si="62"/>
        <v>1</v>
      </c>
      <c r="F250" s="3" t="s">
        <v>867</v>
      </c>
      <c r="G250" s="77">
        <v>0</v>
      </c>
      <c r="H250" s="65" t="s">
        <v>1</v>
      </c>
      <c r="I250" s="78">
        <f t="shared" si="49"/>
        <v>0</v>
      </c>
      <c r="J250" s="110">
        <f t="shared" si="61"/>
        <v>75</v>
      </c>
      <c r="K250" s="4">
        <v>10.199999999999999</v>
      </c>
      <c r="L250" s="65" t="s">
        <v>1</v>
      </c>
      <c r="M250" s="80">
        <f t="shared" si="63"/>
        <v>10.199999999999999</v>
      </c>
      <c r="N250" s="78">
        <f t="shared" si="64"/>
        <v>765</v>
      </c>
      <c r="O250" s="111">
        <f t="shared" si="65"/>
        <v>765</v>
      </c>
      <c r="P250" s="125">
        <v>12.75</v>
      </c>
      <c r="Q250" s="49">
        <v>15.3</v>
      </c>
      <c r="R250" s="125"/>
      <c r="S250" s="134"/>
      <c r="T250" s="49"/>
      <c r="U250" s="49">
        <v>149544</v>
      </c>
    </row>
    <row r="251" spans="1:21" x14ac:dyDescent="0.25">
      <c r="A251" s="72">
        <v>15</v>
      </c>
      <c r="B251" s="64" t="s">
        <v>401</v>
      </c>
      <c r="C251" s="65">
        <v>1</v>
      </c>
      <c r="D251" s="7">
        <v>0</v>
      </c>
      <c r="E251" s="3">
        <f t="shared" si="62"/>
        <v>1</v>
      </c>
      <c r="F251" s="3" t="s">
        <v>867</v>
      </c>
      <c r="G251" s="77">
        <v>0</v>
      </c>
      <c r="H251" s="65" t="s">
        <v>1</v>
      </c>
      <c r="I251" s="78">
        <f t="shared" ref="I251:I313" si="66">IF(H251="C",(G251/100)*E251,IF(H251="M",(G251/1000)*E251,G251*E251))</f>
        <v>0</v>
      </c>
      <c r="J251" s="110">
        <f t="shared" si="61"/>
        <v>75</v>
      </c>
      <c r="K251" s="4">
        <v>12</v>
      </c>
      <c r="L251" s="65" t="s">
        <v>1</v>
      </c>
      <c r="M251" s="80">
        <f t="shared" si="63"/>
        <v>12</v>
      </c>
      <c r="N251" s="78">
        <f t="shared" si="64"/>
        <v>900</v>
      </c>
      <c r="O251" s="111">
        <f t="shared" si="65"/>
        <v>900</v>
      </c>
      <c r="P251" s="125">
        <v>15</v>
      </c>
      <c r="Q251" s="49">
        <v>18</v>
      </c>
      <c r="R251" s="125"/>
      <c r="S251" s="134"/>
      <c r="T251" s="49"/>
      <c r="U251" s="49">
        <v>149547</v>
      </c>
    </row>
    <row r="252" spans="1:21" x14ac:dyDescent="0.25">
      <c r="A252" s="72">
        <v>16</v>
      </c>
      <c r="B252" s="64" t="s">
        <v>402</v>
      </c>
      <c r="C252" s="65">
        <v>1</v>
      </c>
      <c r="D252" s="7">
        <v>0</v>
      </c>
      <c r="E252" s="3">
        <f t="shared" si="62"/>
        <v>1</v>
      </c>
      <c r="F252" s="3" t="s">
        <v>867</v>
      </c>
      <c r="G252" s="77">
        <v>0</v>
      </c>
      <c r="H252" s="65" t="s">
        <v>1</v>
      </c>
      <c r="I252" s="78">
        <f t="shared" si="66"/>
        <v>0</v>
      </c>
      <c r="J252" s="110">
        <f t="shared" si="61"/>
        <v>75</v>
      </c>
      <c r="K252" s="4">
        <v>12</v>
      </c>
      <c r="L252" s="65" t="s">
        <v>1</v>
      </c>
      <c r="M252" s="80">
        <f t="shared" si="63"/>
        <v>12</v>
      </c>
      <c r="N252" s="78">
        <f t="shared" si="64"/>
        <v>900</v>
      </c>
      <c r="O252" s="111">
        <f t="shared" si="65"/>
        <v>900</v>
      </c>
      <c r="P252" s="125">
        <v>15</v>
      </c>
      <c r="Q252" s="49">
        <v>18</v>
      </c>
      <c r="R252" s="125"/>
      <c r="S252" s="134"/>
      <c r="T252" s="49"/>
      <c r="U252" s="49">
        <v>149550</v>
      </c>
    </row>
    <row r="253" spans="1:21" x14ac:dyDescent="0.25">
      <c r="A253" s="72">
        <v>17</v>
      </c>
      <c r="B253" s="64" t="s">
        <v>403</v>
      </c>
      <c r="C253" s="65">
        <v>1</v>
      </c>
      <c r="D253" s="7">
        <v>0</v>
      </c>
      <c r="E253" s="3">
        <f t="shared" si="62"/>
        <v>1</v>
      </c>
      <c r="F253" s="3" t="s">
        <v>867</v>
      </c>
      <c r="G253" s="77">
        <v>0</v>
      </c>
      <c r="H253" s="65" t="s">
        <v>1</v>
      </c>
      <c r="I253" s="78">
        <f t="shared" si="66"/>
        <v>0</v>
      </c>
      <c r="J253" s="110">
        <f t="shared" si="61"/>
        <v>75</v>
      </c>
      <c r="K253" s="4">
        <v>9.3000000000000007</v>
      </c>
      <c r="L253" s="65" t="s">
        <v>1</v>
      </c>
      <c r="M253" s="80">
        <f t="shared" si="63"/>
        <v>9.3000000000000007</v>
      </c>
      <c r="N253" s="78">
        <f t="shared" si="64"/>
        <v>697.5</v>
      </c>
      <c r="O253" s="111">
        <f t="shared" si="65"/>
        <v>697.5</v>
      </c>
      <c r="P253" s="125">
        <v>11.63</v>
      </c>
      <c r="Q253" s="49">
        <v>13.95</v>
      </c>
      <c r="R253" s="125"/>
      <c r="S253" s="134"/>
      <c r="T253" s="49"/>
      <c r="U253" s="49">
        <v>149553</v>
      </c>
    </row>
    <row r="254" spans="1:21" x14ac:dyDescent="0.25">
      <c r="A254" s="72">
        <v>18</v>
      </c>
      <c r="B254" s="64" t="s">
        <v>404</v>
      </c>
      <c r="C254" s="65">
        <v>1</v>
      </c>
      <c r="D254" s="7">
        <v>0</v>
      </c>
      <c r="E254" s="3">
        <f t="shared" si="62"/>
        <v>1</v>
      </c>
      <c r="F254" s="3" t="s">
        <v>867</v>
      </c>
      <c r="G254" s="77">
        <v>0</v>
      </c>
      <c r="H254" s="65" t="s">
        <v>1</v>
      </c>
      <c r="I254" s="78">
        <f t="shared" si="66"/>
        <v>0</v>
      </c>
      <c r="J254" s="110">
        <f t="shared" si="61"/>
        <v>75</v>
      </c>
      <c r="K254" s="4">
        <v>9.3000000000000007</v>
      </c>
      <c r="L254" s="65" t="s">
        <v>1</v>
      </c>
      <c r="M254" s="80">
        <f t="shared" si="63"/>
        <v>9.3000000000000007</v>
      </c>
      <c r="N254" s="78">
        <f t="shared" si="64"/>
        <v>697.5</v>
      </c>
      <c r="O254" s="111">
        <f t="shared" si="65"/>
        <v>697.5</v>
      </c>
      <c r="P254" s="125">
        <v>11.63</v>
      </c>
      <c r="Q254" s="49">
        <v>13.95</v>
      </c>
      <c r="R254" s="125"/>
      <c r="S254" s="134"/>
      <c r="T254" s="49"/>
      <c r="U254" s="49">
        <v>149556</v>
      </c>
    </row>
    <row r="255" spans="1:21" x14ac:dyDescent="0.25">
      <c r="A255" s="72"/>
      <c r="B255" s="64"/>
      <c r="C255" s="65"/>
      <c r="D255" s="7"/>
      <c r="E255" s="3"/>
      <c r="F255" s="3"/>
      <c r="G255" s="77" t="s">
        <v>1202</v>
      </c>
      <c r="H255" s="65"/>
      <c r="I255" s="78"/>
      <c r="J255" s="64"/>
      <c r="K255" s="4"/>
      <c r="L255" s="65"/>
      <c r="M255" s="80"/>
      <c r="N255" s="78"/>
      <c r="O255" s="111"/>
      <c r="P255" s="125"/>
      <c r="Q255" s="49"/>
      <c r="R255" s="125"/>
      <c r="S255" s="134"/>
      <c r="T255" s="49"/>
      <c r="U255" s="49"/>
    </row>
    <row r="256" spans="1:21" x14ac:dyDescent="0.25">
      <c r="A256" s="72">
        <v>1</v>
      </c>
      <c r="B256" s="64" t="s">
        <v>151</v>
      </c>
      <c r="C256" s="65">
        <v>1</v>
      </c>
      <c r="D256" s="7">
        <v>0</v>
      </c>
      <c r="E256" s="3">
        <f t="shared" si="62"/>
        <v>1</v>
      </c>
      <c r="F256" s="3" t="s">
        <v>867</v>
      </c>
      <c r="G256" s="77">
        <v>0</v>
      </c>
      <c r="H256" s="65" t="s">
        <v>1</v>
      </c>
      <c r="I256" s="78">
        <f t="shared" si="66"/>
        <v>0</v>
      </c>
      <c r="J256" s="110">
        <f>$O$4</f>
        <v>75</v>
      </c>
      <c r="K256" s="4">
        <v>10.8</v>
      </c>
      <c r="L256" s="65" t="s">
        <v>1</v>
      </c>
      <c r="M256" s="80">
        <f t="shared" si="63"/>
        <v>10.8</v>
      </c>
      <c r="N256" s="78">
        <f t="shared" si="64"/>
        <v>810</v>
      </c>
      <c r="O256" s="111">
        <f t="shared" si="65"/>
        <v>810</v>
      </c>
      <c r="P256" s="125">
        <v>13.5</v>
      </c>
      <c r="Q256" s="49">
        <v>16.2</v>
      </c>
      <c r="R256" s="125">
        <v>24</v>
      </c>
      <c r="S256" s="134">
        <v>30</v>
      </c>
      <c r="T256" s="49">
        <v>36</v>
      </c>
      <c r="U256" s="49">
        <v>149586</v>
      </c>
    </row>
    <row r="257" spans="1:21" x14ac:dyDescent="0.25">
      <c r="A257" s="72">
        <v>2</v>
      </c>
      <c r="B257" s="64" t="s">
        <v>405</v>
      </c>
      <c r="C257" s="65">
        <v>1</v>
      </c>
      <c r="D257" s="7">
        <v>0</v>
      </c>
      <c r="E257" s="3">
        <f t="shared" si="62"/>
        <v>1</v>
      </c>
      <c r="F257" s="3" t="s">
        <v>867</v>
      </c>
      <c r="G257" s="77">
        <v>0</v>
      </c>
      <c r="H257" s="65" t="s">
        <v>1</v>
      </c>
      <c r="I257" s="78">
        <f t="shared" si="66"/>
        <v>0</v>
      </c>
      <c r="J257" s="110">
        <f t="shared" ref="J257:J320" si="67">$O$4</f>
        <v>75</v>
      </c>
      <c r="K257" s="4">
        <v>12</v>
      </c>
      <c r="L257" s="65" t="s">
        <v>1</v>
      </c>
      <c r="M257" s="80">
        <f t="shared" si="63"/>
        <v>12</v>
      </c>
      <c r="N257" s="78">
        <f t="shared" si="64"/>
        <v>900</v>
      </c>
      <c r="O257" s="111">
        <f t="shared" si="65"/>
        <v>900</v>
      </c>
      <c r="P257" s="125">
        <v>15</v>
      </c>
      <c r="Q257" s="49">
        <v>18</v>
      </c>
      <c r="R257" s="125">
        <v>26</v>
      </c>
      <c r="S257" s="134">
        <v>32.5</v>
      </c>
      <c r="T257" s="49">
        <v>39</v>
      </c>
      <c r="U257" s="49">
        <v>149589</v>
      </c>
    </row>
    <row r="258" spans="1:21" x14ac:dyDescent="0.25">
      <c r="A258" s="72">
        <v>3</v>
      </c>
      <c r="B258" s="64" t="s">
        <v>406</v>
      </c>
      <c r="C258" s="65">
        <v>1</v>
      </c>
      <c r="D258" s="7">
        <v>0</v>
      </c>
      <c r="E258" s="3">
        <f t="shared" si="62"/>
        <v>1</v>
      </c>
      <c r="F258" s="3" t="s">
        <v>867</v>
      </c>
      <c r="G258" s="77">
        <v>0</v>
      </c>
      <c r="H258" s="65" t="s">
        <v>1</v>
      </c>
      <c r="I258" s="78">
        <f t="shared" si="66"/>
        <v>0</v>
      </c>
      <c r="J258" s="110">
        <f t="shared" si="67"/>
        <v>75</v>
      </c>
      <c r="K258" s="4">
        <v>13.2</v>
      </c>
      <c r="L258" s="65" t="s">
        <v>1</v>
      </c>
      <c r="M258" s="80">
        <f t="shared" si="63"/>
        <v>13.2</v>
      </c>
      <c r="N258" s="78">
        <f t="shared" si="64"/>
        <v>990</v>
      </c>
      <c r="O258" s="111">
        <f t="shared" si="65"/>
        <v>990</v>
      </c>
      <c r="P258" s="125">
        <v>16.5</v>
      </c>
      <c r="Q258" s="49">
        <v>19.8</v>
      </c>
      <c r="R258" s="125"/>
      <c r="S258" s="134"/>
      <c r="T258" s="49"/>
      <c r="U258" s="49">
        <v>149592</v>
      </c>
    </row>
    <row r="259" spans="1:21" x14ac:dyDescent="0.25">
      <c r="A259" s="72">
        <v>4</v>
      </c>
      <c r="B259" s="64" t="s">
        <v>407</v>
      </c>
      <c r="C259" s="65">
        <v>1</v>
      </c>
      <c r="D259" s="7">
        <v>0</v>
      </c>
      <c r="E259" s="3">
        <f t="shared" si="62"/>
        <v>1</v>
      </c>
      <c r="F259" s="3" t="s">
        <v>867</v>
      </c>
      <c r="G259" s="77">
        <v>0</v>
      </c>
      <c r="H259" s="65" t="s">
        <v>1</v>
      </c>
      <c r="I259" s="78">
        <f t="shared" si="66"/>
        <v>0</v>
      </c>
      <c r="J259" s="110">
        <f t="shared" si="67"/>
        <v>75</v>
      </c>
      <c r="K259" s="4">
        <v>13.2</v>
      </c>
      <c r="L259" s="65" t="s">
        <v>1</v>
      </c>
      <c r="M259" s="80">
        <f t="shared" si="63"/>
        <v>13.2</v>
      </c>
      <c r="N259" s="78">
        <f t="shared" si="64"/>
        <v>990</v>
      </c>
      <c r="O259" s="111">
        <f t="shared" si="65"/>
        <v>990</v>
      </c>
      <c r="P259" s="125">
        <v>16.5</v>
      </c>
      <c r="Q259" s="49">
        <v>19.8</v>
      </c>
      <c r="R259" s="125">
        <v>29</v>
      </c>
      <c r="S259" s="134">
        <v>36.25</v>
      </c>
      <c r="T259" s="49">
        <v>43.5</v>
      </c>
      <c r="U259" s="49">
        <v>149595</v>
      </c>
    </row>
    <row r="260" spans="1:21" x14ac:dyDescent="0.25">
      <c r="A260" s="72">
        <v>5</v>
      </c>
      <c r="B260" s="64" t="s">
        <v>408</v>
      </c>
      <c r="C260" s="65">
        <v>1</v>
      </c>
      <c r="D260" s="7">
        <v>0</v>
      </c>
      <c r="E260" s="3">
        <f t="shared" si="62"/>
        <v>1</v>
      </c>
      <c r="F260" s="3" t="s">
        <v>867</v>
      </c>
      <c r="G260" s="77">
        <v>0</v>
      </c>
      <c r="H260" s="65" t="s">
        <v>1</v>
      </c>
      <c r="I260" s="78">
        <f t="shared" si="66"/>
        <v>0</v>
      </c>
      <c r="J260" s="110">
        <f t="shared" si="67"/>
        <v>75</v>
      </c>
      <c r="K260" s="4">
        <v>13.2</v>
      </c>
      <c r="L260" s="65" t="s">
        <v>1</v>
      </c>
      <c r="M260" s="80">
        <f t="shared" si="63"/>
        <v>13.2</v>
      </c>
      <c r="N260" s="78">
        <f t="shared" si="64"/>
        <v>990</v>
      </c>
      <c r="O260" s="111">
        <f t="shared" si="65"/>
        <v>990</v>
      </c>
      <c r="P260" s="125">
        <v>16.5</v>
      </c>
      <c r="Q260" s="49">
        <v>19.8</v>
      </c>
      <c r="R260" s="125"/>
      <c r="S260" s="134"/>
      <c r="T260" s="49"/>
      <c r="U260" s="49">
        <v>149598</v>
      </c>
    </row>
    <row r="261" spans="1:21" x14ac:dyDescent="0.25">
      <c r="A261" s="72">
        <v>6</v>
      </c>
      <c r="B261" s="64" t="s">
        <v>409</v>
      </c>
      <c r="C261" s="65">
        <v>1</v>
      </c>
      <c r="D261" s="7">
        <v>0</v>
      </c>
      <c r="E261" s="3">
        <f t="shared" si="62"/>
        <v>1</v>
      </c>
      <c r="F261" s="3" t="s">
        <v>867</v>
      </c>
      <c r="G261" s="77">
        <v>0</v>
      </c>
      <c r="H261" s="65" t="s">
        <v>1</v>
      </c>
      <c r="I261" s="78">
        <f t="shared" si="66"/>
        <v>0</v>
      </c>
      <c r="J261" s="110">
        <f t="shared" si="67"/>
        <v>75</v>
      </c>
      <c r="K261" s="4">
        <v>15</v>
      </c>
      <c r="L261" s="65" t="s">
        <v>1</v>
      </c>
      <c r="M261" s="80">
        <f t="shared" si="63"/>
        <v>15</v>
      </c>
      <c r="N261" s="78">
        <f t="shared" si="64"/>
        <v>1125</v>
      </c>
      <c r="O261" s="111">
        <f t="shared" si="65"/>
        <v>1125</v>
      </c>
      <c r="P261" s="125">
        <v>18.75</v>
      </c>
      <c r="Q261" s="49">
        <v>22.5</v>
      </c>
      <c r="R261" s="125"/>
      <c r="S261" s="134"/>
      <c r="T261" s="49"/>
      <c r="U261" s="49">
        <v>149601</v>
      </c>
    </row>
    <row r="262" spans="1:21" x14ac:dyDescent="0.25">
      <c r="A262" s="72">
        <v>7</v>
      </c>
      <c r="B262" s="64" t="s">
        <v>410</v>
      </c>
      <c r="C262" s="65">
        <v>1</v>
      </c>
      <c r="D262" s="7">
        <v>0</v>
      </c>
      <c r="E262" s="3">
        <f t="shared" si="62"/>
        <v>1</v>
      </c>
      <c r="F262" s="3" t="s">
        <v>867</v>
      </c>
      <c r="G262" s="77">
        <v>0</v>
      </c>
      <c r="H262" s="65" t="s">
        <v>1</v>
      </c>
      <c r="I262" s="78">
        <f t="shared" si="66"/>
        <v>0</v>
      </c>
      <c r="J262" s="110">
        <f t="shared" si="67"/>
        <v>75</v>
      </c>
      <c r="K262" s="4">
        <v>15</v>
      </c>
      <c r="L262" s="65" t="s">
        <v>1</v>
      </c>
      <c r="M262" s="80">
        <f t="shared" si="63"/>
        <v>15</v>
      </c>
      <c r="N262" s="78">
        <f t="shared" si="64"/>
        <v>1125</v>
      </c>
      <c r="O262" s="111">
        <f t="shared" si="65"/>
        <v>1125</v>
      </c>
      <c r="P262" s="125">
        <v>18.75</v>
      </c>
      <c r="Q262" s="49">
        <v>22.5</v>
      </c>
      <c r="R262" s="125"/>
      <c r="S262" s="134"/>
      <c r="T262" s="49"/>
      <c r="U262" s="49">
        <v>149604</v>
      </c>
    </row>
    <row r="263" spans="1:21" x14ac:dyDescent="0.25">
      <c r="A263" s="72">
        <v>8</v>
      </c>
      <c r="B263" s="64" t="s">
        <v>411</v>
      </c>
      <c r="C263" s="65">
        <v>1</v>
      </c>
      <c r="D263" s="7">
        <v>0</v>
      </c>
      <c r="E263" s="3">
        <f t="shared" si="62"/>
        <v>1</v>
      </c>
      <c r="F263" s="3" t="s">
        <v>867</v>
      </c>
      <c r="G263" s="77">
        <v>0</v>
      </c>
      <c r="H263" s="65" t="s">
        <v>1</v>
      </c>
      <c r="I263" s="78">
        <f t="shared" si="66"/>
        <v>0</v>
      </c>
      <c r="J263" s="110">
        <f t="shared" si="67"/>
        <v>75</v>
      </c>
      <c r="K263" s="4">
        <v>12</v>
      </c>
      <c r="L263" s="65" t="s">
        <v>1</v>
      </c>
      <c r="M263" s="80">
        <f t="shared" si="63"/>
        <v>12</v>
      </c>
      <c r="N263" s="78">
        <f t="shared" si="64"/>
        <v>900</v>
      </c>
      <c r="O263" s="111">
        <f t="shared" si="65"/>
        <v>900</v>
      </c>
      <c r="P263" s="125">
        <v>15</v>
      </c>
      <c r="Q263" s="49">
        <v>18</v>
      </c>
      <c r="R263" s="125"/>
      <c r="S263" s="134"/>
      <c r="T263" s="49"/>
      <c r="U263" s="49">
        <v>149607</v>
      </c>
    </row>
    <row r="264" spans="1:21" x14ac:dyDescent="0.25">
      <c r="A264" s="72">
        <v>9</v>
      </c>
      <c r="B264" s="64" t="s">
        <v>412</v>
      </c>
      <c r="C264" s="65">
        <v>1</v>
      </c>
      <c r="D264" s="7">
        <v>0</v>
      </c>
      <c r="E264" s="3">
        <f t="shared" si="62"/>
        <v>1</v>
      </c>
      <c r="F264" s="3" t="s">
        <v>867</v>
      </c>
      <c r="G264" s="77">
        <v>0</v>
      </c>
      <c r="H264" s="65" t="s">
        <v>1</v>
      </c>
      <c r="I264" s="78">
        <f t="shared" si="66"/>
        <v>0</v>
      </c>
      <c r="J264" s="110">
        <f t="shared" si="67"/>
        <v>75</v>
      </c>
      <c r="K264" s="4">
        <v>12</v>
      </c>
      <c r="L264" s="65" t="s">
        <v>1</v>
      </c>
      <c r="M264" s="80">
        <f t="shared" si="63"/>
        <v>12</v>
      </c>
      <c r="N264" s="78">
        <f t="shared" si="64"/>
        <v>900</v>
      </c>
      <c r="O264" s="111">
        <f t="shared" si="65"/>
        <v>900</v>
      </c>
      <c r="P264" s="125">
        <v>15</v>
      </c>
      <c r="Q264" s="49">
        <v>18</v>
      </c>
      <c r="R264" s="125"/>
      <c r="S264" s="134"/>
      <c r="T264" s="49"/>
      <c r="U264" s="49">
        <v>149610</v>
      </c>
    </row>
    <row r="265" spans="1:21" x14ac:dyDescent="0.25">
      <c r="A265" s="72">
        <v>10</v>
      </c>
      <c r="B265" s="64" t="s">
        <v>110</v>
      </c>
      <c r="C265" s="65">
        <v>1</v>
      </c>
      <c r="D265" s="7">
        <v>0</v>
      </c>
      <c r="E265" s="3">
        <f t="shared" si="62"/>
        <v>1</v>
      </c>
      <c r="F265" s="3" t="s">
        <v>867</v>
      </c>
      <c r="G265" s="77">
        <v>7679.58</v>
      </c>
      <c r="H265" s="65" t="s">
        <v>1</v>
      </c>
      <c r="I265" s="78">
        <f t="shared" si="66"/>
        <v>7679.58</v>
      </c>
      <c r="J265" s="110">
        <f t="shared" si="67"/>
        <v>75</v>
      </c>
      <c r="K265" s="4">
        <v>10.8</v>
      </c>
      <c r="L265" s="65" t="s">
        <v>1</v>
      </c>
      <c r="M265" s="80">
        <f t="shared" si="63"/>
        <v>10.8</v>
      </c>
      <c r="N265" s="78">
        <f t="shared" si="64"/>
        <v>810</v>
      </c>
      <c r="O265" s="111">
        <f t="shared" si="65"/>
        <v>8489.58</v>
      </c>
      <c r="P265" s="125">
        <v>13.5</v>
      </c>
      <c r="Q265" s="49">
        <v>16.2</v>
      </c>
      <c r="R265" s="125">
        <v>26</v>
      </c>
      <c r="S265" s="134">
        <v>32.5</v>
      </c>
      <c r="T265" s="49">
        <v>39</v>
      </c>
      <c r="U265" s="49">
        <v>149613</v>
      </c>
    </row>
    <row r="266" spans="1:21" x14ac:dyDescent="0.25">
      <c r="A266" s="72">
        <v>11</v>
      </c>
      <c r="B266" s="64" t="s">
        <v>413</v>
      </c>
      <c r="C266" s="65">
        <v>1</v>
      </c>
      <c r="D266" s="7">
        <v>0</v>
      </c>
      <c r="E266" s="3">
        <f t="shared" si="62"/>
        <v>1</v>
      </c>
      <c r="F266" s="3" t="s">
        <v>867</v>
      </c>
      <c r="G266" s="77">
        <v>0</v>
      </c>
      <c r="H266" s="65" t="s">
        <v>1</v>
      </c>
      <c r="I266" s="78">
        <f t="shared" si="66"/>
        <v>0</v>
      </c>
      <c r="J266" s="110">
        <f t="shared" si="67"/>
        <v>75</v>
      </c>
      <c r="K266" s="4">
        <v>12</v>
      </c>
      <c r="L266" s="65" t="s">
        <v>1</v>
      </c>
      <c r="M266" s="80">
        <f t="shared" si="63"/>
        <v>12</v>
      </c>
      <c r="N266" s="78">
        <f t="shared" si="64"/>
        <v>900</v>
      </c>
      <c r="O266" s="111">
        <f t="shared" si="65"/>
        <v>900</v>
      </c>
      <c r="P266" s="125">
        <v>15</v>
      </c>
      <c r="Q266" s="49">
        <v>18</v>
      </c>
      <c r="R266" s="125">
        <v>26</v>
      </c>
      <c r="S266" s="134">
        <v>32.5</v>
      </c>
      <c r="T266" s="49">
        <v>39</v>
      </c>
      <c r="U266" s="49">
        <v>149616</v>
      </c>
    </row>
    <row r="267" spans="1:21" x14ac:dyDescent="0.25">
      <c r="A267" s="72">
        <v>12</v>
      </c>
      <c r="B267" s="64" t="s">
        <v>414</v>
      </c>
      <c r="C267" s="65">
        <v>1</v>
      </c>
      <c r="D267" s="7">
        <v>0</v>
      </c>
      <c r="E267" s="3">
        <f t="shared" si="62"/>
        <v>1</v>
      </c>
      <c r="F267" s="3" t="s">
        <v>867</v>
      </c>
      <c r="G267" s="77">
        <v>0</v>
      </c>
      <c r="H267" s="65" t="s">
        <v>1</v>
      </c>
      <c r="I267" s="78">
        <f t="shared" si="66"/>
        <v>0</v>
      </c>
      <c r="J267" s="110">
        <f t="shared" si="67"/>
        <v>75</v>
      </c>
      <c r="K267" s="4">
        <v>13.2</v>
      </c>
      <c r="L267" s="65" t="s">
        <v>1</v>
      </c>
      <c r="M267" s="80">
        <f t="shared" si="63"/>
        <v>13.2</v>
      </c>
      <c r="N267" s="78">
        <f t="shared" si="64"/>
        <v>990</v>
      </c>
      <c r="O267" s="111">
        <f t="shared" si="65"/>
        <v>990</v>
      </c>
      <c r="P267" s="125">
        <v>16.5</v>
      </c>
      <c r="Q267" s="49">
        <v>19.8</v>
      </c>
      <c r="R267" s="125"/>
      <c r="S267" s="134"/>
      <c r="T267" s="49"/>
      <c r="U267" s="49">
        <v>149619</v>
      </c>
    </row>
    <row r="268" spans="1:21" x14ac:dyDescent="0.25">
      <c r="A268" s="72">
        <v>13</v>
      </c>
      <c r="B268" s="64" t="s">
        <v>415</v>
      </c>
      <c r="C268" s="65">
        <v>1</v>
      </c>
      <c r="D268" s="7">
        <v>0</v>
      </c>
      <c r="E268" s="3">
        <f t="shared" si="62"/>
        <v>1</v>
      </c>
      <c r="F268" s="3" t="s">
        <v>867</v>
      </c>
      <c r="G268" s="77">
        <v>0</v>
      </c>
      <c r="H268" s="65" t="s">
        <v>1</v>
      </c>
      <c r="I268" s="78">
        <f t="shared" si="66"/>
        <v>0</v>
      </c>
      <c r="J268" s="110">
        <f t="shared" si="67"/>
        <v>75</v>
      </c>
      <c r="K268" s="4">
        <v>13.2</v>
      </c>
      <c r="L268" s="65" t="s">
        <v>1</v>
      </c>
      <c r="M268" s="80">
        <f t="shared" si="63"/>
        <v>13.2</v>
      </c>
      <c r="N268" s="78">
        <f t="shared" si="64"/>
        <v>990</v>
      </c>
      <c r="O268" s="111">
        <f t="shared" si="65"/>
        <v>990</v>
      </c>
      <c r="P268" s="125">
        <v>16.5</v>
      </c>
      <c r="Q268" s="49">
        <v>19.8</v>
      </c>
      <c r="R268" s="125">
        <v>29</v>
      </c>
      <c r="S268" s="134">
        <v>36.25</v>
      </c>
      <c r="T268" s="49">
        <v>43.5</v>
      </c>
      <c r="U268" s="49">
        <v>149622</v>
      </c>
    </row>
    <row r="269" spans="1:21" x14ac:dyDescent="0.25">
      <c r="A269" s="72">
        <v>14</v>
      </c>
      <c r="B269" s="64" t="s">
        <v>416</v>
      </c>
      <c r="C269" s="65">
        <v>1</v>
      </c>
      <c r="D269" s="7">
        <v>0</v>
      </c>
      <c r="E269" s="3">
        <f t="shared" si="62"/>
        <v>1</v>
      </c>
      <c r="F269" s="3" t="s">
        <v>867</v>
      </c>
      <c r="G269" s="77">
        <v>0</v>
      </c>
      <c r="H269" s="65" t="s">
        <v>1</v>
      </c>
      <c r="I269" s="78">
        <f t="shared" si="66"/>
        <v>0</v>
      </c>
      <c r="J269" s="110">
        <f t="shared" si="67"/>
        <v>75</v>
      </c>
      <c r="K269" s="4">
        <v>13.2</v>
      </c>
      <c r="L269" s="65" t="s">
        <v>1</v>
      </c>
      <c r="M269" s="80">
        <f t="shared" si="63"/>
        <v>13.2</v>
      </c>
      <c r="N269" s="78">
        <f t="shared" si="64"/>
        <v>990</v>
      </c>
      <c r="O269" s="111">
        <f t="shared" si="65"/>
        <v>990</v>
      </c>
      <c r="P269" s="125">
        <v>16.5</v>
      </c>
      <c r="Q269" s="49">
        <v>19.8</v>
      </c>
      <c r="R269" s="125"/>
      <c r="S269" s="134"/>
      <c r="T269" s="49"/>
      <c r="U269" s="49">
        <v>149625</v>
      </c>
    </row>
    <row r="270" spans="1:21" x14ac:dyDescent="0.25">
      <c r="A270" s="72">
        <v>15</v>
      </c>
      <c r="B270" s="64" t="s">
        <v>417</v>
      </c>
      <c r="C270" s="65">
        <v>1</v>
      </c>
      <c r="D270" s="7">
        <v>0</v>
      </c>
      <c r="E270" s="3">
        <f t="shared" si="62"/>
        <v>1</v>
      </c>
      <c r="F270" s="3" t="s">
        <v>867</v>
      </c>
      <c r="G270" s="77">
        <v>0</v>
      </c>
      <c r="H270" s="65" t="s">
        <v>1</v>
      </c>
      <c r="I270" s="78">
        <f t="shared" si="66"/>
        <v>0</v>
      </c>
      <c r="J270" s="110">
        <f t="shared" si="67"/>
        <v>75</v>
      </c>
      <c r="K270" s="4">
        <v>15</v>
      </c>
      <c r="L270" s="65" t="s">
        <v>1</v>
      </c>
      <c r="M270" s="80">
        <f t="shared" si="63"/>
        <v>15</v>
      </c>
      <c r="N270" s="78">
        <f t="shared" si="64"/>
        <v>1125</v>
      </c>
      <c r="O270" s="111">
        <f t="shared" si="65"/>
        <v>1125</v>
      </c>
      <c r="P270" s="125">
        <v>18.75</v>
      </c>
      <c r="Q270" s="49">
        <v>22.5</v>
      </c>
      <c r="R270" s="125"/>
      <c r="S270" s="134"/>
      <c r="T270" s="49"/>
      <c r="U270" s="49">
        <v>149628</v>
      </c>
    </row>
    <row r="271" spans="1:21" x14ac:dyDescent="0.25">
      <c r="A271" s="72">
        <v>16</v>
      </c>
      <c r="B271" s="64" t="s">
        <v>418</v>
      </c>
      <c r="C271" s="65">
        <v>1</v>
      </c>
      <c r="D271" s="7">
        <v>0</v>
      </c>
      <c r="E271" s="3">
        <f t="shared" si="62"/>
        <v>1</v>
      </c>
      <c r="F271" s="3" t="s">
        <v>867</v>
      </c>
      <c r="G271" s="77">
        <v>0</v>
      </c>
      <c r="H271" s="65" t="s">
        <v>1</v>
      </c>
      <c r="I271" s="78">
        <f t="shared" si="66"/>
        <v>0</v>
      </c>
      <c r="J271" s="110">
        <f t="shared" si="67"/>
        <v>75</v>
      </c>
      <c r="K271" s="4">
        <v>15</v>
      </c>
      <c r="L271" s="65" t="s">
        <v>1</v>
      </c>
      <c r="M271" s="80">
        <f t="shared" si="63"/>
        <v>15</v>
      </c>
      <c r="N271" s="78">
        <f t="shared" si="64"/>
        <v>1125</v>
      </c>
      <c r="O271" s="111">
        <f t="shared" si="65"/>
        <v>1125</v>
      </c>
      <c r="P271" s="125">
        <v>18.75</v>
      </c>
      <c r="Q271" s="49">
        <v>22.5</v>
      </c>
      <c r="R271" s="125"/>
      <c r="S271" s="134"/>
      <c r="T271" s="49"/>
      <c r="U271" s="49">
        <v>149631</v>
      </c>
    </row>
    <row r="272" spans="1:21" x14ac:dyDescent="0.25">
      <c r="A272" s="72">
        <v>17</v>
      </c>
      <c r="B272" s="64" t="s">
        <v>419</v>
      </c>
      <c r="C272" s="65">
        <v>1</v>
      </c>
      <c r="D272" s="7">
        <v>0</v>
      </c>
      <c r="E272" s="3">
        <f t="shared" si="62"/>
        <v>1</v>
      </c>
      <c r="F272" s="3" t="s">
        <v>867</v>
      </c>
      <c r="G272" s="77">
        <v>0</v>
      </c>
      <c r="H272" s="65" t="s">
        <v>1</v>
      </c>
      <c r="I272" s="78">
        <f t="shared" si="66"/>
        <v>0</v>
      </c>
      <c r="J272" s="110">
        <f t="shared" si="67"/>
        <v>75</v>
      </c>
      <c r="K272" s="4">
        <v>12</v>
      </c>
      <c r="L272" s="65" t="s">
        <v>1</v>
      </c>
      <c r="M272" s="80">
        <f t="shared" si="63"/>
        <v>12</v>
      </c>
      <c r="N272" s="78">
        <f t="shared" si="64"/>
        <v>900</v>
      </c>
      <c r="O272" s="111">
        <f t="shared" si="65"/>
        <v>900</v>
      </c>
      <c r="P272" s="125">
        <v>15</v>
      </c>
      <c r="Q272" s="49">
        <v>18</v>
      </c>
      <c r="R272" s="125"/>
      <c r="S272" s="134"/>
      <c r="T272" s="49"/>
      <c r="U272" s="49">
        <v>149634</v>
      </c>
    </row>
    <row r="273" spans="1:21" ht="15.75" thickBot="1" x14ac:dyDescent="0.3">
      <c r="A273" s="72">
        <v>18</v>
      </c>
      <c r="B273" s="222" t="s">
        <v>420</v>
      </c>
      <c r="C273" s="65">
        <v>1</v>
      </c>
      <c r="D273" s="7">
        <v>0</v>
      </c>
      <c r="E273" s="3">
        <f t="shared" si="62"/>
        <v>1</v>
      </c>
      <c r="F273" s="3" t="s">
        <v>867</v>
      </c>
      <c r="G273" s="77">
        <v>0</v>
      </c>
      <c r="H273" s="65" t="s">
        <v>1</v>
      </c>
      <c r="I273" s="78">
        <f t="shared" si="66"/>
        <v>0</v>
      </c>
      <c r="J273" s="110">
        <f t="shared" si="67"/>
        <v>75</v>
      </c>
      <c r="K273" s="4">
        <v>12</v>
      </c>
      <c r="L273" s="65" t="s">
        <v>1</v>
      </c>
      <c r="M273" s="80">
        <f t="shared" si="63"/>
        <v>12</v>
      </c>
      <c r="N273" s="78">
        <f t="shared" si="64"/>
        <v>900</v>
      </c>
      <c r="O273" s="111">
        <f t="shared" si="65"/>
        <v>900</v>
      </c>
      <c r="P273" s="125">
        <v>15</v>
      </c>
      <c r="Q273" s="49">
        <v>18</v>
      </c>
      <c r="R273" s="125"/>
      <c r="S273" s="134"/>
      <c r="T273" s="49"/>
      <c r="U273" s="49">
        <v>149637</v>
      </c>
    </row>
    <row r="274" spans="1:21" ht="15.75" thickBot="1" x14ac:dyDescent="0.3">
      <c r="A274" s="220"/>
      <c r="B274" s="219" t="s">
        <v>2598</v>
      </c>
      <c r="C274" s="221"/>
      <c r="D274" s="7"/>
      <c r="E274" s="3"/>
      <c r="F274" s="3"/>
      <c r="G274" s="77" t="s">
        <v>1202</v>
      </c>
      <c r="H274" s="65"/>
      <c r="I274" s="78"/>
      <c r="J274" s="64"/>
      <c r="K274" s="4"/>
      <c r="L274" s="65"/>
      <c r="M274" s="80"/>
      <c r="N274" s="78"/>
      <c r="O274" s="111"/>
      <c r="P274" s="125"/>
      <c r="Q274" s="49"/>
      <c r="R274" s="125"/>
      <c r="S274" s="134"/>
      <c r="T274" s="49"/>
      <c r="U274" s="49"/>
    </row>
    <row r="275" spans="1:21" x14ac:dyDescent="0.25">
      <c r="A275" s="72">
        <v>1</v>
      </c>
      <c r="B275" s="218" t="s">
        <v>113</v>
      </c>
      <c r="C275" s="65">
        <v>1</v>
      </c>
      <c r="D275" s="7">
        <v>0</v>
      </c>
      <c r="E275" s="3">
        <f t="shared" si="62"/>
        <v>1</v>
      </c>
      <c r="F275" s="3" t="s">
        <v>867</v>
      </c>
      <c r="G275" s="77">
        <v>207.08</v>
      </c>
      <c r="H275" s="65" t="s">
        <v>1</v>
      </c>
      <c r="I275" s="78">
        <f t="shared" si="66"/>
        <v>207.08</v>
      </c>
      <c r="J275" s="110">
        <f t="shared" si="67"/>
        <v>75</v>
      </c>
      <c r="K275" s="4">
        <v>1</v>
      </c>
      <c r="L275" s="65" t="s">
        <v>1</v>
      </c>
      <c r="M275" s="80">
        <f t="shared" si="63"/>
        <v>1</v>
      </c>
      <c r="N275" s="78">
        <f t="shared" si="64"/>
        <v>75</v>
      </c>
      <c r="O275" s="111">
        <f t="shared" si="65"/>
        <v>282.08000000000004</v>
      </c>
      <c r="P275" s="125">
        <v>1.25</v>
      </c>
      <c r="Q275" s="49">
        <v>1.5</v>
      </c>
      <c r="R275" s="125">
        <v>2</v>
      </c>
      <c r="S275" s="134">
        <v>2.5</v>
      </c>
      <c r="T275" s="49">
        <v>3</v>
      </c>
      <c r="U275" s="49">
        <v>149073</v>
      </c>
    </row>
    <row r="276" spans="1:21" x14ac:dyDescent="0.25">
      <c r="A276" s="72">
        <v>2</v>
      </c>
      <c r="B276" s="64" t="s">
        <v>123</v>
      </c>
      <c r="C276" s="65">
        <v>1</v>
      </c>
      <c r="D276" s="7">
        <v>0</v>
      </c>
      <c r="E276" s="3">
        <f t="shared" si="62"/>
        <v>1</v>
      </c>
      <c r="F276" s="3" t="s">
        <v>867</v>
      </c>
      <c r="G276" s="77">
        <v>239.68</v>
      </c>
      <c r="H276" s="65" t="s">
        <v>1</v>
      </c>
      <c r="I276" s="78">
        <f t="shared" si="66"/>
        <v>239.68</v>
      </c>
      <c r="J276" s="110">
        <f t="shared" si="67"/>
        <v>75</v>
      </c>
      <c r="K276" s="4">
        <v>1.1000000000000001</v>
      </c>
      <c r="L276" s="65" t="s">
        <v>1</v>
      </c>
      <c r="M276" s="80">
        <f t="shared" si="63"/>
        <v>1.1000000000000001</v>
      </c>
      <c r="N276" s="78">
        <f t="shared" si="64"/>
        <v>82.5</v>
      </c>
      <c r="O276" s="111">
        <f t="shared" si="65"/>
        <v>322.18</v>
      </c>
      <c r="P276" s="125">
        <v>1.38</v>
      </c>
      <c r="Q276" s="49">
        <v>1.65</v>
      </c>
      <c r="R276" s="125">
        <v>2.2000000000000002</v>
      </c>
      <c r="S276" s="134">
        <v>2.75</v>
      </c>
      <c r="T276" s="49">
        <v>3.3</v>
      </c>
      <c r="U276" s="49">
        <v>149076</v>
      </c>
    </row>
    <row r="277" spans="1:21" x14ac:dyDescent="0.25">
      <c r="A277" s="72">
        <v>3</v>
      </c>
      <c r="B277" s="64" t="s">
        <v>421</v>
      </c>
      <c r="C277" s="65">
        <v>1</v>
      </c>
      <c r="D277" s="7">
        <v>0</v>
      </c>
      <c r="E277" s="3">
        <f t="shared" si="62"/>
        <v>1</v>
      </c>
      <c r="F277" s="3" t="s">
        <v>867</v>
      </c>
      <c r="G277" s="77">
        <v>0</v>
      </c>
      <c r="H277" s="65" t="s">
        <v>1</v>
      </c>
      <c r="I277" s="78">
        <f t="shared" si="66"/>
        <v>0</v>
      </c>
      <c r="J277" s="110">
        <f t="shared" si="67"/>
        <v>75</v>
      </c>
      <c r="K277" s="4">
        <v>1.2</v>
      </c>
      <c r="L277" s="65" t="s">
        <v>1</v>
      </c>
      <c r="M277" s="80">
        <f t="shared" si="63"/>
        <v>1.2</v>
      </c>
      <c r="N277" s="78">
        <f t="shared" si="64"/>
        <v>90</v>
      </c>
      <c r="O277" s="111">
        <f t="shared" si="65"/>
        <v>90</v>
      </c>
      <c r="P277" s="125">
        <v>1.5</v>
      </c>
      <c r="Q277" s="49">
        <v>1.8</v>
      </c>
      <c r="R277" s="125"/>
      <c r="S277" s="134"/>
      <c r="T277" s="49"/>
      <c r="U277" s="49">
        <v>149079</v>
      </c>
    </row>
    <row r="278" spans="1:21" x14ac:dyDescent="0.25">
      <c r="A278" s="72">
        <v>4</v>
      </c>
      <c r="B278" s="64" t="s">
        <v>422</v>
      </c>
      <c r="C278" s="65">
        <v>1</v>
      </c>
      <c r="D278" s="7">
        <v>0</v>
      </c>
      <c r="E278" s="3">
        <f t="shared" si="62"/>
        <v>1</v>
      </c>
      <c r="F278" s="3" t="s">
        <v>867</v>
      </c>
      <c r="G278" s="77">
        <v>0</v>
      </c>
      <c r="H278" s="65" t="s">
        <v>1</v>
      </c>
      <c r="I278" s="78">
        <f t="shared" si="66"/>
        <v>0</v>
      </c>
      <c r="J278" s="110">
        <f t="shared" si="67"/>
        <v>75</v>
      </c>
      <c r="K278" s="4">
        <v>1.2</v>
      </c>
      <c r="L278" s="65" t="s">
        <v>1</v>
      </c>
      <c r="M278" s="80">
        <f t="shared" si="63"/>
        <v>1.2</v>
      </c>
      <c r="N278" s="78">
        <f t="shared" si="64"/>
        <v>90</v>
      </c>
      <c r="O278" s="111">
        <f t="shared" si="65"/>
        <v>90</v>
      </c>
      <c r="P278" s="125">
        <v>1.5</v>
      </c>
      <c r="Q278" s="49">
        <v>1.8</v>
      </c>
      <c r="R278" s="125">
        <v>2.4</v>
      </c>
      <c r="S278" s="134">
        <v>3</v>
      </c>
      <c r="T278" s="49">
        <v>3.6</v>
      </c>
      <c r="U278" s="49">
        <v>149082</v>
      </c>
    </row>
    <row r="279" spans="1:21" x14ac:dyDescent="0.25">
      <c r="A279" s="72">
        <v>5</v>
      </c>
      <c r="B279" s="64" t="s">
        <v>423</v>
      </c>
      <c r="C279" s="65">
        <v>1</v>
      </c>
      <c r="D279" s="7">
        <v>0</v>
      </c>
      <c r="E279" s="3">
        <f t="shared" si="62"/>
        <v>1</v>
      </c>
      <c r="F279" s="3" t="s">
        <v>867</v>
      </c>
      <c r="G279" s="77">
        <v>0</v>
      </c>
      <c r="H279" s="65" t="s">
        <v>1</v>
      </c>
      <c r="I279" s="78">
        <f t="shared" si="66"/>
        <v>0</v>
      </c>
      <c r="J279" s="110">
        <f t="shared" si="67"/>
        <v>75</v>
      </c>
      <c r="K279" s="4">
        <v>1.2</v>
      </c>
      <c r="L279" s="65" t="s">
        <v>1</v>
      </c>
      <c r="M279" s="80">
        <f t="shared" si="63"/>
        <v>1.2</v>
      </c>
      <c r="N279" s="78">
        <f t="shared" si="64"/>
        <v>90</v>
      </c>
      <c r="O279" s="111">
        <f t="shared" si="65"/>
        <v>90</v>
      </c>
      <c r="P279" s="125">
        <v>1.5</v>
      </c>
      <c r="Q279" s="49">
        <v>1.8</v>
      </c>
      <c r="R279" s="125"/>
      <c r="S279" s="134"/>
      <c r="T279" s="49"/>
      <c r="U279" s="49">
        <v>149085</v>
      </c>
    </row>
    <row r="280" spans="1:21" x14ac:dyDescent="0.25">
      <c r="A280" s="72">
        <v>6</v>
      </c>
      <c r="B280" s="64" t="s">
        <v>424</v>
      </c>
      <c r="C280" s="65">
        <v>1</v>
      </c>
      <c r="D280" s="7">
        <v>0</v>
      </c>
      <c r="E280" s="3">
        <f t="shared" si="62"/>
        <v>1</v>
      </c>
      <c r="F280" s="3" t="s">
        <v>867</v>
      </c>
      <c r="G280" s="77">
        <v>0</v>
      </c>
      <c r="H280" s="65" t="s">
        <v>1</v>
      </c>
      <c r="I280" s="78">
        <f t="shared" si="66"/>
        <v>0</v>
      </c>
      <c r="J280" s="110">
        <f t="shared" si="67"/>
        <v>75</v>
      </c>
      <c r="K280" s="4">
        <v>2.7</v>
      </c>
      <c r="L280" s="65" t="s">
        <v>1</v>
      </c>
      <c r="M280" s="80">
        <f t="shared" si="63"/>
        <v>2.7</v>
      </c>
      <c r="N280" s="78">
        <f t="shared" si="64"/>
        <v>202.5</v>
      </c>
      <c r="O280" s="111">
        <f t="shared" si="65"/>
        <v>202.5</v>
      </c>
      <c r="P280" s="125">
        <v>3.38</v>
      </c>
      <c r="Q280" s="49">
        <v>4.05</v>
      </c>
      <c r="R280" s="125">
        <v>3.5</v>
      </c>
      <c r="S280" s="134">
        <v>4.3499999999999996</v>
      </c>
      <c r="T280" s="49">
        <v>5.25</v>
      </c>
      <c r="U280" s="49">
        <v>149088</v>
      </c>
    </row>
    <row r="281" spans="1:21" x14ac:dyDescent="0.25">
      <c r="A281" s="72">
        <v>7</v>
      </c>
      <c r="B281" s="64" t="s">
        <v>425</v>
      </c>
      <c r="C281" s="65">
        <v>1</v>
      </c>
      <c r="D281" s="7">
        <v>0</v>
      </c>
      <c r="E281" s="3">
        <f t="shared" si="62"/>
        <v>1</v>
      </c>
      <c r="F281" s="3" t="s">
        <v>867</v>
      </c>
      <c r="G281" s="77">
        <v>0</v>
      </c>
      <c r="H281" s="65" t="s">
        <v>1</v>
      </c>
      <c r="I281" s="78">
        <f t="shared" si="66"/>
        <v>0</v>
      </c>
      <c r="J281" s="110">
        <f t="shared" si="67"/>
        <v>75</v>
      </c>
      <c r="K281" s="4">
        <v>2.7</v>
      </c>
      <c r="L281" s="65" t="s">
        <v>1</v>
      </c>
      <c r="M281" s="80">
        <f t="shared" si="63"/>
        <v>2.7</v>
      </c>
      <c r="N281" s="78">
        <f t="shared" si="64"/>
        <v>202.5</v>
      </c>
      <c r="O281" s="111">
        <f t="shared" si="65"/>
        <v>202.5</v>
      </c>
      <c r="P281" s="125">
        <v>3.38</v>
      </c>
      <c r="Q281" s="49">
        <v>4.05</v>
      </c>
      <c r="R281" s="125">
        <v>3.5</v>
      </c>
      <c r="S281" s="134">
        <v>4.3499999999999996</v>
      </c>
      <c r="T281" s="49">
        <v>5.25</v>
      </c>
      <c r="U281" s="49">
        <v>149091</v>
      </c>
    </row>
    <row r="282" spans="1:21" x14ac:dyDescent="0.25">
      <c r="A282" s="72">
        <v>8</v>
      </c>
      <c r="B282" s="64" t="s">
        <v>426</v>
      </c>
      <c r="C282" s="65">
        <v>1</v>
      </c>
      <c r="D282" s="7">
        <v>0</v>
      </c>
      <c r="E282" s="3">
        <f t="shared" si="62"/>
        <v>1</v>
      </c>
      <c r="F282" s="3" t="s">
        <v>867</v>
      </c>
      <c r="G282" s="77">
        <v>368.38</v>
      </c>
      <c r="H282" s="65" t="s">
        <v>1</v>
      </c>
      <c r="I282" s="78">
        <f t="shared" si="66"/>
        <v>368.38</v>
      </c>
      <c r="J282" s="110">
        <f t="shared" si="67"/>
        <v>75</v>
      </c>
      <c r="K282" s="4">
        <v>1.1000000000000001</v>
      </c>
      <c r="L282" s="65" t="s">
        <v>1</v>
      </c>
      <c r="M282" s="80">
        <f t="shared" si="63"/>
        <v>1.1000000000000001</v>
      </c>
      <c r="N282" s="78">
        <f t="shared" si="64"/>
        <v>82.5</v>
      </c>
      <c r="O282" s="111">
        <f t="shared" si="65"/>
        <v>450.88</v>
      </c>
      <c r="P282" s="125">
        <v>1.38</v>
      </c>
      <c r="Q282" s="49">
        <v>1.65</v>
      </c>
      <c r="R282" s="125"/>
      <c r="S282" s="134"/>
      <c r="T282" s="49"/>
      <c r="U282" s="49">
        <v>149094</v>
      </c>
    </row>
    <row r="283" spans="1:21" x14ac:dyDescent="0.25">
      <c r="A283" s="72">
        <v>9</v>
      </c>
      <c r="B283" s="64" t="s">
        <v>427</v>
      </c>
      <c r="C283" s="65">
        <v>1</v>
      </c>
      <c r="D283" s="7">
        <v>0</v>
      </c>
      <c r="E283" s="3">
        <f t="shared" si="62"/>
        <v>1</v>
      </c>
      <c r="F283" s="3" t="s">
        <v>867</v>
      </c>
      <c r="G283" s="77">
        <v>0</v>
      </c>
      <c r="H283" s="65" t="s">
        <v>1</v>
      </c>
      <c r="I283" s="78">
        <f t="shared" si="66"/>
        <v>0</v>
      </c>
      <c r="J283" s="110">
        <f t="shared" si="67"/>
        <v>75</v>
      </c>
      <c r="K283" s="4">
        <v>1.1000000000000001</v>
      </c>
      <c r="L283" s="65" t="s">
        <v>1</v>
      </c>
      <c r="M283" s="80">
        <f t="shared" si="63"/>
        <v>1.1000000000000001</v>
      </c>
      <c r="N283" s="78">
        <f t="shared" si="64"/>
        <v>82.5</v>
      </c>
      <c r="O283" s="111">
        <f t="shared" si="65"/>
        <v>82.5</v>
      </c>
      <c r="P283" s="125">
        <v>1.38</v>
      </c>
      <c r="Q283" s="49">
        <v>1.65</v>
      </c>
      <c r="R283" s="125"/>
      <c r="S283" s="134"/>
      <c r="T283" s="49"/>
      <c r="U283" s="49">
        <v>149097</v>
      </c>
    </row>
    <row r="284" spans="1:21" x14ac:dyDescent="0.25">
      <c r="A284" s="72"/>
      <c r="B284" s="64"/>
      <c r="C284" s="65"/>
      <c r="D284" s="7"/>
      <c r="E284" s="3"/>
      <c r="F284" s="3"/>
      <c r="G284" s="77" t="s">
        <v>1202</v>
      </c>
      <c r="H284" s="65"/>
      <c r="I284" s="78"/>
      <c r="J284" s="64"/>
      <c r="K284" s="4"/>
      <c r="L284" s="65"/>
      <c r="M284" s="80"/>
      <c r="N284" s="78"/>
      <c r="O284" s="111"/>
      <c r="P284" s="125"/>
      <c r="Q284" s="49"/>
      <c r="R284" s="125"/>
      <c r="S284" s="134"/>
      <c r="T284" s="49"/>
      <c r="U284" s="49"/>
    </row>
    <row r="285" spans="1:21" x14ac:dyDescent="0.25">
      <c r="A285" s="72">
        <v>1</v>
      </c>
      <c r="B285" s="64" t="s">
        <v>115</v>
      </c>
      <c r="C285" s="65">
        <v>1</v>
      </c>
      <c r="D285" s="7">
        <v>0</v>
      </c>
      <c r="E285" s="3">
        <f t="shared" si="62"/>
        <v>1</v>
      </c>
      <c r="F285" s="3" t="s">
        <v>867</v>
      </c>
      <c r="G285" s="77">
        <v>254.37</v>
      </c>
      <c r="H285" s="65" t="s">
        <v>1</v>
      </c>
      <c r="I285" s="78">
        <f t="shared" si="66"/>
        <v>254.37</v>
      </c>
      <c r="J285" s="110">
        <f t="shared" si="67"/>
        <v>75</v>
      </c>
      <c r="K285" s="4">
        <v>1.4</v>
      </c>
      <c r="L285" s="65" t="s">
        <v>1</v>
      </c>
      <c r="M285" s="80">
        <f t="shared" si="63"/>
        <v>1.4</v>
      </c>
      <c r="N285" s="78">
        <f t="shared" si="64"/>
        <v>105</v>
      </c>
      <c r="O285" s="111">
        <f t="shared" si="65"/>
        <v>359.37</v>
      </c>
      <c r="P285" s="125">
        <v>1.75</v>
      </c>
      <c r="Q285" s="49">
        <v>2.1</v>
      </c>
      <c r="R285" s="125">
        <v>3</v>
      </c>
      <c r="S285" s="134">
        <v>3.75</v>
      </c>
      <c r="T285" s="49">
        <v>4.5</v>
      </c>
      <c r="U285" s="49">
        <v>149154</v>
      </c>
    </row>
    <row r="286" spans="1:21" x14ac:dyDescent="0.25">
      <c r="A286" s="72">
        <v>2</v>
      </c>
      <c r="B286" s="64" t="s">
        <v>125</v>
      </c>
      <c r="C286" s="65">
        <v>1</v>
      </c>
      <c r="D286" s="7">
        <v>0</v>
      </c>
      <c r="E286" s="3">
        <f t="shared" si="62"/>
        <v>1</v>
      </c>
      <c r="F286" s="3" t="s">
        <v>867</v>
      </c>
      <c r="G286" s="77">
        <v>429.58</v>
      </c>
      <c r="H286" s="65" t="s">
        <v>1</v>
      </c>
      <c r="I286" s="78">
        <f t="shared" si="66"/>
        <v>429.58</v>
      </c>
      <c r="J286" s="110">
        <f t="shared" si="67"/>
        <v>75</v>
      </c>
      <c r="K286" s="4">
        <v>1.55</v>
      </c>
      <c r="L286" s="65" t="s">
        <v>1</v>
      </c>
      <c r="M286" s="80">
        <f t="shared" si="63"/>
        <v>1.55</v>
      </c>
      <c r="N286" s="78">
        <f t="shared" si="64"/>
        <v>116.25</v>
      </c>
      <c r="O286" s="111">
        <f t="shared" si="65"/>
        <v>545.82999999999993</v>
      </c>
      <c r="P286" s="125">
        <v>1.94</v>
      </c>
      <c r="Q286" s="49">
        <v>2.33</v>
      </c>
      <c r="R286" s="125">
        <v>3.3</v>
      </c>
      <c r="S286" s="134">
        <v>4.13</v>
      </c>
      <c r="T286" s="49">
        <v>4.95</v>
      </c>
      <c r="U286" s="49">
        <v>149157</v>
      </c>
    </row>
    <row r="287" spans="1:21" x14ac:dyDescent="0.25">
      <c r="A287" s="72">
        <v>3</v>
      </c>
      <c r="B287" s="64" t="s">
        <v>428</v>
      </c>
      <c r="C287" s="65">
        <v>1</v>
      </c>
      <c r="D287" s="7">
        <v>0</v>
      </c>
      <c r="E287" s="3">
        <f t="shared" si="62"/>
        <v>1</v>
      </c>
      <c r="F287" s="3" t="s">
        <v>867</v>
      </c>
      <c r="G287" s="77">
        <v>0</v>
      </c>
      <c r="H287" s="65" t="s">
        <v>1</v>
      </c>
      <c r="I287" s="78">
        <f t="shared" si="66"/>
        <v>0</v>
      </c>
      <c r="J287" s="110">
        <f t="shared" si="67"/>
        <v>75</v>
      </c>
      <c r="K287" s="4">
        <v>1.7</v>
      </c>
      <c r="L287" s="65" t="s">
        <v>1</v>
      </c>
      <c r="M287" s="80">
        <f t="shared" si="63"/>
        <v>1.7</v>
      </c>
      <c r="N287" s="78">
        <f t="shared" si="64"/>
        <v>127.5</v>
      </c>
      <c r="O287" s="111">
        <f t="shared" si="65"/>
        <v>127.5</v>
      </c>
      <c r="P287" s="125">
        <v>2.13</v>
      </c>
      <c r="Q287" s="49">
        <v>2.5499999999999998</v>
      </c>
      <c r="R287" s="125"/>
      <c r="S287" s="134"/>
      <c r="T287" s="49"/>
      <c r="U287" s="49">
        <v>149160</v>
      </c>
    </row>
    <row r="288" spans="1:21" x14ac:dyDescent="0.25">
      <c r="A288" s="72">
        <v>4</v>
      </c>
      <c r="B288" s="64" t="s">
        <v>429</v>
      </c>
      <c r="C288" s="65">
        <v>1</v>
      </c>
      <c r="D288" s="7">
        <v>0</v>
      </c>
      <c r="E288" s="3">
        <f t="shared" si="62"/>
        <v>1</v>
      </c>
      <c r="F288" s="3" t="s">
        <v>867</v>
      </c>
      <c r="G288" s="77">
        <v>0</v>
      </c>
      <c r="H288" s="65" t="s">
        <v>1</v>
      </c>
      <c r="I288" s="78">
        <f t="shared" si="66"/>
        <v>0</v>
      </c>
      <c r="J288" s="110">
        <f t="shared" si="67"/>
        <v>75</v>
      </c>
      <c r="K288" s="4">
        <v>1.7</v>
      </c>
      <c r="L288" s="65" t="s">
        <v>1</v>
      </c>
      <c r="M288" s="80">
        <f t="shared" si="63"/>
        <v>1.7</v>
      </c>
      <c r="N288" s="78">
        <f t="shared" si="64"/>
        <v>127.5</v>
      </c>
      <c r="O288" s="111">
        <f t="shared" si="65"/>
        <v>127.5</v>
      </c>
      <c r="P288" s="125">
        <v>2.13</v>
      </c>
      <c r="Q288" s="49">
        <v>2.5499999999999998</v>
      </c>
      <c r="R288" s="125">
        <v>3.6</v>
      </c>
      <c r="S288" s="134">
        <v>4.5</v>
      </c>
      <c r="T288" s="49">
        <v>5.4</v>
      </c>
      <c r="U288" s="49">
        <v>149163</v>
      </c>
    </row>
    <row r="289" spans="1:21" x14ac:dyDescent="0.25">
      <c r="A289" s="72">
        <v>5</v>
      </c>
      <c r="B289" s="64" t="s">
        <v>430</v>
      </c>
      <c r="C289" s="65">
        <v>1</v>
      </c>
      <c r="D289" s="7">
        <v>0</v>
      </c>
      <c r="E289" s="3">
        <f t="shared" si="62"/>
        <v>1</v>
      </c>
      <c r="F289" s="3" t="s">
        <v>867</v>
      </c>
      <c r="G289" s="77">
        <v>0</v>
      </c>
      <c r="H289" s="65" t="s">
        <v>1</v>
      </c>
      <c r="I289" s="78">
        <f t="shared" si="66"/>
        <v>0</v>
      </c>
      <c r="J289" s="110">
        <f t="shared" si="67"/>
        <v>75</v>
      </c>
      <c r="K289" s="4">
        <v>1.7</v>
      </c>
      <c r="L289" s="65" t="s">
        <v>1</v>
      </c>
      <c r="M289" s="80">
        <f t="shared" si="63"/>
        <v>1.7</v>
      </c>
      <c r="N289" s="78">
        <f t="shared" si="64"/>
        <v>127.5</v>
      </c>
      <c r="O289" s="111">
        <f t="shared" si="65"/>
        <v>127.5</v>
      </c>
      <c r="P289" s="125">
        <v>2.13</v>
      </c>
      <c r="Q289" s="49">
        <v>2.5499999999999998</v>
      </c>
      <c r="R289" s="125"/>
      <c r="S289" s="134"/>
      <c r="T289" s="49"/>
      <c r="U289" s="49">
        <v>149166</v>
      </c>
    </row>
    <row r="290" spans="1:21" x14ac:dyDescent="0.25">
      <c r="A290" s="72">
        <v>6</v>
      </c>
      <c r="B290" s="64" t="s">
        <v>431</v>
      </c>
      <c r="C290" s="65">
        <v>1</v>
      </c>
      <c r="D290" s="7">
        <v>0</v>
      </c>
      <c r="E290" s="3">
        <f t="shared" si="62"/>
        <v>1</v>
      </c>
      <c r="F290" s="3" t="s">
        <v>867</v>
      </c>
      <c r="G290" s="77">
        <v>0</v>
      </c>
      <c r="H290" s="65" t="s">
        <v>1</v>
      </c>
      <c r="I290" s="78">
        <f t="shared" si="66"/>
        <v>0</v>
      </c>
      <c r="J290" s="110">
        <f t="shared" si="67"/>
        <v>75</v>
      </c>
      <c r="K290" s="4">
        <v>3.2</v>
      </c>
      <c r="L290" s="65" t="s">
        <v>1</v>
      </c>
      <c r="M290" s="80">
        <f t="shared" si="63"/>
        <v>3.2</v>
      </c>
      <c r="N290" s="78">
        <f t="shared" si="64"/>
        <v>240</v>
      </c>
      <c r="O290" s="111">
        <f t="shared" si="65"/>
        <v>240</v>
      </c>
      <c r="P290" s="125">
        <v>4</v>
      </c>
      <c r="Q290" s="49">
        <v>4.8</v>
      </c>
      <c r="R290" s="125">
        <v>4</v>
      </c>
      <c r="S290" s="134">
        <v>5</v>
      </c>
      <c r="T290" s="49">
        <v>6</v>
      </c>
      <c r="U290" s="49">
        <v>149169</v>
      </c>
    </row>
    <row r="291" spans="1:21" x14ac:dyDescent="0.25">
      <c r="A291" s="72">
        <v>7</v>
      </c>
      <c r="B291" s="64" t="s">
        <v>432</v>
      </c>
      <c r="C291" s="65">
        <v>1</v>
      </c>
      <c r="D291" s="7">
        <v>0</v>
      </c>
      <c r="E291" s="3">
        <f t="shared" si="62"/>
        <v>1</v>
      </c>
      <c r="F291" s="3" t="s">
        <v>867</v>
      </c>
      <c r="G291" s="77">
        <v>0</v>
      </c>
      <c r="H291" s="65" t="s">
        <v>1</v>
      </c>
      <c r="I291" s="78">
        <f t="shared" si="66"/>
        <v>0</v>
      </c>
      <c r="J291" s="110">
        <f t="shared" si="67"/>
        <v>75</v>
      </c>
      <c r="K291" s="4">
        <v>3.2</v>
      </c>
      <c r="L291" s="65" t="s">
        <v>1</v>
      </c>
      <c r="M291" s="80">
        <f t="shared" si="63"/>
        <v>3.2</v>
      </c>
      <c r="N291" s="78">
        <f t="shared" si="64"/>
        <v>240</v>
      </c>
      <c r="O291" s="111">
        <f t="shared" si="65"/>
        <v>240</v>
      </c>
      <c r="P291" s="125">
        <v>4</v>
      </c>
      <c r="Q291" s="49">
        <v>4.8</v>
      </c>
      <c r="R291" s="125">
        <v>4</v>
      </c>
      <c r="S291" s="134">
        <v>5</v>
      </c>
      <c r="T291" s="49">
        <v>6</v>
      </c>
      <c r="U291" s="49">
        <v>149172</v>
      </c>
    </row>
    <row r="292" spans="1:21" x14ac:dyDescent="0.25">
      <c r="A292" s="72">
        <v>8</v>
      </c>
      <c r="B292" s="64" t="s">
        <v>433</v>
      </c>
      <c r="C292" s="65">
        <v>1</v>
      </c>
      <c r="D292" s="7">
        <v>0</v>
      </c>
      <c r="E292" s="3">
        <f t="shared" si="62"/>
        <v>1</v>
      </c>
      <c r="F292" s="3" t="s">
        <v>867</v>
      </c>
      <c r="G292" s="77">
        <v>521.76</v>
      </c>
      <c r="H292" s="65" t="s">
        <v>1</v>
      </c>
      <c r="I292" s="78">
        <f t="shared" si="66"/>
        <v>521.76</v>
      </c>
      <c r="J292" s="110">
        <f t="shared" si="67"/>
        <v>75</v>
      </c>
      <c r="K292" s="4">
        <v>1.55</v>
      </c>
      <c r="L292" s="65" t="s">
        <v>1</v>
      </c>
      <c r="M292" s="80">
        <f t="shared" si="63"/>
        <v>1.55</v>
      </c>
      <c r="N292" s="78">
        <f t="shared" si="64"/>
        <v>116.25</v>
      </c>
      <c r="O292" s="111">
        <f t="shared" si="65"/>
        <v>638.01</v>
      </c>
      <c r="P292" s="125">
        <v>1.94</v>
      </c>
      <c r="Q292" s="49">
        <v>2.33</v>
      </c>
      <c r="R292" s="125"/>
      <c r="S292" s="134"/>
      <c r="T292" s="49"/>
      <c r="U292" s="49">
        <v>149175</v>
      </c>
    </row>
    <row r="293" spans="1:21" x14ac:dyDescent="0.25">
      <c r="A293" s="72">
        <v>9</v>
      </c>
      <c r="B293" s="64" t="s">
        <v>434</v>
      </c>
      <c r="C293" s="65">
        <v>1</v>
      </c>
      <c r="D293" s="7">
        <v>0</v>
      </c>
      <c r="E293" s="3">
        <f t="shared" si="62"/>
        <v>1</v>
      </c>
      <c r="F293" s="3" t="s">
        <v>867</v>
      </c>
      <c r="G293" s="77">
        <v>0</v>
      </c>
      <c r="H293" s="65" t="s">
        <v>1</v>
      </c>
      <c r="I293" s="78">
        <f t="shared" si="66"/>
        <v>0</v>
      </c>
      <c r="J293" s="110">
        <f t="shared" si="67"/>
        <v>75</v>
      </c>
      <c r="K293" s="4">
        <v>1.55</v>
      </c>
      <c r="L293" s="65" t="s">
        <v>1</v>
      </c>
      <c r="M293" s="80">
        <f t="shared" si="63"/>
        <v>1.55</v>
      </c>
      <c r="N293" s="78">
        <f t="shared" si="64"/>
        <v>116.25</v>
      </c>
      <c r="O293" s="111">
        <f t="shared" si="65"/>
        <v>116.25</v>
      </c>
      <c r="P293" s="125">
        <v>1.94</v>
      </c>
      <c r="Q293" s="49">
        <v>2.33</v>
      </c>
      <c r="R293" s="125"/>
      <c r="S293" s="134"/>
      <c r="T293" s="49"/>
      <c r="U293" s="49">
        <v>149178</v>
      </c>
    </row>
    <row r="294" spans="1:21" x14ac:dyDescent="0.25">
      <c r="A294" s="72"/>
      <c r="B294" s="64"/>
      <c r="C294" s="65"/>
      <c r="D294" s="7"/>
      <c r="E294" s="3"/>
      <c r="F294" s="3"/>
      <c r="G294" s="77" t="s">
        <v>1202</v>
      </c>
      <c r="H294" s="65"/>
      <c r="I294" s="78"/>
      <c r="J294" s="64"/>
      <c r="K294" s="4"/>
      <c r="L294" s="65"/>
      <c r="M294" s="80"/>
      <c r="N294" s="78"/>
      <c r="O294" s="111"/>
      <c r="P294" s="125"/>
      <c r="Q294" s="49"/>
      <c r="R294" s="125"/>
      <c r="S294" s="134"/>
      <c r="T294" s="49"/>
      <c r="U294" s="49"/>
    </row>
    <row r="295" spans="1:21" x14ac:dyDescent="0.25">
      <c r="A295" s="72">
        <v>1</v>
      </c>
      <c r="B295" s="64" t="s">
        <v>117</v>
      </c>
      <c r="C295" s="65">
        <v>1</v>
      </c>
      <c r="D295" s="7">
        <v>0</v>
      </c>
      <c r="E295" s="3">
        <f t="shared" si="62"/>
        <v>1</v>
      </c>
      <c r="F295" s="3" t="s">
        <v>867</v>
      </c>
      <c r="G295" s="77">
        <v>399.35</v>
      </c>
      <c r="H295" s="65" t="s">
        <v>1</v>
      </c>
      <c r="I295" s="78">
        <f t="shared" si="66"/>
        <v>399.35</v>
      </c>
      <c r="J295" s="110">
        <f t="shared" si="67"/>
        <v>75</v>
      </c>
      <c r="K295" s="4">
        <v>1.75</v>
      </c>
      <c r="L295" s="65" t="s">
        <v>1</v>
      </c>
      <c r="M295" s="80">
        <f t="shared" si="63"/>
        <v>1.75</v>
      </c>
      <c r="N295" s="78">
        <f t="shared" si="64"/>
        <v>131.25</v>
      </c>
      <c r="O295" s="111">
        <f t="shared" si="65"/>
        <v>530.6</v>
      </c>
      <c r="P295" s="125">
        <v>2.19</v>
      </c>
      <c r="Q295" s="49">
        <v>2.63</v>
      </c>
      <c r="R295" s="125">
        <v>4</v>
      </c>
      <c r="S295" s="134">
        <v>5</v>
      </c>
      <c r="T295" s="49">
        <v>6</v>
      </c>
      <c r="U295" s="49">
        <v>149235</v>
      </c>
    </row>
    <row r="296" spans="1:21" x14ac:dyDescent="0.25">
      <c r="A296" s="72">
        <v>2</v>
      </c>
      <c r="B296" s="64" t="s">
        <v>127</v>
      </c>
      <c r="C296" s="65">
        <v>1</v>
      </c>
      <c r="D296" s="7">
        <v>0</v>
      </c>
      <c r="E296" s="3">
        <f t="shared" si="62"/>
        <v>1</v>
      </c>
      <c r="F296" s="3" t="s">
        <v>867</v>
      </c>
      <c r="G296" s="77">
        <v>596.70000000000005</v>
      </c>
      <c r="H296" s="65" t="s">
        <v>1</v>
      </c>
      <c r="I296" s="78">
        <f t="shared" si="66"/>
        <v>596.70000000000005</v>
      </c>
      <c r="J296" s="110">
        <f t="shared" si="67"/>
        <v>75</v>
      </c>
      <c r="K296" s="4">
        <v>1.9</v>
      </c>
      <c r="L296" s="65" t="s">
        <v>1</v>
      </c>
      <c r="M296" s="80">
        <f t="shared" si="63"/>
        <v>1.9</v>
      </c>
      <c r="N296" s="78">
        <f t="shared" si="64"/>
        <v>142.5</v>
      </c>
      <c r="O296" s="111">
        <f t="shared" si="65"/>
        <v>739.2</v>
      </c>
      <c r="P296" s="125">
        <v>2.38</v>
      </c>
      <c r="Q296" s="49">
        <v>2.85</v>
      </c>
      <c r="R296" s="125">
        <v>4.4000000000000004</v>
      </c>
      <c r="S296" s="134">
        <v>5.5</v>
      </c>
      <c r="T296" s="49">
        <v>6.6</v>
      </c>
      <c r="U296" s="49">
        <v>149238</v>
      </c>
    </row>
    <row r="297" spans="1:21" x14ac:dyDescent="0.25">
      <c r="A297" s="72">
        <v>3</v>
      </c>
      <c r="B297" s="64" t="s">
        <v>435</v>
      </c>
      <c r="C297" s="65">
        <v>1</v>
      </c>
      <c r="D297" s="7">
        <v>0</v>
      </c>
      <c r="E297" s="3">
        <f t="shared" si="62"/>
        <v>1</v>
      </c>
      <c r="F297" s="3" t="s">
        <v>867</v>
      </c>
      <c r="G297" s="77">
        <v>0</v>
      </c>
      <c r="H297" s="65" t="s">
        <v>1</v>
      </c>
      <c r="I297" s="78">
        <f t="shared" si="66"/>
        <v>0</v>
      </c>
      <c r="J297" s="110">
        <f t="shared" si="67"/>
        <v>75</v>
      </c>
      <c r="K297" s="4">
        <v>2.1</v>
      </c>
      <c r="L297" s="65" t="s">
        <v>1</v>
      </c>
      <c r="M297" s="80">
        <f t="shared" si="63"/>
        <v>2.1</v>
      </c>
      <c r="N297" s="78">
        <f t="shared" si="64"/>
        <v>157.5</v>
      </c>
      <c r="O297" s="111">
        <f t="shared" si="65"/>
        <v>157.5</v>
      </c>
      <c r="P297" s="125">
        <v>2.63</v>
      </c>
      <c r="Q297" s="49">
        <v>3.15</v>
      </c>
      <c r="R297" s="125"/>
      <c r="S297" s="134"/>
      <c r="T297" s="49"/>
      <c r="U297" s="49">
        <v>149241</v>
      </c>
    </row>
    <row r="298" spans="1:21" x14ac:dyDescent="0.25">
      <c r="A298" s="72">
        <v>4</v>
      </c>
      <c r="B298" s="64" t="s">
        <v>436</v>
      </c>
      <c r="C298" s="65">
        <v>1</v>
      </c>
      <c r="D298" s="7">
        <v>0</v>
      </c>
      <c r="E298" s="3">
        <f t="shared" si="62"/>
        <v>1</v>
      </c>
      <c r="F298" s="3" t="s">
        <v>867</v>
      </c>
      <c r="G298" s="77">
        <v>0</v>
      </c>
      <c r="H298" s="65" t="s">
        <v>1</v>
      </c>
      <c r="I298" s="78">
        <f t="shared" si="66"/>
        <v>0</v>
      </c>
      <c r="J298" s="110">
        <f t="shared" si="67"/>
        <v>75</v>
      </c>
      <c r="K298" s="4">
        <v>2.1</v>
      </c>
      <c r="L298" s="65" t="s">
        <v>1</v>
      </c>
      <c r="M298" s="80">
        <f t="shared" si="63"/>
        <v>2.1</v>
      </c>
      <c r="N298" s="78">
        <f t="shared" si="64"/>
        <v>157.5</v>
      </c>
      <c r="O298" s="111">
        <f t="shared" si="65"/>
        <v>157.5</v>
      </c>
      <c r="P298" s="125">
        <v>2.63</v>
      </c>
      <c r="Q298" s="49">
        <v>3.15</v>
      </c>
      <c r="R298" s="125">
        <v>4.8</v>
      </c>
      <c r="S298" s="134">
        <v>6</v>
      </c>
      <c r="T298" s="49">
        <v>7.2</v>
      </c>
      <c r="U298" s="49">
        <v>149244</v>
      </c>
    </row>
    <row r="299" spans="1:21" x14ac:dyDescent="0.25">
      <c r="A299" s="72">
        <v>5</v>
      </c>
      <c r="B299" s="64" t="s">
        <v>437</v>
      </c>
      <c r="C299" s="65">
        <v>1</v>
      </c>
      <c r="D299" s="7">
        <v>0</v>
      </c>
      <c r="E299" s="3">
        <f t="shared" si="62"/>
        <v>1</v>
      </c>
      <c r="F299" s="3" t="s">
        <v>867</v>
      </c>
      <c r="G299" s="77">
        <v>0</v>
      </c>
      <c r="H299" s="65" t="s">
        <v>1</v>
      </c>
      <c r="I299" s="78">
        <f t="shared" si="66"/>
        <v>0</v>
      </c>
      <c r="J299" s="110">
        <f t="shared" si="67"/>
        <v>75</v>
      </c>
      <c r="K299" s="4">
        <v>2.1</v>
      </c>
      <c r="L299" s="65" t="s">
        <v>1</v>
      </c>
      <c r="M299" s="80">
        <f t="shared" si="63"/>
        <v>2.1</v>
      </c>
      <c r="N299" s="78">
        <f t="shared" si="64"/>
        <v>157.5</v>
      </c>
      <c r="O299" s="111">
        <f t="shared" si="65"/>
        <v>157.5</v>
      </c>
      <c r="P299" s="125">
        <v>2.63</v>
      </c>
      <c r="Q299" s="49">
        <v>3.15</v>
      </c>
      <c r="R299" s="125"/>
      <c r="S299" s="134"/>
      <c r="T299" s="49"/>
      <c r="U299" s="49">
        <v>149247</v>
      </c>
    </row>
    <row r="300" spans="1:21" x14ac:dyDescent="0.25">
      <c r="A300" s="72">
        <v>6</v>
      </c>
      <c r="B300" s="64" t="s">
        <v>438</v>
      </c>
      <c r="C300" s="65">
        <v>1</v>
      </c>
      <c r="D300" s="7">
        <v>0</v>
      </c>
      <c r="E300" s="3">
        <f t="shared" si="62"/>
        <v>1</v>
      </c>
      <c r="F300" s="3" t="s">
        <v>867</v>
      </c>
      <c r="G300" s="77">
        <v>0</v>
      </c>
      <c r="H300" s="65" t="s">
        <v>1</v>
      </c>
      <c r="I300" s="78">
        <f t="shared" si="66"/>
        <v>0</v>
      </c>
      <c r="J300" s="110">
        <f t="shared" si="67"/>
        <v>75</v>
      </c>
      <c r="K300" s="4">
        <v>4.0999999999999996</v>
      </c>
      <c r="L300" s="65" t="s">
        <v>1</v>
      </c>
      <c r="M300" s="80">
        <f t="shared" si="63"/>
        <v>4.0999999999999996</v>
      </c>
      <c r="N300" s="78">
        <f t="shared" si="64"/>
        <v>307.5</v>
      </c>
      <c r="O300" s="111">
        <f t="shared" si="65"/>
        <v>307.5</v>
      </c>
      <c r="P300" s="125">
        <v>5.13</v>
      </c>
      <c r="Q300" s="49">
        <v>6.15</v>
      </c>
      <c r="R300" s="125">
        <v>5</v>
      </c>
      <c r="S300" s="134">
        <v>6.25</v>
      </c>
      <c r="T300" s="49">
        <v>7.5</v>
      </c>
      <c r="U300" s="49">
        <v>149250</v>
      </c>
    </row>
    <row r="301" spans="1:21" x14ac:dyDescent="0.25">
      <c r="A301" s="72">
        <v>7</v>
      </c>
      <c r="B301" s="64" t="s">
        <v>439</v>
      </c>
      <c r="C301" s="65">
        <v>1</v>
      </c>
      <c r="D301" s="7">
        <v>0</v>
      </c>
      <c r="E301" s="3">
        <f t="shared" si="62"/>
        <v>1</v>
      </c>
      <c r="F301" s="3" t="s">
        <v>867</v>
      </c>
      <c r="G301" s="77">
        <v>0</v>
      </c>
      <c r="H301" s="65" t="s">
        <v>1</v>
      </c>
      <c r="I301" s="78">
        <f t="shared" si="66"/>
        <v>0</v>
      </c>
      <c r="J301" s="110">
        <f t="shared" si="67"/>
        <v>75</v>
      </c>
      <c r="K301" s="4">
        <v>4.0999999999999996</v>
      </c>
      <c r="L301" s="65" t="s">
        <v>1</v>
      </c>
      <c r="M301" s="80">
        <f t="shared" si="63"/>
        <v>4.0999999999999996</v>
      </c>
      <c r="N301" s="78">
        <f t="shared" si="64"/>
        <v>307.5</v>
      </c>
      <c r="O301" s="111">
        <f t="shared" si="65"/>
        <v>307.5</v>
      </c>
      <c r="P301" s="125">
        <v>5.13</v>
      </c>
      <c r="Q301" s="49">
        <v>6.15</v>
      </c>
      <c r="R301" s="125">
        <v>5</v>
      </c>
      <c r="S301" s="134">
        <v>6.25</v>
      </c>
      <c r="T301" s="49">
        <v>7.5</v>
      </c>
      <c r="U301" s="49">
        <v>149253</v>
      </c>
    </row>
    <row r="302" spans="1:21" x14ac:dyDescent="0.25">
      <c r="A302" s="72">
        <v>8</v>
      </c>
      <c r="B302" s="64" t="s">
        <v>440</v>
      </c>
      <c r="C302" s="65">
        <v>1</v>
      </c>
      <c r="D302" s="7">
        <v>0</v>
      </c>
      <c r="E302" s="3">
        <f t="shared" si="62"/>
        <v>1</v>
      </c>
      <c r="F302" s="3" t="s">
        <v>867</v>
      </c>
      <c r="G302" s="77">
        <v>779.31</v>
      </c>
      <c r="H302" s="65" t="s">
        <v>1</v>
      </c>
      <c r="I302" s="78">
        <f t="shared" si="66"/>
        <v>779.31</v>
      </c>
      <c r="J302" s="110">
        <f t="shared" si="67"/>
        <v>75</v>
      </c>
      <c r="K302" s="4">
        <v>1.9</v>
      </c>
      <c r="L302" s="65" t="s">
        <v>1</v>
      </c>
      <c r="M302" s="80">
        <f t="shared" si="63"/>
        <v>1.9</v>
      </c>
      <c r="N302" s="78">
        <f t="shared" si="64"/>
        <v>142.5</v>
      </c>
      <c r="O302" s="111">
        <f t="shared" si="65"/>
        <v>921.81</v>
      </c>
      <c r="P302" s="125">
        <v>2.38</v>
      </c>
      <c r="Q302" s="49">
        <v>2.85</v>
      </c>
      <c r="R302" s="125"/>
      <c r="S302" s="134"/>
      <c r="T302" s="49"/>
      <c r="U302" s="49">
        <v>149256</v>
      </c>
    </row>
    <row r="303" spans="1:21" x14ac:dyDescent="0.25">
      <c r="A303" s="72">
        <v>9</v>
      </c>
      <c r="B303" s="64" t="s">
        <v>441</v>
      </c>
      <c r="C303" s="65">
        <v>1</v>
      </c>
      <c r="D303" s="7">
        <v>0</v>
      </c>
      <c r="E303" s="3">
        <f t="shared" ref="E303:E366" si="68">C303+(C303*D303)</f>
        <v>1</v>
      </c>
      <c r="F303" s="3" t="s">
        <v>867</v>
      </c>
      <c r="G303" s="77">
        <v>0</v>
      </c>
      <c r="H303" s="65" t="s">
        <v>1</v>
      </c>
      <c r="I303" s="78">
        <f t="shared" si="66"/>
        <v>0</v>
      </c>
      <c r="J303" s="110">
        <f t="shared" si="67"/>
        <v>75</v>
      </c>
      <c r="K303" s="4">
        <v>1.9</v>
      </c>
      <c r="L303" s="65" t="s">
        <v>1</v>
      </c>
      <c r="M303" s="80">
        <f t="shared" ref="M303:M366" si="69">IF(L303="C",(K303/100)*E303,IF(L303="M",(K303/1000)*E303,K303*E303))</f>
        <v>1.9</v>
      </c>
      <c r="N303" s="78">
        <f t="shared" ref="N303:N366" si="70">M303*J303</f>
        <v>142.5</v>
      </c>
      <c r="O303" s="111">
        <f t="shared" ref="O303:O366" si="71">N303+I303</f>
        <v>142.5</v>
      </c>
      <c r="P303" s="125">
        <v>2.38</v>
      </c>
      <c r="Q303" s="49">
        <v>2.85</v>
      </c>
      <c r="R303" s="125"/>
      <c r="S303" s="134"/>
      <c r="T303" s="49"/>
      <c r="U303" s="49">
        <v>149259</v>
      </c>
    </row>
    <row r="304" spans="1:21" x14ac:dyDescent="0.25">
      <c r="A304" s="72"/>
      <c r="B304" s="64"/>
      <c r="C304" s="65"/>
      <c r="D304" s="7"/>
      <c r="E304" s="3"/>
      <c r="F304" s="3"/>
      <c r="G304" s="77" t="s">
        <v>1202</v>
      </c>
      <c r="H304" s="65"/>
      <c r="I304" s="78"/>
      <c r="J304" s="64"/>
      <c r="K304" s="4"/>
      <c r="L304" s="65"/>
      <c r="M304" s="80"/>
      <c r="N304" s="78"/>
      <c r="O304" s="111"/>
      <c r="P304" s="125"/>
      <c r="Q304" s="49"/>
      <c r="R304" s="125"/>
      <c r="S304" s="134"/>
      <c r="T304" s="49"/>
      <c r="U304" s="49"/>
    </row>
    <row r="305" spans="1:21" x14ac:dyDescent="0.25">
      <c r="A305" s="72">
        <v>1</v>
      </c>
      <c r="B305" s="64" t="s">
        <v>119</v>
      </c>
      <c r="C305" s="65">
        <v>1</v>
      </c>
      <c r="D305" s="7">
        <v>0</v>
      </c>
      <c r="E305" s="3">
        <f t="shared" si="68"/>
        <v>1</v>
      </c>
      <c r="F305" s="3" t="s">
        <v>867</v>
      </c>
      <c r="G305" s="77">
        <v>622.1</v>
      </c>
      <c r="H305" s="65" t="s">
        <v>1</v>
      </c>
      <c r="I305" s="78">
        <f t="shared" si="66"/>
        <v>622.1</v>
      </c>
      <c r="J305" s="110">
        <f t="shared" si="67"/>
        <v>75</v>
      </c>
      <c r="K305" s="4">
        <v>2.8</v>
      </c>
      <c r="L305" s="65" t="s">
        <v>1</v>
      </c>
      <c r="M305" s="80">
        <f t="shared" si="69"/>
        <v>2.8</v>
      </c>
      <c r="N305" s="78">
        <f t="shared" si="70"/>
        <v>210</v>
      </c>
      <c r="O305" s="111">
        <f t="shared" si="71"/>
        <v>832.1</v>
      </c>
      <c r="P305" s="125">
        <v>3.5</v>
      </c>
      <c r="Q305" s="49">
        <v>4.2</v>
      </c>
      <c r="R305" s="125">
        <v>7</v>
      </c>
      <c r="S305" s="134">
        <v>8.75</v>
      </c>
      <c r="T305" s="49">
        <v>10.5</v>
      </c>
      <c r="U305" s="49">
        <v>149316</v>
      </c>
    </row>
    <row r="306" spans="1:21" x14ac:dyDescent="0.25">
      <c r="A306" s="72">
        <v>2</v>
      </c>
      <c r="B306" s="64" t="s">
        <v>129</v>
      </c>
      <c r="C306" s="65">
        <v>1</v>
      </c>
      <c r="D306" s="7">
        <v>0</v>
      </c>
      <c r="E306" s="3">
        <f t="shared" si="68"/>
        <v>1</v>
      </c>
      <c r="F306" s="3" t="s">
        <v>867</v>
      </c>
      <c r="G306" s="77">
        <v>742.84</v>
      </c>
      <c r="H306" s="65" t="s">
        <v>1</v>
      </c>
      <c r="I306" s="78">
        <f t="shared" si="66"/>
        <v>742.84</v>
      </c>
      <c r="J306" s="110">
        <f t="shared" si="67"/>
        <v>75</v>
      </c>
      <c r="K306" s="4">
        <v>3.1</v>
      </c>
      <c r="L306" s="65" t="s">
        <v>1</v>
      </c>
      <c r="M306" s="80">
        <f t="shared" si="69"/>
        <v>3.1</v>
      </c>
      <c r="N306" s="78">
        <f t="shared" si="70"/>
        <v>232.5</v>
      </c>
      <c r="O306" s="111">
        <f t="shared" si="71"/>
        <v>975.34</v>
      </c>
      <c r="P306" s="125">
        <v>3.88</v>
      </c>
      <c r="Q306" s="49">
        <v>4.6500000000000004</v>
      </c>
      <c r="R306" s="125">
        <v>7.7</v>
      </c>
      <c r="S306" s="134">
        <v>9.6300000000000008</v>
      </c>
      <c r="T306" s="49">
        <v>11.55</v>
      </c>
      <c r="U306" s="49">
        <v>149319</v>
      </c>
    </row>
    <row r="307" spans="1:21" x14ac:dyDescent="0.25">
      <c r="A307" s="72">
        <v>3</v>
      </c>
      <c r="B307" s="64" t="s">
        <v>442</v>
      </c>
      <c r="C307" s="65">
        <v>1</v>
      </c>
      <c r="D307" s="7">
        <v>0</v>
      </c>
      <c r="E307" s="3">
        <f t="shared" si="68"/>
        <v>1</v>
      </c>
      <c r="F307" s="3" t="s">
        <v>867</v>
      </c>
      <c r="G307" s="77">
        <v>0</v>
      </c>
      <c r="H307" s="65" t="s">
        <v>1</v>
      </c>
      <c r="I307" s="78">
        <f t="shared" si="66"/>
        <v>0</v>
      </c>
      <c r="J307" s="110">
        <f t="shared" si="67"/>
        <v>75</v>
      </c>
      <c r="K307" s="4">
        <v>3.4</v>
      </c>
      <c r="L307" s="65" t="s">
        <v>1</v>
      </c>
      <c r="M307" s="80">
        <f t="shared" si="69"/>
        <v>3.4</v>
      </c>
      <c r="N307" s="78">
        <f t="shared" si="70"/>
        <v>255</v>
      </c>
      <c r="O307" s="111">
        <f t="shared" si="71"/>
        <v>255</v>
      </c>
      <c r="P307" s="125">
        <v>4.25</v>
      </c>
      <c r="Q307" s="49">
        <v>5.0999999999999996</v>
      </c>
      <c r="R307" s="125"/>
      <c r="S307" s="134"/>
      <c r="T307" s="49"/>
      <c r="U307" s="49">
        <v>149322</v>
      </c>
    </row>
    <row r="308" spans="1:21" x14ac:dyDescent="0.25">
      <c r="A308" s="72">
        <v>4</v>
      </c>
      <c r="B308" s="64" t="s">
        <v>443</v>
      </c>
      <c r="C308" s="65">
        <v>1</v>
      </c>
      <c r="D308" s="7">
        <v>0</v>
      </c>
      <c r="E308" s="3">
        <f t="shared" si="68"/>
        <v>1</v>
      </c>
      <c r="F308" s="3" t="s">
        <v>867</v>
      </c>
      <c r="G308" s="77">
        <v>0</v>
      </c>
      <c r="H308" s="65" t="s">
        <v>1</v>
      </c>
      <c r="I308" s="78">
        <f t="shared" si="66"/>
        <v>0</v>
      </c>
      <c r="J308" s="110">
        <f t="shared" si="67"/>
        <v>75</v>
      </c>
      <c r="K308" s="4">
        <v>3.4</v>
      </c>
      <c r="L308" s="65" t="s">
        <v>1</v>
      </c>
      <c r="M308" s="80">
        <f t="shared" si="69"/>
        <v>3.4</v>
      </c>
      <c r="N308" s="78">
        <f t="shared" si="70"/>
        <v>255</v>
      </c>
      <c r="O308" s="111">
        <f t="shared" si="71"/>
        <v>255</v>
      </c>
      <c r="P308" s="125">
        <v>4.25</v>
      </c>
      <c r="Q308" s="49">
        <v>5.0999999999999996</v>
      </c>
      <c r="R308" s="125">
        <v>8.4</v>
      </c>
      <c r="S308" s="134">
        <v>10.5</v>
      </c>
      <c r="T308" s="49">
        <v>12.6</v>
      </c>
      <c r="U308" s="49">
        <v>149325</v>
      </c>
    </row>
    <row r="309" spans="1:21" x14ac:dyDescent="0.25">
      <c r="A309" s="72">
        <v>5</v>
      </c>
      <c r="B309" s="64" t="s">
        <v>444</v>
      </c>
      <c r="C309" s="65">
        <v>1</v>
      </c>
      <c r="D309" s="7">
        <v>0</v>
      </c>
      <c r="E309" s="3">
        <f t="shared" si="68"/>
        <v>1</v>
      </c>
      <c r="F309" s="3" t="s">
        <v>867</v>
      </c>
      <c r="G309" s="77">
        <v>0</v>
      </c>
      <c r="H309" s="65" t="s">
        <v>1</v>
      </c>
      <c r="I309" s="78">
        <f t="shared" si="66"/>
        <v>0</v>
      </c>
      <c r="J309" s="110">
        <f t="shared" si="67"/>
        <v>75</v>
      </c>
      <c r="K309" s="4">
        <v>3.4</v>
      </c>
      <c r="L309" s="65" t="s">
        <v>1</v>
      </c>
      <c r="M309" s="80">
        <f t="shared" si="69"/>
        <v>3.4</v>
      </c>
      <c r="N309" s="78">
        <f t="shared" si="70"/>
        <v>255</v>
      </c>
      <c r="O309" s="111">
        <f t="shared" si="71"/>
        <v>255</v>
      </c>
      <c r="P309" s="125">
        <v>4.25</v>
      </c>
      <c r="Q309" s="49">
        <v>5.0999999999999996</v>
      </c>
      <c r="R309" s="125"/>
      <c r="S309" s="134"/>
      <c r="T309" s="49"/>
      <c r="U309" s="49">
        <v>149328</v>
      </c>
    </row>
    <row r="310" spans="1:21" x14ac:dyDescent="0.25">
      <c r="A310" s="72">
        <v>6</v>
      </c>
      <c r="B310" s="64" t="s">
        <v>445</v>
      </c>
      <c r="C310" s="65">
        <v>1</v>
      </c>
      <c r="D310" s="7">
        <v>0</v>
      </c>
      <c r="E310" s="3">
        <f t="shared" si="68"/>
        <v>1</v>
      </c>
      <c r="F310" s="3" t="s">
        <v>867</v>
      </c>
      <c r="G310" s="77">
        <v>0</v>
      </c>
      <c r="H310" s="65" t="s">
        <v>1</v>
      </c>
      <c r="I310" s="78">
        <f t="shared" si="66"/>
        <v>0</v>
      </c>
      <c r="J310" s="110">
        <f t="shared" si="67"/>
        <v>75</v>
      </c>
      <c r="K310" s="4">
        <v>5.4</v>
      </c>
      <c r="L310" s="65" t="s">
        <v>1</v>
      </c>
      <c r="M310" s="80">
        <f t="shared" si="69"/>
        <v>5.4</v>
      </c>
      <c r="N310" s="78">
        <f t="shared" si="70"/>
        <v>405</v>
      </c>
      <c r="O310" s="111">
        <f t="shared" si="71"/>
        <v>405</v>
      </c>
      <c r="P310" s="125">
        <v>6.75</v>
      </c>
      <c r="Q310" s="49">
        <v>8.1</v>
      </c>
      <c r="R310" s="125">
        <v>7</v>
      </c>
      <c r="S310" s="134">
        <v>8.75</v>
      </c>
      <c r="T310" s="49">
        <v>10</v>
      </c>
      <c r="U310" s="49">
        <v>149331</v>
      </c>
    </row>
    <row r="311" spans="1:21" x14ac:dyDescent="0.25">
      <c r="A311" s="72">
        <v>7</v>
      </c>
      <c r="B311" s="64" t="s">
        <v>446</v>
      </c>
      <c r="C311" s="65">
        <v>1</v>
      </c>
      <c r="D311" s="7">
        <v>0</v>
      </c>
      <c r="E311" s="3">
        <f t="shared" si="68"/>
        <v>1</v>
      </c>
      <c r="F311" s="3" t="s">
        <v>867</v>
      </c>
      <c r="G311" s="77">
        <v>0</v>
      </c>
      <c r="H311" s="65" t="s">
        <v>1</v>
      </c>
      <c r="I311" s="78">
        <f t="shared" si="66"/>
        <v>0</v>
      </c>
      <c r="J311" s="110">
        <f t="shared" si="67"/>
        <v>75</v>
      </c>
      <c r="K311" s="4">
        <v>5.4</v>
      </c>
      <c r="L311" s="65" t="s">
        <v>1</v>
      </c>
      <c r="M311" s="80">
        <f t="shared" si="69"/>
        <v>5.4</v>
      </c>
      <c r="N311" s="78">
        <f t="shared" si="70"/>
        <v>405</v>
      </c>
      <c r="O311" s="111">
        <f t="shared" si="71"/>
        <v>405</v>
      </c>
      <c r="P311" s="125">
        <v>6.75</v>
      </c>
      <c r="Q311" s="49">
        <v>8.1</v>
      </c>
      <c r="R311" s="125">
        <v>7</v>
      </c>
      <c r="S311" s="134">
        <v>8.75</v>
      </c>
      <c r="T311" s="49">
        <v>10</v>
      </c>
      <c r="U311" s="49">
        <v>149334</v>
      </c>
    </row>
    <row r="312" spans="1:21" x14ac:dyDescent="0.25">
      <c r="A312" s="72">
        <v>8</v>
      </c>
      <c r="B312" s="64" t="s">
        <v>447</v>
      </c>
      <c r="C312" s="65">
        <v>1</v>
      </c>
      <c r="D312" s="7">
        <v>0</v>
      </c>
      <c r="E312" s="3">
        <f t="shared" si="68"/>
        <v>1</v>
      </c>
      <c r="F312" s="3" t="s">
        <v>867</v>
      </c>
      <c r="G312" s="77">
        <v>895.55</v>
      </c>
      <c r="H312" s="65" t="s">
        <v>1</v>
      </c>
      <c r="I312" s="78">
        <f t="shared" si="66"/>
        <v>895.55</v>
      </c>
      <c r="J312" s="110">
        <f t="shared" si="67"/>
        <v>75</v>
      </c>
      <c r="K312" s="4">
        <v>3.1</v>
      </c>
      <c r="L312" s="65" t="s">
        <v>1</v>
      </c>
      <c r="M312" s="80">
        <f t="shared" si="69"/>
        <v>3.1</v>
      </c>
      <c r="N312" s="78">
        <f t="shared" si="70"/>
        <v>232.5</v>
      </c>
      <c r="O312" s="111">
        <f t="shared" si="71"/>
        <v>1128.05</v>
      </c>
      <c r="P312" s="125">
        <v>3.88</v>
      </c>
      <c r="Q312" s="49">
        <v>4.6500000000000004</v>
      </c>
      <c r="R312" s="125"/>
      <c r="S312" s="134"/>
      <c r="T312" s="49"/>
      <c r="U312" s="49">
        <v>149337</v>
      </c>
    </row>
    <row r="313" spans="1:21" x14ac:dyDescent="0.25">
      <c r="A313" s="72">
        <v>9</v>
      </c>
      <c r="B313" s="64" t="s">
        <v>448</v>
      </c>
      <c r="C313" s="65">
        <v>1</v>
      </c>
      <c r="D313" s="7">
        <v>0</v>
      </c>
      <c r="E313" s="3">
        <f t="shared" si="68"/>
        <v>1</v>
      </c>
      <c r="F313" s="3" t="s">
        <v>867</v>
      </c>
      <c r="G313" s="77">
        <v>0</v>
      </c>
      <c r="H313" s="65" t="s">
        <v>1</v>
      </c>
      <c r="I313" s="78">
        <f t="shared" si="66"/>
        <v>0</v>
      </c>
      <c r="J313" s="110">
        <f t="shared" si="67"/>
        <v>75</v>
      </c>
      <c r="K313" s="4">
        <v>3.1</v>
      </c>
      <c r="L313" s="65" t="s">
        <v>1</v>
      </c>
      <c r="M313" s="80">
        <f t="shared" si="69"/>
        <v>3.1</v>
      </c>
      <c r="N313" s="78">
        <f t="shared" si="70"/>
        <v>232.5</v>
      </c>
      <c r="O313" s="111">
        <f t="shared" si="71"/>
        <v>232.5</v>
      </c>
      <c r="P313" s="125">
        <v>3.88</v>
      </c>
      <c r="Q313" s="49">
        <v>4.6500000000000004</v>
      </c>
      <c r="R313" s="125"/>
      <c r="S313" s="134"/>
      <c r="T313" s="49"/>
      <c r="U313" s="49">
        <v>149340</v>
      </c>
    </row>
    <row r="314" spans="1:21" x14ac:dyDescent="0.25">
      <c r="A314" s="72"/>
      <c r="B314" s="64"/>
      <c r="C314" s="65"/>
      <c r="D314" s="7"/>
      <c r="E314" s="3"/>
      <c r="F314" s="3"/>
      <c r="G314" s="77" t="s">
        <v>1202</v>
      </c>
      <c r="H314" s="65"/>
      <c r="I314" s="78"/>
      <c r="J314" s="64"/>
      <c r="K314" s="4"/>
      <c r="L314" s="65"/>
      <c r="M314" s="80"/>
      <c r="N314" s="78"/>
      <c r="O314" s="111"/>
      <c r="P314" s="125"/>
      <c r="Q314" s="49"/>
      <c r="R314" s="125"/>
      <c r="S314" s="134"/>
      <c r="T314" s="49"/>
      <c r="U314" s="49"/>
    </row>
    <row r="315" spans="1:21" x14ac:dyDescent="0.25">
      <c r="A315" s="72">
        <v>1</v>
      </c>
      <c r="B315" s="64" t="s">
        <v>121</v>
      </c>
      <c r="C315" s="65">
        <v>1</v>
      </c>
      <c r="D315" s="7">
        <v>0</v>
      </c>
      <c r="E315" s="3">
        <f t="shared" si="68"/>
        <v>1</v>
      </c>
      <c r="F315" s="3" t="s">
        <v>867</v>
      </c>
      <c r="G315" s="77">
        <v>1131.49</v>
      </c>
      <c r="H315" s="65" t="s">
        <v>1</v>
      </c>
      <c r="I315" s="78">
        <f t="shared" ref="I315:I378" si="72">IF(H315="C",(G315/100)*E315,IF(H315="M",(G315/1000)*E315,G315*E315))</f>
        <v>1131.49</v>
      </c>
      <c r="J315" s="110">
        <f t="shared" si="67"/>
        <v>75</v>
      </c>
      <c r="K315" s="4">
        <v>4</v>
      </c>
      <c r="L315" s="65" t="s">
        <v>1</v>
      </c>
      <c r="M315" s="80">
        <f t="shared" si="69"/>
        <v>4</v>
      </c>
      <c r="N315" s="78">
        <f t="shared" si="70"/>
        <v>300</v>
      </c>
      <c r="O315" s="111">
        <f t="shared" si="71"/>
        <v>1431.49</v>
      </c>
      <c r="P315" s="125">
        <v>5</v>
      </c>
      <c r="Q315" s="49">
        <v>6</v>
      </c>
      <c r="R315" s="125">
        <v>10</v>
      </c>
      <c r="S315" s="134">
        <v>12.5</v>
      </c>
      <c r="T315" s="49">
        <v>15</v>
      </c>
      <c r="U315" s="49">
        <v>149397</v>
      </c>
    </row>
    <row r="316" spans="1:21" x14ac:dyDescent="0.25">
      <c r="A316" s="72">
        <v>2</v>
      </c>
      <c r="B316" s="64" t="s">
        <v>449</v>
      </c>
      <c r="C316" s="65">
        <v>1</v>
      </c>
      <c r="D316" s="7">
        <v>0</v>
      </c>
      <c r="E316" s="3">
        <f t="shared" si="68"/>
        <v>1</v>
      </c>
      <c r="F316" s="3" t="s">
        <v>867</v>
      </c>
      <c r="G316" s="77">
        <v>1533.13</v>
      </c>
      <c r="H316" s="65" t="s">
        <v>1</v>
      </c>
      <c r="I316" s="78">
        <f t="shared" si="72"/>
        <v>1533.13</v>
      </c>
      <c r="J316" s="110">
        <f t="shared" si="67"/>
        <v>75</v>
      </c>
      <c r="K316" s="4">
        <v>4.4000000000000004</v>
      </c>
      <c r="L316" s="65" t="s">
        <v>1</v>
      </c>
      <c r="M316" s="80">
        <f t="shared" si="69"/>
        <v>4.4000000000000004</v>
      </c>
      <c r="N316" s="78">
        <f t="shared" si="70"/>
        <v>330</v>
      </c>
      <c r="O316" s="111">
        <f t="shared" si="71"/>
        <v>1863.13</v>
      </c>
      <c r="P316" s="125">
        <v>5.5</v>
      </c>
      <c r="Q316" s="49">
        <v>6.6</v>
      </c>
      <c r="R316" s="125">
        <v>11</v>
      </c>
      <c r="S316" s="134">
        <v>13.75</v>
      </c>
      <c r="T316" s="49">
        <v>16.5</v>
      </c>
      <c r="U316" s="49">
        <v>149400</v>
      </c>
    </row>
    <row r="317" spans="1:21" x14ac:dyDescent="0.25">
      <c r="A317" s="72">
        <v>3</v>
      </c>
      <c r="B317" s="64" t="s">
        <v>450</v>
      </c>
      <c r="C317" s="65">
        <v>1</v>
      </c>
      <c r="D317" s="7">
        <v>0</v>
      </c>
      <c r="E317" s="3">
        <f t="shared" si="68"/>
        <v>1</v>
      </c>
      <c r="F317" s="3" t="s">
        <v>867</v>
      </c>
      <c r="G317" s="77">
        <v>0</v>
      </c>
      <c r="H317" s="65" t="s">
        <v>1</v>
      </c>
      <c r="I317" s="78">
        <f t="shared" si="72"/>
        <v>0</v>
      </c>
      <c r="J317" s="110">
        <f t="shared" si="67"/>
        <v>75</v>
      </c>
      <c r="K317" s="4">
        <v>4.8</v>
      </c>
      <c r="L317" s="65" t="s">
        <v>1</v>
      </c>
      <c r="M317" s="80">
        <f t="shared" si="69"/>
        <v>4.8</v>
      </c>
      <c r="N317" s="78">
        <f t="shared" si="70"/>
        <v>360</v>
      </c>
      <c r="O317" s="111">
        <f t="shared" si="71"/>
        <v>360</v>
      </c>
      <c r="P317" s="125">
        <v>6</v>
      </c>
      <c r="Q317" s="49">
        <v>7.2</v>
      </c>
      <c r="R317" s="125"/>
      <c r="S317" s="134"/>
      <c r="T317" s="49"/>
      <c r="U317" s="49">
        <v>149403</v>
      </c>
    </row>
    <row r="318" spans="1:21" x14ac:dyDescent="0.25">
      <c r="A318" s="72">
        <v>4</v>
      </c>
      <c r="B318" s="64" t="s">
        <v>451</v>
      </c>
      <c r="C318" s="65">
        <v>1</v>
      </c>
      <c r="D318" s="7">
        <v>0</v>
      </c>
      <c r="E318" s="3">
        <f t="shared" si="68"/>
        <v>1</v>
      </c>
      <c r="F318" s="3" t="s">
        <v>867</v>
      </c>
      <c r="G318" s="77">
        <v>0</v>
      </c>
      <c r="H318" s="65" t="s">
        <v>1</v>
      </c>
      <c r="I318" s="78">
        <f t="shared" si="72"/>
        <v>0</v>
      </c>
      <c r="J318" s="110">
        <f t="shared" si="67"/>
        <v>75</v>
      </c>
      <c r="K318" s="4">
        <v>4.8</v>
      </c>
      <c r="L318" s="65" t="s">
        <v>1</v>
      </c>
      <c r="M318" s="80">
        <f t="shared" si="69"/>
        <v>4.8</v>
      </c>
      <c r="N318" s="78">
        <f t="shared" si="70"/>
        <v>360</v>
      </c>
      <c r="O318" s="111">
        <f t="shared" si="71"/>
        <v>360</v>
      </c>
      <c r="P318" s="125">
        <v>6</v>
      </c>
      <c r="Q318" s="49">
        <v>7.2</v>
      </c>
      <c r="R318" s="125">
        <v>12</v>
      </c>
      <c r="S318" s="134">
        <v>15</v>
      </c>
      <c r="T318" s="49">
        <v>18</v>
      </c>
      <c r="U318" s="49">
        <v>149406</v>
      </c>
    </row>
    <row r="319" spans="1:21" x14ac:dyDescent="0.25">
      <c r="A319" s="72">
        <v>5</v>
      </c>
      <c r="B319" s="64" t="s">
        <v>452</v>
      </c>
      <c r="C319" s="65">
        <v>1</v>
      </c>
      <c r="D319" s="7">
        <v>0</v>
      </c>
      <c r="E319" s="3">
        <f t="shared" si="68"/>
        <v>1</v>
      </c>
      <c r="F319" s="3" t="s">
        <v>867</v>
      </c>
      <c r="G319" s="77">
        <v>0</v>
      </c>
      <c r="H319" s="65" t="s">
        <v>1</v>
      </c>
      <c r="I319" s="78">
        <f t="shared" si="72"/>
        <v>0</v>
      </c>
      <c r="J319" s="110">
        <f t="shared" si="67"/>
        <v>75</v>
      </c>
      <c r="K319" s="4">
        <v>4.8</v>
      </c>
      <c r="L319" s="65" t="s">
        <v>1</v>
      </c>
      <c r="M319" s="80">
        <f t="shared" si="69"/>
        <v>4.8</v>
      </c>
      <c r="N319" s="78">
        <f t="shared" si="70"/>
        <v>360</v>
      </c>
      <c r="O319" s="111">
        <f t="shared" si="71"/>
        <v>360</v>
      </c>
      <c r="P319" s="125">
        <v>6</v>
      </c>
      <c r="Q319" s="49">
        <v>7.2</v>
      </c>
      <c r="R319" s="125"/>
      <c r="S319" s="134"/>
      <c r="T319" s="49"/>
      <c r="U319" s="49">
        <v>149409</v>
      </c>
    </row>
    <row r="320" spans="1:21" x14ac:dyDescent="0.25">
      <c r="A320" s="72">
        <v>6</v>
      </c>
      <c r="B320" s="64" t="s">
        <v>453</v>
      </c>
      <c r="C320" s="65">
        <v>1</v>
      </c>
      <c r="D320" s="7">
        <v>0</v>
      </c>
      <c r="E320" s="3">
        <f t="shared" si="68"/>
        <v>1</v>
      </c>
      <c r="F320" s="3" t="s">
        <v>867</v>
      </c>
      <c r="G320" s="77">
        <v>0</v>
      </c>
      <c r="H320" s="65" t="s">
        <v>1</v>
      </c>
      <c r="I320" s="78">
        <f t="shared" si="72"/>
        <v>0</v>
      </c>
      <c r="J320" s="110">
        <f t="shared" si="67"/>
        <v>75</v>
      </c>
      <c r="K320" s="4">
        <v>6.3</v>
      </c>
      <c r="L320" s="65" t="s">
        <v>1</v>
      </c>
      <c r="M320" s="80">
        <f t="shared" si="69"/>
        <v>6.3</v>
      </c>
      <c r="N320" s="78">
        <f t="shared" si="70"/>
        <v>472.5</v>
      </c>
      <c r="O320" s="111">
        <f t="shared" si="71"/>
        <v>472.5</v>
      </c>
      <c r="P320" s="125">
        <v>7.88</v>
      </c>
      <c r="Q320" s="49">
        <v>9.4499999999999993</v>
      </c>
      <c r="R320" s="125"/>
      <c r="S320" s="134"/>
      <c r="T320" s="49"/>
      <c r="U320" s="49">
        <v>149412</v>
      </c>
    </row>
    <row r="321" spans="1:21" x14ac:dyDescent="0.25">
      <c r="A321" s="72">
        <v>7</v>
      </c>
      <c r="B321" s="64" t="s">
        <v>454</v>
      </c>
      <c r="C321" s="65">
        <v>1</v>
      </c>
      <c r="D321" s="7">
        <v>0</v>
      </c>
      <c r="E321" s="3">
        <f t="shared" si="68"/>
        <v>1</v>
      </c>
      <c r="F321" s="3" t="s">
        <v>867</v>
      </c>
      <c r="G321" s="77">
        <v>0</v>
      </c>
      <c r="H321" s="65" t="s">
        <v>1</v>
      </c>
      <c r="I321" s="78">
        <f t="shared" si="72"/>
        <v>0</v>
      </c>
      <c r="J321" s="110">
        <f t="shared" ref="J321:J323" si="73">$O$4</f>
        <v>75</v>
      </c>
      <c r="K321" s="4">
        <v>6.3</v>
      </c>
      <c r="L321" s="65" t="s">
        <v>1</v>
      </c>
      <c r="M321" s="80">
        <f t="shared" si="69"/>
        <v>6.3</v>
      </c>
      <c r="N321" s="78">
        <f t="shared" si="70"/>
        <v>472.5</v>
      </c>
      <c r="O321" s="111">
        <f t="shared" si="71"/>
        <v>472.5</v>
      </c>
      <c r="P321" s="125">
        <v>7.88</v>
      </c>
      <c r="Q321" s="49">
        <v>9.4499999999999993</v>
      </c>
      <c r="R321" s="125"/>
      <c r="S321" s="134"/>
      <c r="T321" s="49"/>
      <c r="U321" s="49">
        <v>149415</v>
      </c>
    </row>
    <row r="322" spans="1:21" x14ac:dyDescent="0.25">
      <c r="A322" s="72">
        <v>8</v>
      </c>
      <c r="B322" s="64" t="s">
        <v>455</v>
      </c>
      <c r="C322" s="65">
        <v>1</v>
      </c>
      <c r="D322" s="7">
        <v>0</v>
      </c>
      <c r="E322" s="3">
        <f t="shared" si="68"/>
        <v>1</v>
      </c>
      <c r="F322" s="3" t="s">
        <v>867</v>
      </c>
      <c r="G322" s="77">
        <v>2801.87</v>
      </c>
      <c r="H322" s="65" t="s">
        <v>1</v>
      </c>
      <c r="I322" s="78">
        <f t="shared" si="72"/>
        <v>2801.87</v>
      </c>
      <c r="J322" s="110">
        <f t="shared" si="73"/>
        <v>75</v>
      </c>
      <c r="K322" s="4">
        <v>4.4000000000000004</v>
      </c>
      <c r="L322" s="65" t="s">
        <v>1</v>
      </c>
      <c r="M322" s="80">
        <f t="shared" si="69"/>
        <v>4.4000000000000004</v>
      </c>
      <c r="N322" s="78">
        <f t="shared" si="70"/>
        <v>330</v>
      </c>
      <c r="O322" s="111">
        <f t="shared" si="71"/>
        <v>3131.87</v>
      </c>
      <c r="P322" s="125">
        <v>5.5</v>
      </c>
      <c r="Q322" s="49">
        <v>6.6</v>
      </c>
      <c r="R322" s="125"/>
      <c r="S322" s="134"/>
      <c r="T322" s="49"/>
      <c r="U322" s="49">
        <v>149418</v>
      </c>
    </row>
    <row r="323" spans="1:21" x14ac:dyDescent="0.25">
      <c r="A323" s="72">
        <v>9</v>
      </c>
      <c r="B323" s="64" t="s">
        <v>456</v>
      </c>
      <c r="C323" s="65">
        <v>1</v>
      </c>
      <c r="D323" s="7">
        <v>0</v>
      </c>
      <c r="E323" s="3">
        <f t="shared" si="68"/>
        <v>1</v>
      </c>
      <c r="F323" s="3" t="s">
        <v>867</v>
      </c>
      <c r="G323" s="77">
        <v>0</v>
      </c>
      <c r="H323" s="65" t="s">
        <v>1</v>
      </c>
      <c r="I323" s="78">
        <f t="shared" si="72"/>
        <v>0</v>
      </c>
      <c r="J323" s="110">
        <f t="shared" si="73"/>
        <v>75</v>
      </c>
      <c r="K323" s="4">
        <v>4.4000000000000004</v>
      </c>
      <c r="L323" s="65" t="s">
        <v>1</v>
      </c>
      <c r="M323" s="80">
        <f t="shared" si="69"/>
        <v>4.4000000000000004</v>
      </c>
      <c r="N323" s="78">
        <f t="shared" si="70"/>
        <v>330</v>
      </c>
      <c r="O323" s="111">
        <f t="shared" si="71"/>
        <v>330</v>
      </c>
      <c r="P323" s="125">
        <v>5.5</v>
      </c>
      <c r="Q323" s="49">
        <v>6.6</v>
      </c>
      <c r="R323" s="125"/>
      <c r="S323" s="134"/>
      <c r="T323" s="49"/>
      <c r="U323" s="49">
        <v>149421</v>
      </c>
    </row>
    <row r="324" spans="1:21" x14ac:dyDescent="0.25">
      <c r="A324" s="72"/>
      <c r="B324" s="64"/>
      <c r="C324" s="65"/>
      <c r="D324" s="7"/>
      <c r="E324" s="3"/>
      <c r="F324" s="3"/>
      <c r="G324" s="77" t="s">
        <v>1202</v>
      </c>
      <c r="H324" s="65"/>
      <c r="I324" s="78"/>
      <c r="J324" s="64"/>
      <c r="K324" s="4"/>
      <c r="L324" s="65"/>
      <c r="M324" s="80"/>
      <c r="N324" s="78"/>
      <c r="O324" s="111"/>
      <c r="P324" s="125"/>
      <c r="Q324" s="49"/>
      <c r="R324" s="125"/>
      <c r="S324" s="134"/>
      <c r="T324" s="49"/>
      <c r="U324" s="49"/>
    </row>
    <row r="325" spans="1:21" x14ac:dyDescent="0.25">
      <c r="A325" s="72">
        <v>1</v>
      </c>
      <c r="B325" s="64" t="s">
        <v>457</v>
      </c>
      <c r="C325" s="65">
        <v>1</v>
      </c>
      <c r="D325" s="7">
        <v>0</v>
      </c>
      <c r="E325" s="3">
        <f t="shared" si="68"/>
        <v>1</v>
      </c>
      <c r="F325" s="3" t="s">
        <v>867</v>
      </c>
      <c r="G325" s="77">
        <v>1963.55</v>
      </c>
      <c r="H325" s="65" t="s">
        <v>1</v>
      </c>
      <c r="I325" s="78">
        <f t="shared" si="72"/>
        <v>1963.55</v>
      </c>
      <c r="J325" s="110">
        <f t="shared" ref="J325:J333" si="74">$O$4</f>
        <v>75</v>
      </c>
      <c r="K325" s="4">
        <v>5.6</v>
      </c>
      <c r="L325" s="65" t="s">
        <v>1</v>
      </c>
      <c r="M325" s="80">
        <f t="shared" si="69"/>
        <v>5.6</v>
      </c>
      <c r="N325" s="78">
        <f t="shared" si="70"/>
        <v>420</v>
      </c>
      <c r="O325" s="111">
        <f t="shared" si="71"/>
        <v>2383.5500000000002</v>
      </c>
      <c r="P325" s="125">
        <v>7</v>
      </c>
      <c r="Q325" s="49">
        <v>8.4</v>
      </c>
      <c r="R325" s="125">
        <v>14</v>
      </c>
      <c r="S325" s="134">
        <v>17.5</v>
      </c>
      <c r="T325" s="49">
        <v>21</v>
      </c>
      <c r="U325" s="49">
        <v>149478</v>
      </c>
    </row>
    <row r="326" spans="1:21" x14ac:dyDescent="0.25">
      <c r="A326" s="72">
        <v>2</v>
      </c>
      <c r="B326" s="64" t="s">
        <v>458</v>
      </c>
      <c r="C326" s="65">
        <v>1</v>
      </c>
      <c r="D326" s="7">
        <v>0</v>
      </c>
      <c r="E326" s="3">
        <f t="shared" si="68"/>
        <v>1</v>
      </c>
      <c r="F326" s="3" t="s">
        <v>867</v>
      </c>
      <c r="G326" s="77">
        <v>3172.44</v>
      </c>
      <c r="H326" s="65" t="s">
        <v>1</v>
      </c>
      <c r="I326" s="78">
        <f t="shared" si="72"/>
        <v>3172.44</v>
      </c>
      <c r="J326" s="110">
        <f t="shared" si="74"/>
        <v>75</v>
      </c>
      <c r="K326" s="4">
        <v>6.2</v>
      </c>
      <c r="L326" s="65" t="s">
        <v>1</v>
      </c>
      <c r="M326" s="80">
        <f t="shared" si="69"/>
        <v>6.2</v>
      </c>
      <c r="N326" s="78">
        <f t="shared" si="70"/>
        <v>465</v>
      </c>
      <c r="O326" s="111">
        <f t="shared" si="71"/>
        <v>3637.44</v>
      </c>
      <c r="P326" s="125">
        <v>7.75</v>
      </c>
      <c r="Q326" s="49">
        <v>9.3000000000000007</v>
      </c>
      <c r="R326" s="125">
        <v>15</v>
      </c>
      <c r="S326" s="134">
        <v>18.75</v>
      </c>
      <c r="T326" s="49">
        <v>22.5</v>
      </c>
      <c r="U326" s="49">
        <v>149481</v>
      </c>
    </row>
    <row r="327" spans="1:21" x14ac:dyDescent="0.25">
      <c r="A327" s="72">
        <v>3</v>
      </c>
      <c r="B327" s="64" t="s">
        <v>459</v>
      </c>
      <c r="C327" s="65">
        <v>1</v>
      </c>
      <c r="D327" s="7">
        <v>0</v>
      </c>
      <c r="E327" s="3">
        <f t="shared" si="68"/>
        <v>1</v>
      </c>
      <c r="F327" s="3" t="s">
        <v>867</v>
      </c>
      <c r="G327" s="77">
        <v>0</v>
      </c>
      <c r="H327" s="65" t="s">
        <v>1</v>
      </c>
      <c r="I327" s="78">
        <f t="shared" si="72"/>
        <v>0</v>
      </c>
      <c r="J327" s="110">
        <f t="shared" si="74"/>
        <v>75</v>
      </c>
      <c r="K327" s="4">
        <v>6.8</v>
      </c>
      <c r="L327" s="65" t="s">
        <v>1</v>
      </c>
      <c r="M327" s="80">
        <f t="shared" si="69"/>
        <v>6.8</v>
      </c>
      <c r="N327" s="78">
        <f t="shared" si="70"/>
        <v>510</v>
      </c>
      <c r="O327" s="111">
        <f t="shared" si="71"/>
        <v>510</v>
      </c>
      <c r="P327" s="125">
        <v>8.5</v>
      </c>
      <c r="Q327" s="49">
        <v>10.199999999999999</v>
      </c>
      <c r="R327" s="125"/>
      <c r="S327" s="134"/>
      <c r="T327" s="49"/>
      <c r="U327" s="49">
        <v>149484</v>
      </c>
    </row>
    <row r="328" spans="1:21" x14ac:dyDescent="0.25">
      <c r="A328" s="72">
        <v>4</v>
      </c>
      <c r="B328" s="64" t="s">
        <v>460</v>
      </c>
      <c r="C328" s="65">
        <v>1</v>
      </c>
      <c r="D328" s="7">
        <v>0</v>
      </c>
      <c r="E328" s="3">
        <f t="shared" si="68"/>
        <v>1</v>
      </c>
      <c r="F328" s="3" t="s">
        <v>867</v>
      </c>
      <c r="G328" s="77">
        <v>0</v>
      </c>
      <c r="H328" s="65" t="s">
        <v>1</v>
      </c>
      <c r="I328" s="78">
        <f t="shared" si="72"/>
        <v>0</v>
      </c>
      <c r="J328" s="110">
        <f t="shared" si="74"/>
        <v>75</v>
      </c>
      <c r="K328" s="4">
        <v>6.8</v>
      </c>
      <c r="L328" s="65" t="s">
        <v>1</v>
      </c>
      <c r="M328" s="80">
        <f t="shared" si="69"/>
        <v>6.8</v>
      </c>
      <c r="N328" s="78">
        <f t="shared" si="70"/>
        <v>510</v>
      </c>
      <c r="O328" s="111">
        <f t="shared" si="71"/>
        <v>510</v>
      </c>
      <c r="P328" s="125">
        <v>8.5</v>
      </c>
      <c r="Q328" s="49">
        <v>10.199999999999999</v>
      </c>
      <c r="R328" s="125">
        <v>17</v>
      </c>
      <c r="S328" s="134">
        <v>21.25</v>
      </c>
      <c r="T328" s="49">
        <v>25.5</v>
      </c>
      <c r="U328" s="49">
        <v>149487</v>
      </c>
    </row>
    <row r="329" spans="1:21" x14ac:dyDescent="0.25">
      <c r="A329" s="72">
        <v>5</v>
      </c>
      <c r="B329" s="64" t="s">
        <v>461</v>
      </c>
      <c r="C329" s="65">
        <v>1</v>
      </c>
      <c r="D329" s="7">
        <v>0</v>
      </c>
      <c r="E329" s="3">
        <f t="shared" si="68"/>
        <v>1</v>
      </c>
      <c r="F329" s="3" t="s">
        <v>867</v>
      </c>
      <c r="G329" s="77">
        <v>0</v>
      </c>
      <c r="H329" s="65" t="s">
        <v>1</v>
      </c>
      <c r="I329" s="78">
        <f t="shared" si="72"/>
        <v>0</v>
      </c>
      <c r="J329" s="110">
        <f t="shared" si="74"/>
        <v>75</v>
      </c>
      <c r="K329" s="4">
        <v>6.8</v>
      </c>
      <c r="L329" s="65" t="s">
        <v>1</v>
      </c>
      <c r="M329" s="80">
        <f t="shared" si="69"/>
        <v>6.8</v>
      </c>
      <c r="N329" s="78">
        <f t="shared" si="70"/>
        <v>510</v>
      </c>
      <c r="O329" s="111">
        <f t="shared" si="71"/>
        <v>510</v>
      </c>
      <c r="P329" s="125">
        <v>8.5</v>
      </c>
      <c r="Q329" s="49">
        <v>10.199999999999999</v>
      </c>
      <c r="R329" s="125"/>
      <c r="S329" s="134"/>
      <c r="T329" s="49"/>
      <c r="U329" s="49">
        <v>149490</v>
      </c>
    </row>
    <row r="330" spans="1:21" x14ac:dyDescent="0.25">
      <c r="A330" s="72">
        <v>6</v>
      </c>
      <c r="B330" s="64" t="s">
        <v>462</v>
      </c>
      <c r="C330" s="65">
        <v>1</v>
      </c>
      <c r="D330" s="7">
        <v>0</v>
      </c>
      <c r="E330" s="3">
        <f t="shared" si="68"/>
        <v>1</v>
      </c>
      <c r="F330" s="3" t="s">
        <v>867</v>
      </c>
      <c r="G330" s="77">
        <v>0</v>
      </c>
      <c r="H330" s="65" t="s">
        <v>1</v>
      </c>
      <c r="I330" s="78">
        <f t="shared" si="72"/>
        <v>0</v>
      </c>
      <c r="J330" s="110">
        <f t="shared" si="74"/>
        <v>75</v>
      </c>
      <c r="K330" s="4">
        <v>8.1</v>
      </c>
      <c r="L330" s="65" t="s">
        <v>1</v>
      </c>
      <c r="M330" s="80">
        <f t="shared" si="69"/>
        <v>8.1</v>
      </c>
      <c r="N330" s="78">
        <f t="shared" si="70"/>
        <v>607.5</v>
      </c>
      <c r="O330" s="111">
        <f t="shared" si="71"/>
        <v>607.5</v>
      </c>
      <c r="P330" s="125">
        <v>10.130000000000001</v>
      </c>
      <c r="Q330" s="49">
        <v>12.15</v>
      </c>
      <c r="R330" s="125"/>
      <c r="S330" s="134"/>
      <c r="T330" s="49"/>
      <c r="U330" s="49">
        <v>149493</v>
      </c>
    </row>
    <row r="331" spans="1:21" x14ac:dyDescent="0.25">
      <c r="A331" s="72">
        <v>7</v>
      </c>
      <c r="B331" s="64" t="s">
        <v>463</v>
      </c>
      <c r="C331" s="65">
        <v>1</v>
      </c>
      <c r="D331" s="7">
        <v>0</v>
      </c>
      <c r="E331" s="3">
        <f t="shared" si="68"/>
        <v>1</v>
      </c>
      <c r="F331" s="3" t="s">
        <v>867</v>
      </c>
      <c r="G331" s="77">
        <v>0</v>
      </c>
      <c r="H331" s="65" t="s">
        <v>1</v>
      </c>
      <c r="I331" s="78">
        <f t="shared" si="72"/>
        <v>0</v>
      </c>
      <c r="J331" s="110">
        <f t="shared" si="74"/>
        <v>75</v>
      </c>
      <c r="K331" s="4">
        <v>8.1</v>
      </c>
      <c r="L331" s="65" t="s">
        <v>1</v>
      </c>
      <c r="M331" s="80">
        <f t="shared" si="69"/>
        <v>8.1</v>
      </c>
      <c r="N331" s="78">
        <f t="shared" si="70"/>
        <v>607.5</v>
      </c>
      <c r="O331" s="111">
        <f t="shared" si="71"/>
        <v>607.5</v>
      </c>
      <c r="P331" s="125">
        <v>10.130000000000001</v>
      </c>
      <c r="Q331" s="49">
        <v>12.15</v>
      </c>
      <c r="R331" s="125"/>
      <c r="S331" s="134"/>
      <c r="T331" s="49"/>
      <c r="U331" s="49">
        <v>149496</v>
      </c>
    </row>
    <row r="332" spans="1:21" x14ac:dyDescent="0.25">
      <c r="A332" s="72">
        <v>8</v>
      </c>
      <c r="B332" s="64" t="s">
        <v>464</v>
      </c>
      <c r="C332" s="65">
        <v>1</v>
      </c>
      <c r="D332" s="7">
        <v>0</v>
      </c>
      <c r="E332" s="3">
        <f t="shared" si="68"/>
        <v>1</v>
      </c>
      <c r="F332" s="3" t="s">
        <v>867</v>
      </c>
      <c r="G332" s="77">
        <v>5219.28</v>
      </c>
      <c r="H332" s="65" t="s">
        <v>1</v>
      </c>
      <c r="I332" s="78">
        <f t="shared" si="72"/>
        <v>5219.28</v>
      </c>
      <c r="J332" s="110">
        <f t="shared" si="74"/>
        <v>75</v>
      </c>
      <c r="K332" s="4">
        <v>6.2</v>
      </c>
      <c r="L332" s="65" t="s">
        <v>1</v>
      </c>
      <c r="M332" s="80">
        <f t="shared" si="69"/>
        <v>6.2</v>
      </c>
      <c r="N332" s="78">
        <f t="shared" si="70"/>
        <v>465</v>
      </c>
      <c r="O332" s="111">
        <f t="shared" si="71"/>
        <v>5684.28</v>
      </c>
      <c r="P332" s="125">
        <v>7.75</v>
      </c>
      <c r="Q332" s="49">
        <v>9.3000000000000007</v>
      </c>
      <c r="R332" s="125"/>
      <c r="S332" s="134"/>
      <c r="T332" s="49"/>
      <c r="U332" s="49">
        <v>149499</v>
      </c>
    </row>
    <row r="333" spans="1:21" x14ac:dyDescent="0.25">
      <c r="A333" s="72">
        <v>9</v>
      </c>
      <c r="B333" s="64" t="s">
        <v>465</v>
      </c>
      <c r="C333" s="65">
        <v>1</v>
      </c>
      <c r="D333" s="7">
        <v>0</v>
      </c>
      <c r="E333" s="3">
        <f t="shared" si="68"/>
        <v>1</v>
      </c>
      <c r="F333" s="3" t="s">
        <v>867</v>
      </c>
      <c r="G333" s="77">
        <v>0</v>
      </c>
      <c r="H333" s="65" t="s">
        <v>1</v>
      </c>
      <c r="I333" s="78">
        <f t="shared" si="72"/>
        <v>0</v>
      </c>
      <c r="J333" s="110">
        <f t="shared" si="74"/>
        <v>75</v>
      </c>
      <c r="K333" s="4">
        <v>6.2</v>
      </c>
      <c r="L333" s="65" t="s">
        <v>1</v>
      </c>
      <c r="M333" s="80">
        <f t="shared" si="69"/>
        <v>6.2</v>
      </c>
      <c r="N333" s="78">
        <f t="shared" si="70"/>
        <v>465</v>
      </c>
      <c r="O333" s="111">
        <f t="shared" si="71"/>
        <v>465</v>
      </c>
      <c r="P333" s="125">
        <v>7.75</v>
      </c>
      <c r="Q333" s="49">
        <v>9.3000000000000007</v>
      </c>
      <c r="R333" s="125"/>
      <c r="S333" s="134"/>
      <c r="T333" s="49"/>
      <c r="U333" s="49">
        <v>149502</v>
      </c>
    </row>
    <row r="334" spans="1:21" x14ac:dyDescent="0.25">
      <c r="A334" s="72"/>
      <c r="B334" s="64"/>
      <c r="C334" s="65"/>
      <c r="D334" s="7"/>
      <c r="E334" s="3"/>
      <c r="F334" s="3"/>
      <c r="G334" s="77" t="s">
        <v>1202</v>
      </c>
      <c r="H334" s="65"/>
      <c r="I334" s="78"/>
      <c r="J334" s="64"/>
      <c r="K334" s="4"/>
      <c r="L334" s="65"/>
      <c r="M334" s="80"/>
      <c r="N334" s="78"/>
      <c r="O334" s="111"/>
      <c r="P334" s="125"/>
      <c r="Q334" s="49"/>
      <c r="R334" s="125"/>
      <c r="S334" s="134"/>
      <c r="T334" s="49"/>
      <c r="U334" s="49"/>
    </row>
    <row r="335" spans="1:21" x14ac:dyDescent="0.25">
      <c r="A335" s="72">
        <v>1</v>
      </c>
      <c r="B335" s="64" t="s">
        <v>466</v>
      </c>
      <c r="C335" s="65">
        <v>1</v>
      </c>
      <c r="D335" s="7">
        <v>0</v>
      </c>
      <c r="E335" s="3">
        <f t="shared" si="68"/>
        <v>1</v>
      </c>
      <c r="F335" s="3" t="s">
        <v>867</v>
      </c>
      <c r="G335" s="77">
        <v>4196.6400000000003</v>
      </c>
      <c r="H335" s="65" t="s">
        <v>1</v>
      </c>
      <c r="I335" s="78">
        <f t="shared" si="72"/>
        <v>4196.6400000000003</v>
      </c>
      <c r="J335" s="110">
        <f t="shared" ref="J335:J343" si="75">$O$4</f>
        <v>75</v>
      </c>
      <c r="K335" s="4">
        <v>7.7</v>
      </c>
      <c r="L335" s="65" t="s">
        <v>1</v>
      </c>
      <c r="M335" s="80">
        <f t="shared" si="69"/>
        <v>7.7</v>
      </c>
      <c r="N335" s="78">
        <f t="shared" si="70"/>
        <v>577.5</v>
      </c>
      <c r="O335" s="111">
        <f t="shared" si="71"/>
        <v>4774.1400000000003</v>
      </c>
      <c r="P335" s="125">
        <v>9.6300000000000008</v>
      </c>
      <c r="Q335" s="49">
        <v>11.55</v>
      </c>
      <c r="R335" s="125">
        <v>18</v>
      </c>
      <c r="S335" s="134">
        <v>22.5</v>
      </c>
      <c r="T335" s="49">
        <v>27</v>
      </c>
      <c r="U335" s="49">
        <v>149559</v>
      </c>
    </row>
    <row r="336" spans="1:21" x14ac:dyDescent="0.25">
      <c r="A336" s="72">
        <v>2</v>
      </c>
      <c r="B336" s="64" t="s">
        <v>467</v>
      </c>
      <c r="C336" s="65">
        <v>1</v>
      </c>
      <c r="D336" s="7">
        <v>0</v>
      </c>
      <c r="E336" s="3">
        <f t="shared" si="68"/>
        <v>1</v>
      </c>
      <c r="F336" s="3" t="s">
        <v>867</v>
      </c>
      <c r="G336" s="77">
        <v>5556.05</v>
      </c>
      <c r="H336" s="65" t="s">
        <v>1</v>
      </c>
      <c r="I336" s="78">
        <f t="shared" si="72"/>
        <v>5556.05</v>
      </c>
      <c r="J336" s="110">
        <f t="shared" si="75"/>
        <v>75</v>
      </c>
      <c r="K336" s="4">
        <v>8.5</v>
      </c>
      <c r="L336" s="65" t="s">
        <v>1</v>
      </c>
      <c r="M336" s="80">
        <f t="shared" si="69"/>
        <v>8.5</v>
      </c>
      <c r="N336" s="78">
        <f t="shared" si="70"/>
        <v>637.5</v>
      </c>
      <c r="O336" s="111">
        <f t="shared" si="71"/>
        <v>6193.55</v>
      </c>
      <c r="P336" s="125">
        <v>10.63</v>
      </c>
      <c r="Q336" s="49">
        <v>12.75</v>
      </c>
      <c r="R336" s="125">
        <v>20</v>
      </c>
      <c r="S336" s="134">
        <v>25</v>
      </c>
      <c r="T336" s="49">
        <v>30</v>
      </c>
      <c r="U336" s="49">
        <v>149562</v>
      </c>
    </row>
    <row r="337" spans="1:21" x14ac:dyDescent="0.25">
      <c r="A337" s="72">
        <v>3</v>
      </c>
      <c r="B337" s="64" t="s">
        <v>468</v>
      </c>
      <c r="C337" s="65">
        <v>1</v>
      </c>
      <c r="D337" s="7">
        <v>0</v>
      </c>
      <c r="E337" s="3">
        <f t="shared" si="68"/>
        <v>1</v>
      </c>
      <c r="F337" s="3" t="s">
        <v>867</v>
      </c>
      <c r="G337" s="77">
        <v>0</v>
      </c>
      <c r="H337" s="65" t="s">
        <v>1</v>
      </c>
      <c r="I337" s="78">
        <f t="shared" si="72"/>
        <v>0</v>
      </c>
      <c r="J337" s="110">
        <f t="shared" si="75"/>
        <v>75</v>
      </c>
      <c r="K337" s="4">
        <v>9.5</v>
      </c>
      <c r="L337" s="65" t="s">
        <v>1</v>
      </c>
      <c r="M337" s="80">
        <f t="shared" si="69"/>
        <v>9.5</v>
      </c>
      <c r="N337" s="78">
        <f t="shared" si="70"/>
        <v>712.5</v>
      </c>
      <c r="O337" s="111">
        <f t="shared" si="71"/>
        <v>712.5</v>
      </c>
      <c r="P337" s="125">
        <v>11.88</v>
      </c>
      <c r="Q337" s="49">
        <v>14.25</v>
      </c>
      <c r="R337" s="125"/>
      <c r="S337" s="134"/>
      <c r="T337" s="49"/>
      <c r="U337" s="49">
        <v>149565</v>
      </c>
    </row>
    <row r="338" spans="1:21" x14ac:dyDescent="0.25">
      <c r="A338" s="72">
        <v>4</v>
      </c>
      <c r="B338" s="64" t="s">
        <v>469</v>
      </c>
      <c r="C338" s="65">
        <v>1</v>
      </c>
      <c r="D338" s="7">
        <v>0</v>
      </c>
      <c r="E338" s="3">
        <f t="shared" si="68"/>
        <v>1</v>
      </c>
      <c r="F338" s="3" t="s">
        <v>867</v>
      </c>
      <c r="G338" s="77">
        <v>0</v>
      </c>
      <c r="H338" s="65" t="s">
        <v>1</v>
      </c>
      <c r="I338" s="78">
        <f t="shared" si="72"/>
        <v>0</v>
      </c>
      <c r="J338" s="110">
        <f t="shared" si="75"/>
        <v>75</v>
      </c>
      <c r="K338" s="4">
        <v>9.5</v>
      </c>
      <c r="L338" s="65" t="s">
        <v>1</v>
      </c>
      <c r="M338" s="80">
        <f t="shared" si="69"/>
        <v>9.5</v>
      </c>
      <c r="N338" s="78">
        <f t="shared" si="70"/>
        <v>712.5</v>
      </c>
      <c r="O338" s="111">
        <f t="shared" si="71"/>
        <v>712.5</v>
      </c>
      <c r="P338" s="125">
        <v>11.88</v>
      </c>
      <c r="Q338" s="49">
        <v>14.25</v>
      </c>
      <c r="R338" s="125">
        <v>22</v>
      </c>
      <c r="S338" s="134">
        <v>27.5</v>
      </c>
      <c r="T338" s="49">
        <v>33</v>
      </c>
      <c r="U338" s="49">
        <v>149568</v>
      </c>
    </row>
    <row r="339" spans="1:21" x14ac:dyDescent="0.25">
      <c r="A339" s="72">
        <v>5</v>
      </c>
      <c r="B339" s="64" t="s">
        <v>470</v>
      </c>
      <c r="C339" s="65">
        <v>1</v>
      </c>
      <c r="D339" s="7">
        <v>0</v>
      </c>
      <c r="E339" s="3">
        <f t="shared" si="68"/>
        <v>1</v>
      </c>
      <c r="F339" s="3" t="s">
        <v>867</v>
      </c>
      <c r="G339" s="77">
        <v>0</v>
      </c>
      <c r="H339" s="65" t="s">
        <v>1</v>
      </c>
      <c r="I339" s="78">
        <f t="shared" si="72"/>
        <v>0</v>
      </c>
      <c r="J339" s="110">
        <f t="shared" si="75"/>
        <v>75</v>
      </c>
      <c r="K339" s="4">
        <v>9.5</v>
      </c>
      <c r="L339" s="65" t="s">
        <v>1</v>
      </c>
      <c r="M339" s="80">
        <f t="shared" si="69"/>
        <v>9.5</v>
      </c>
      <c r="N339" s="78">
        <f t="shared" si="70"/>
        <v>712.5</v>
      </c>
      <c r="O339" s="111">
        <f t="shared" si="71"/>
        <v>712.5</v>
      </c>
      <c r="P339" s="125">
        <v>11.88</v>
      </c>
      <c r="Q339" s="49">
        <v>14.25</v>
      </c>
      <c r="R339" s="125"/>
      <c r="S339" s="134"/>
      <c r="T339" s="49"/>
      <c r="U339" s="49">
        <v>149571</v>
      </c>
    </row>
    <row r="340" spans="1:21" x14ac:dyDescent="0.25">
      <c r="A340" s="72">
        <v>6</v>
      </c>
      <c r="B340" s="64" t="s">
        <v>471</v>
      </c>
      <c r="C340" s="65">
        <v>1</v>
      </c>
      <c r="D340" s="7">
        <v>0</v>
      </c>
      <c r="E340" s="3">
        <f t="shared" si="68"/>
        <v>1</v>
      </c>
      <c r="F340" s="3" t="s">
        <v>867</v>
      </c>
      <c r="G340" s="77">
        <v>0</v>
      </c>
      <c r="H340" s="65" t="s">
        <v>1</v>
      </c>
      <c r="I340" s="78">
        <f t="shared" si="72"/>
        <v>0</v>
      </c>
      <c r="J340" s="110">
        <f t="shared" si="75"/>
        <v>75</v>
      </c>
      <c r="K340" s="4">
        <v>10.8</v>
      </c>
      <c r="L340" s="65" t="s">
        <v>1</v>
      </c>
      <c r="M340" s="80">
        <f t="shared" si="69"/>
        <v>10.8</v>
      </c>
      <c r="N340" s="78">
        <f t="shared" si="70"/>
        <v>810</v>
      </c>
      <c r="O340" s="111">
        <f t="shared" si="71"/>
        <v>810</v>
      </c>
      <c r="P340" s="125">
        <v>13.5</v>
      </c>
      <c r="Q340" s="49">
        <v>16.2</v>
      </c>
      <c r="R340" s="125"/>
      <c r="S340" s="134"/>
      <c r="T340" s="49"/>
      <c r="U340" s="49">
        <v>149574</v>
      </c>
    </row>
    <row r="341" spans="1:21" x14ac:dyDescent="0.25">
      <c r="A341" s="72">
        <v>7</v>
      </c>
      <c r="B341" s="64" t="s">
        <v>472</v>
      </c>
      <c r="C341" s="65">
        <v>1</v>
      </c>
      <c r="D341" s="7">
        <v>0</v>
      </c>
      <c r="E341" s="3">
        <f t="shared" si="68"/>
        <v>1</v>
      </c>
      <c r="F341" s="3" t="s">
        <v>867</v>
      </c>
      <c r="G341" s="77">
        <v>0</v>
      </c>
      <c r="H341" s="65" t="s">
        <v>1</v>
      </c>
      <c r="I341" s="78">
        <f t="shared" si="72"/>
        <v>0</v>
      </c>
      <c r="J341" s="110">
        <f t="shared" si="75"/>
        <v>75</v>
      </c>
      <c r="K341" s="4">
        <v>10.8</v>
      </c>
      <c r="L341" s="65" t="s">
        <v>1</v>
      </c>
      <c r="M341" s="80">
        <f t="shared" si="69"/>
        <v>10.8</v>
      </c>
      <c r="N341" s="78">
        <f t="shared" si="70"/>
        <v>810</v>
      </c>
      <c r="O341" s="111">
        <f t="shared" si="71"/>
        <v>810</v>
      </c>
      <c r="P341" s="125">
        <v>13.5</v>
      </c>
      <c r="Q341" s="49">
        <v>16.2</v>
      </c>
      <c r="R341" s="125"/>
      <c r="S341" s="134"/>
      <c r="T341" s="49"/>
      <c r="U341" s="49">
        <v>149577</v>
      </c>
    </row>
    <row r="342" spans="1:21" x14ac:dyDescent="0.25">
      <c r="A342" s="72">
        <v>8</v>
      </c>
      <c r="B342" s="64" t="s">
        <v>473</v>
      </c>
      <c r="C342" s="65">
        <v>1</v>
      </c>
      <c r="D342" s="7">
        <v>0</v>
      </c>
      <c r="E342" s="3">
        <f t="shared" si="68"/>
        <v>1</v>
      </c>
      <c r="F342" s="3" t="s">
        <v>867</v>
      </c>
      <c r="G342" s="77">
        <v>0</v>
      </c>
      <c r="H342" s="65" t="s">
        <v>1</v>
      </c>
      <c r="I342" s="78">
        <f t="shared" si="72"/>
        <v>0</v>
      </c>
      <c r="J342" s="110">
        <f t="shared" si="75"/>
        <v>75</v>
      </c>
      <c r="K342" s="4">
        <v>8.5</v>
      </c>
      <c r="L342" s="65" t="s">
        <v>1</v>
      </c>
      <c r="M342" s="80">
        <f t="shared" si="69"/>
        <v>8.5</v>
      </c>
      <c r="N342" s="78">
        <f t="shared" si="70"/>
        <v>637.5</v>
      </c>
      <c r="O342" s="111">
        <f t="shared" si="71"/>
        <v>637.5</v>
      </c>
      <c r="P342" s="125">
        <v>10.63</v>
      </c>
      <c r="Q342" s="49">
        <v>12.75</v>
      </c>
      <c r="R342" s="125"/>
      <c r="S342" s="134"/>
      <c r="T342" s="49"/>
      <c r="U342" s="49">
        <v>149580</v>
      </c>
    </row>
    <row r="343" spans="1:21" x14ac:dyDescent="0.25">
      <c r="A343" s="72">
        <v>9</v>
      </c>
      <c r="B343" s="64" t="s">
        <v>474</v>
      </c>
      <c r="C343" s="65">
        <v>1</v>
      </c>
      <c r="D343" s="7">
        <v>0</v>
      </c>
      <c r="E343" s="3">
        <f t="shared" si="68"/>
        <v>1</v>
      </c>
      <c r="F343" s="3" t="s">
        <v>867</v>
      </c>
      <c r="G343" s="77">
        <v>0</v>
      </c>
      <c r="H343" s="65" t="s">
        <v>1</v>
      </c>
      <c r="I343" s="78">
        <f t="shared" si="72"/>
        <v>0</v>
      </c>
      <c r="J343" s="110">
        <f t="shared" si="75"/>
        <v>75</v>
      </c>
      <c r="K343" s="4">
        <v>8.5</v>
      </c>
      <c r="L343" s="65" t="s">
        <v>1</v>
      </c>
      <c r="M343" s="80">
        <f t="shared" si="69"/>
        <v>8.5</v>
      </c>
      <c r="N343" s="78">
        <f t="shared" si="70"/>
        <v>637.5</v>
      </c>
      <c r="O343" s="111">
        <f t="shared" si="71"/>
        <v>637.5</v>
      </c>
      <c r="P343" s="125">
        <v>10.63</v>
      </c>
      <c r="Q343" s="49">
        <v>12.75</v>
      </c>
      <c r="R343" s="125"/>
      <c r="S343" s="134"/>
      <c r="T343" s="49"/>
      <c r="U343" s="49">
        <v>149583</v>
      </c>
    </row>
    <row r="344" spans="1:21" x14ac:dyDescent="0.25">
      <c r="A344" s="72"/>
      <c r="B344" s="64"/>
      <c r="C344" s="65"/>
      <c r="D344" s="7"/>
      <c r="E344" s="3"/>
      <c r="F344" s="3"/>
      <c r="G344" s="77" t="s">
        <v>1202</v>
      </c>
      <c r="H344" s="65"/>
      <c r="I344" s="78"/>
      <c r="J344" s="64"/>
      <c r="K344" s="4"/>
      <c r="L344" s="65"/>
      <c r="M344" s="80"/>
      <c r="N344" s="78"/>
      <c r="O344" s="111"/>
      <c r="P344" s="125"/>
      <c r="Q344" s="49"/>
      <c r="R344" s="125"/>
      <c r="S344" s="134"/>
      <c r="T344" s="49"/>
      <c r="U344" s="49"/>
    </row>
    <row r="345" spans="1:21" x14ac:dyDescent="0.25">
      <c r="A345" s="72">
        <v>1</v>
      </c>
      <c r="B345" s="64" t="s">
        <v>475</v>
      </c>
      <c r="C345" s="65">
        <v>1</v>
      </c>
      <c r="D345" s="7">
        <v>0</v>
      </c>
      <c r="E345" s="3">
        <f t="shared" si="68"/>
        <v>1</v>
      </c>
      <c r="F345" s="3" t="s">
        <v>867</v>
      </c>
      <c r="G345" s="77">
        <v>5290.99</v>
      </c>
      <c r="H345" s="65" t="s">
        <v>1</v>
      </c>
      <c r="I345" s="78">
        <f t="shared" si="72"/>
        <v>5290.99</v>
      </c>
      <c r="J345" s="110">
        <f t="shared" ref="J345:J353" si="76">$O$4</f>
        <v>75</v>
      </c>
      <c r="K345" s="4">
        <v>10</v>
      </c>
      <c r="L345" s="65" t="s">
        <v>1</v>
      </c>
      <c r="M345" s="80">
        <f t="shared" si="69"/>
        <v>10</v>
      </c>
      <c r="N345" s="78">
        <f t="shared" si="70"/>
        <v>750</v>
      </c>
      <c r="O345" s="111">
        <f t="shared" si="71"/>
        <v>6040.99</v>
      </c>
      <c r="P345" s="125">
        <v>12.5</v>
      </c>
      <c r="Q345" s="49">
        <v>15</v>
      </c>
      <c r="R345" s="125">
        <v>22</v>
      </c>
      <c r="S345" s="134">
        <v>27.5</v>
      </c>
      <c r="T345" s="49">
        <v>33</v>
      </c>
      <c r="U345" s="49">
        <v>149640</v>
      </c>
    </row>
    <row r="346" spans="1:21" x14ac:dyDescent="0.25">
      <c r="A346" s="72">
        <v>2</v>
      </c>
      <c r="B346" s="64" t="s">
        <v>476</v>
      </c>
      <c r="C346" s="65">
        <v>1</v>
      </c>
      <c r="D346" s="7">
        <v>0</v>
      </c>
      <c r="E346" s="3">
        <f t="shared" si="68"/>
        <v>1</v>
      </c>
      <c r="F346" s="3" t="s">
        <v>867</v>
      </c>
      <c r="G346" s="77">
        <v>0</v>
      </c>
      <c r="H346" s="65" t="s">
        <v>1</v>
      </c>
      <c r="I346" s="78">
        <f t="shared" si="72"/>
        <v>0</v>
      </c>
      <c r="J346" s="110">
        <f t="shared" si="76"/>
        <v>75</v>
      </c>
      <c r="K346" s="4">
        <v>11</v>
      </c>
      <c r="L346" s="65" t="s">
        <v>1</v>
      </c>
      <c r="M346" s="80">
        <f t="shared" si="69"/>
        <v>11</v>
      </c>
      <c r="N346" s="78">
        <f t="shared" si="70"/>
        <v>825</v>
      </c>
      <c r="O346" s="111">
        <f t="shared" si="71"/>
        <v>825</v>
      </c>
      <c r="P346" s="125">
        <v>13.75</v>
      </c>
      <c r="Q346" s="49">
        <v>16.5</v>
      </c>
      <c r="R346" s="125">
        <v>24</v>
      </c>
      <c r="S346" s="134">
        <v>30</v>
      </c>
      <c r="T346" s="49">
        <v>36</v>
      </c>
      <c r="U346" s="49">
        <v>149643</v>
      </c>
    </row>
    <row r="347" spans="1:21" x14ac:dyDescent="0.25">
      <c r="A347" s="72">
        <v>3</v>
      </c>
      <c r="B347" s="64" t="s">
        <v>477</v>
      </c>
      <c r="C347" s="65">
        <v>1</v>
      </c>
      <c r="D347" s="7">
        <v>0</v>
      </c>
      <c r="E347" s="3">
        <f t="shared" si="68"/>
        <v>1</v>
      </c>
      <c r="F347" s="3" t="s">
        <v>867</v>
      </c>
      <c r="G347" s="77">
        <v>0</v>
      </c>
      <c r="H347" s="65" t="s">
        <v>1</v>
      </c>
      <c r="I347" s="78">
        <f t="shared" si="72"/>
        <v>0</v>
      </c>
      <c r="J347" s="110">
        <f t="shared" si="76"/>
        <v>75</v>
      </c>
      <c r="K347" s="4">
        <v>12</v>
      </c>
      <c r="L347" s="65" t="s">
        <v>1</v>
      </c>
      <c r="M347" s="80">
        <f t="shared" si="69"/>
        <v>12</v>
      </c>
      <c r="N347" s="78">
        <f t="shared" si="70"/>
        <v>900</v>
      </c>
      <c r="O347" s="111">
        <f t="shared" si="71"/>
        <v>900</v>
      </c>
      <c r="P347" s="125">
        <v>15</v>
      </c>
      <c r="Q347" s="49">
        <v>18</v>
      </c>
      <c r="R347" s="125"/>
      <c r="S347" s="134"/>
      <c r="T347" s="49"/>
      <c r="U347" s="49">
        <v>149646</v>
      </c>
    </row>
    <row r="348" spans="1:21" x14ac:dyDescent="0.25">
      <c r="A348" s="72">
        <v>4</v>
      </c>
      <c r="B348" s="64" t="s">
        <v>478</v>
      </c>
      <c r="C348" s="65">
        <v>1</v>
      </c>
      <c r="D348" s="7">
        <v>0</v>
      </c>
      <c r="E348" s="3">
        <f t="shared" si="68"/>
        <v>1</v>
      </c>
      <c r="F348" s="3" t="s">
        <v>867</v>
      </c>
      <c r="G348" s="77">
        <v>0</v>
      </c>
      <c r="H348" s="65" t="s">
        <v>1</v>
      </c>
      <c r="I348" s="78">
        <f t="shared" si="72"/>
        <v>0</v>
      </c>
      <c r="J348" s="110">
        <f t="shared" si="76"/>
        <v>75</v>
      </c>
      <c r="K348" s="4">
        <v>12</v>
      </c>
      <c r="L348" s="65" t="s">
        <v>1</v>
      </c>
      <c r="M348" s="80">
        <f t="shared" si="69"/>
        <v>12</v>
      </c>
      <c r="N348" s="78">
        <f t="shared" si="70"/>
        <v>900</v>
      </c>
      <c r="O348" s="111">
        <f t="shared" si="71"/>
        <v>900</v>
      </c>
      <c r="P348" s="125">
        <v>15</v>
      </c>
      <c r="Q348" s="49">
        <v>18</v>
      </c>
      <c r="R348" s="125">
        <v>26</v>
      </c>
      <c r="S348" s="134">
        <v>32.5</v>
      </c>
      <c r="T348" s="49">
        <v>39</v>
      </c>
      <c r="U348" s="49">
        <v>149649</v>
      </c>
    </row>
    <row r="349" spans="1:21" x14ac:dyDescent="0.25">
      <c r="A349" s="72">
        <v>5</v>
      </c>
      <c r="B349" s="64" t="s">
        <v>479</v>
      </c>
      <c r="C349" s="65">
        <v>1</v>
      </c>
      <c r="D349" s="7">
        <v>0</v>
      </c>
      <c r="E349" s="3">
        <f t="shared" si="68"/>
        <v>1</v>
      </c>
      <c r="F349" s="3" t="s">
        <v>867</v>
      </c>
      <c r="G349" s="77">
        <v>0</v>
      </c>
      <c r="H349" s="65" t="s">
        <v>1</v>
      </c>
      <c r="I349" s="78">
        <f t="shared" si="72"/>
        <v>0</v>
      </c>
      <c r="J349" s="110">
        <f t="shared" si="76"/>
        <v>75</v>
      </c>
      <c r="K349" s="4">
        <v>12</v>
      </c>
      <c r="L349" s="65" t="s">
        <v>1</v>
      </c>
      <c r="M349" s="80">
        <f t="shared" si="69"/>
        <v>12</v>
      </c>
      <c r="N349" s="78">
        <f t="shared" si="70"/>
        <v>900</v>
      </c>
      <c r="O349" s="111">
        <f t="shared" si="71"/>
        <v>900</v>
      </c>
      <c r="P349" s="125">
        <v>15</v>
      </c>
      <c r="Q349" s="49">
        <v>18</v>
      </c>
      <c r="R349" s="125"/>
      <c r="S349" s="134"/>
      <c r="T349" s="49"/>
      <c r="U349" s="49">
        <v>149652</v>
      </c>
    </row>
    <row r="350" spans="1:21" x14ac:dyDescent="0.25">
      <c r="A350" s="72">
        <v>6</v>
      </c>
      <c r="B350" s="64" t="s">
        <v>480</v>
      </c>
      <c r="C350" s="65">
        <v>1</v>
      </c>
      <c r="D350" s="7">
        <v>0</v>
      </c>
      <c r="E350" s="3">
        <f t="shared" si="68"/>
        <v>1</v>
      </c>
      <c r="F350" s="3" t="s">
        <v>867</v>
      </c>
      <c r="G350" s="77">
        <v>0</v>
      </c>
      <c r="H350" s="65" t="s">
        <v>1</v>
      </c>
      <c r="I350" s="78">
        <f t="shared" si="72"/>
        <v>0</v>
      </c>
      <c r="J350" s="110">
        <f t="shared" si="76"/>
        <v>75</v>
      </c>
      <c r="K350" s="4">
        <v>13.5</v>
      </c>
      <c r="L350" s="65" t="s">
        <v>1</v>
      </c>
      <c r="M350" s="80">
        <f t="shared" si="69"/>
        <v>13.5</v>
      </c>
      <c r="N350" s="78">
        <f t="shared" si="70"/>
        <v>1012.5</v>
      </c>
      <c r="O350" s="111">
        <f t="shared" si="71"/>
        <v>1012.5</v>
      </c>
      <c r="P350" s="125">
        <v>16.88</v>
      </c>
      <c r="Q350" s="49">
        <v>20.25</v>
      </c>
      <c r="R350" s="125"/>
      <c r="S350" s="134"/>
      <c r="T350" s="49"/>
      <c r="U350" s="49">
        <v>149655</v>
      </c>
    </row>
    <row r="351" spans="1:21" x14ac:dyDescent="0.25">
      <c r="A351" s="72">
        <v>7</v>
      </c>
      <c r="B351" s="64" t="s">
        <v>481</v>
      </c>
      <c r="C351" s="65">
        <v>1</v>
      </c>
      <c r="D351" s="7">
        <v>0</v>
      </c>
      <c r="E351" s="3">
        <f t="shared" si="68"/>
        <v>1</v>
      </c>
      <c r="F351" s="3" t="s">
        <v>867</v>
      </c>
      <c r="G351" s="77">
        <v>0</v>
      </c>
      <c r="H351" s="65" t="s">
        <v>1</v>
      </c>
      <c r="I351" s="78">
        <f t="shared" si="72"/>
        <v>0</v>
      </c>
      <c r="J351" s="110">
        <f t="shared" si="76"/>
        <v>75</v>
      </c>
      <c r="K351" s="4">
        <v>13.5</v>
      </c>
      <c r="L351" s="65" t="s">
        <v>1</v>
      </c>
      <c r="M351" s="80">
        <f t="shared" si="69"/>
        <v>13.5</v>
      </c>
      <c r="N351" s="78">
        <f t="shared" si="70"/>
        <v>1012.5</v>
      </c>
      <c r="O351" s="111">
        <f t="shared" si="71"/>
        <v>1012.5</v>
      </c>
      <c r="P351" s="125">
        <v>16.88</v>
      </c>
      <c r="Q351" s="49">
        <v>20.25</v>
      </c>
      <c r="R351" s="125"/>
      <c r="S351" s="134"/>
      <c r="T351" s="49"/>
      <c r="U351" s="49">
        <v>149658</v>
      </c>
    </row>
    <row r="352" spans="1:21" x14ac:dyDescent="0.25">
      <c r="A352" s="72">
        <v>8</v>
      </c>
      <c r="B352" s="64" t="s">
        <v>482</v>
      </c>
      <c r="C352" s="65">
        <v>1</v>
      </c>
      <c r="D352" s="7">
        <v>0</v>
      </c>
      <c r="E352" s="3">
        <f t="shared" si="68"/>
        <v>1</v>
      </c>
      <c r="F352" s="3" t="s">
        <v>867</v>
      </c>
      <c r="G352" s="77">
        <v>0</v>
      </c>
      <c r="H352" s="65" t="s">
        <v>1</v>
      </c>
      <c r="I352" s="78">
        <f t="shared" si="72"/>
        <v>0</v>
      </c>
      <c r="J352" s="110">
        <f t="shared" si="76"/>
        <v>75</v>
      </c>
      <c r="K352" s="4">
        <v>11</v>
      </c>
      <c r="L352" s="65" t="s">
        <v>1</v>
      </c>
      <c r="M352" s="80">
        <f t="shared" si="69"/>
        <v>11</v>
      </c>
      <c r="N352" s="78">
        <f t="shared" si="70"/>
        <v>825</v>
      </c>
      <c r="O352" s="111">
        <f t="shared" si="71"/>
        <v>825</v>
      </c>
      <c r="P352" s="125">
        <v>13.75</v>
      </c>
      <c r="Q352" s="49">
        <v>16.5</v>
      </c>
      <c r="R352" s="125"/>
      <c r="S352" s="134"/>
      <c r="T352" s="49"/>
      <c r="U352" s="49">
        <v>149661</v>
      </c>
    </row>
    <row r="353" spans="1:21" x14ac:dyDescent="0.25">
      <c r="A353" s="72">
        <v>9</v>
      </c>
      <c r="B353" s="64" t="s">
        <v>483</v>
      </c>
      <c r="C353" s="65">
        <v>1</v>
      </c>
      <c r="D353" s="7">
        <v>0</v>
      </c>
      <c r="E353" s="3">
        <f t="shared" si="68"/>
        <v>1</v>
      </c>
      <c r="F353" s="3" t="s">
        <v>867</v>
      </c>
      <c r="G353" s="77">
        <v>0</v>
      </c>
      <c r="H353" s="65" t="s">
        <v>1</v>
      </c>
      <c r="I353" s="78">
        <f t="shared" si="72"/>
        <v>0</v>
      </c>
      <c r="J353" s="110">
        <f t="shared" si="76"/>
        <v>75</v>
      </c>
      <c r="K353" s="4">
        <v>11</v>
      </c>
      <c r="L353" s="65" t="s">
        <v>1</v>
      </c>
      <c r="M353" s="80">
        <f t="shared" si="69"/>
        <v>11</v>
      </c>
      <c r="N353" s="78">
        <f t="shared" si="70"/>
        <v>825</v>
      </c>
      <c r="O353" s="111">
        <f t="shared" si="71"/>
        <v>825</v>
      </c>
      <c r="P353" s="125">
        <v>13.75</v>
      </c>
      <c r="Q353" s="49">
        <v>16.5</v>
      </c>
      <c r="R353" s="125"/>
      <c r="S353" s="134"/>
      <c r="T353" s="49"/>
      <c r="U353" s="49">
        <v>149664</v>
      </c>
    </row>
    <row r="354" spans="1:21" x14ac:dyDescent="0.25">
      <c r="A354" s="72"/>
      <c r="B354" s="64"/>
      <c r="C354" s="65"/>
      <c r="D354" s="7"/>
      <c r="E354" s="3"/>
      <c r="F354" s="3"/>
      <c r="G354" s="77" t="s">
        <v>1202</v>
      </c>
      <c r="H354" s="65"/>
      <c r="I354" s="78"/>
      <c r="J354" s="64"/>
      <c r="K354" s="4"/>
      <c r="L354" s="65"/>
      <c r="M354" s="80"/>
      <c r="N354" s="78"/>
      <c r="O354" s="111"/>
      <c r="P354" s="125"/>
      <c r="Q354" s="49"/>
      <c r="R354" s="125"/>
      <c r="S354" s="134"/>
      <c r="T354" s="49"/>
      <c r="U354" s="49"/>
    </row>
    <row r="355" spans="1:21" x14ac:dyDescent="0.25">
      <c r="A355" s="72">
        <v>1</v>
      </c>
      <c r="B355" s="64" t="s">
        <v>484</v>
      </c>
      <c r="C355" s="65">
        <v>1</v>
      </c>
      <c r="D355" s="7">
        <v>0</v>
      </c>
      <c r="E355" s="3">
        <f t="shared" si="68"/>
        <v>1</v>
      </c>
      <c r="F355" s="3" t="s">
        <v>867</v>
      </c>
      <c r="G355" s="77">
        <v>56.22</v>
      </c>
      <c r="H355" s="65" t="s">
        <v>1</v>
      </c>
      <c r="I355" s="78">
        <f t="shared" si="72"/>
        <v>56.22</v>
      </c>
      <c r="J355" s="110">
        <f t="shared" ref="J355:J403" si="77">$O$4</f>
        <v>75</v>
      </c>
      <c r="K355" s="4">
        <v>0.2</v>
      </c>
      <c r="L355" s="65" t="s">
        <v>1</v>
      </c>
      <c r="M355" s="80">
        <f t="shared" si="69"/>
        <v>0.2</v>
      </c>
      <c r="N355" s="78">
        <f t="shared" si="70"/>
        <v>15</v>
      </c>
      <c r="O355" s="111">
        <f t="shared" si="71"/>
        <v>71.22</v>
      </c>
      <c r="P355" s="125">
        <v>0.25</v>
      </c>
      <c r="Q355" s="49">
        <v>0.3</v>
      </c>
      <c r="R355" s="125"/>
      <c r="S355" s="134"/>
      <c r="T355" s="49"/>
      <c r="U355" s="49">
        <v>149667</v>
      </c>
    </row>
    <row r="356" spans="1:21" x14ac:dyDescent="0.25">
      <c r="A356" s="72">
        <v>2</v>
      </c>
      <c r="B356" s="64" t="s">
        <v>485</v>
      </c>
      <c r="C356" s="65">
        <v>1</v>
      </c>
      <c r="D356" s="7">
        <v>0</v>
      </c>
      <c r="E356" s="3">
        <f t="shared" si="68"/>
        <v>1</v>
      </c>
      <c r="F356" s="3" t="s">
        <v>867</v>
      </c>
      <c r="G356" s="77">
        <v>113.34</v>
      </c>
      <c r="H356" s="65" t="s">
        <v>1</v>
      </c>
      <c r="I356" s="78">
        <f t="shared" si="72"/>
        <v>113.34</v>
      </c>
      <c r="J356" s="110">
        <f t="shared" si="77"/>
        <v>75</v>
      </c>
      <c r="K356" s="4">
        <v>0.3</v>
      </c>
      <c r="L356" s="65" t="s">
        <v>1</v>
      </c>
      <c r="M356" s="80">
        <f t="shared" si="69"/>
        <v>0.3</v>
      </c>
      <c r="N356" s="78">
        <f t="shared" si="70"/>
        <v>22.5</v>
      </c>
      <c r="O356" s="111">
        <f t="shared" si="71"/>
        <v>135.84</v>
      </c>
      <c r="P356" s="125">
        <v>0.38</v>
      </c>
      <c r="Q356" s="49">
        <v>0.45</v>
      </c>
      <c r="R356" s="125"/>
      <c r="S356" s="134"/>
      <c r="T356" s="49"/>
      <c r="U356" s="49">
        <v>149670</v>
      </c>
    </row>
    <row r="357" spans="1:21" x14ac:dyDescent="0.25">
      <c r="A357" s="72">
        <v>3</v>
      </c>
      <c r="B357" s="64" t="s">
        <v>486</v>
      </c>
      <c r="C357" s="65">
        <v>1</v>
      </c>
      <c r="D357" s="7">
        <v>0</v>
      </c>
      <c r="E357" s="3">
        <f t="shared" si="68"/>
        <v>1</v>
      </c>
      <c r="F357" s="3" t="s">
        <v>867</v>
      </c>
      <c r="G357" s="77">
        <v>120.99</v>
      </c>
      <c r="H357" s="65" t="s">
        <v>1</v>
      </c>
      <c r="I357" s="78">
        <f t="shared" si="72"/>
        <v>120.99</v>
      </c>
      <c r="J357" s="110">
        <f t="shared" si="77"/>
        <v>75</v>
      </c>
      <c r="K357" s="4">
        <v>0.4</v>
      </c>
      <c r="L357" s="65" t="s">
        <v>1</v>
      </c>
      <c r="M357" s="80">
        <f t="shared" si="69"/>
        <v>0.4</v>
      </c>
      <c r="N357" s="78">
        <f t="shared" si="70"/>
        <v>30</v>
      </c>
      <c r="O357" s="111">
        <f t="shared" si="71"/>
        <v>150.99</v>
      </c>
      <c r="P357" s="125">
        <v>0.5</v>
      </c>
      <c r="Q357" s="49">
        <v>0.6</v>
      </c>
      <c r="R357" s="125"/>
      <c r="S357" s="134"/>
      <c r="T357" s="49"/>
      <c r="U357" s="49">
        <v>149673</v>
      </c>
    </row>
    <row r="358" spans="1:21" x14ac:dyDescent="0.25">
      <c r="A358" s="72">
        <v>4</v>
      </c>
      <c r="B358" s="64" t="s">
        <v>487</v>
      </c>
      <c r="C358" s="65">
        <v>1</v>
      </c>
      <c r="D358" s="7">
        <v>0</v>
      </c>
      <c r="E358" s="3">
        <f t="shared" si="68"/>
        <v>1</v>
      </c>
      <c r="F358" s="3" t="s">
        <v>867</v>
      </c>
      <c r="G358" s="77">
        <v>207.61</v>
      </c>
      <c r="H358" s="65" t="s">
        <v>1</v>
      </c>
      <c r="I358" s="78">
        <f t="shared" si="72"/>
        <v>207.61</v>
      </c>
      <c r="J358" s="110">
        <f t="shared" si="77"/>
        <v>75</v>
      </c>
      <c r="K358" s="4">
        <v>0.5</v>
      </c>
      <c r="L358" s="65" t="s">
        <v>1</v>
      </c>
      <c r="M358" s="80">
        <f t="shared" si="69"/>
        <v>0.5</v>
      </c>
      <c r="N358" s="78">
        <f t="shared" si="70"/>
        <v>37.5</v>
      </c>
      <c r="O358" s="111">
        <f t="shared" si="71"/>
        <v>245.11</v>
      </c>
      <c r="P358" s="125">
        <v>0.63</v>
      </c>
      <c r="Q358" s="49">
        <v>0.75</v>
      </c>
      <c r="R358" s="125"/>
      <c r="S358" s="134"/>
      <c r="T358" s="49"/>
      <c r="U358" s="49">
        <v>149676</v>
      </c>
    </row>
    <row r="359" spans="1:21" x14ac:dyDescent="0.25">
      <c r="A359" s="72">
        <v>5</v>
      </c>
      <c r="B359" s="64" t="s">
        <v>488</v>
      </c>
      <c r="C359" s="65">
        <v>1</v>
      </c>
      <c r="D359" s="7">
        <v>0</v>
      </c>
      <c r="E359" s="3">
        <f t="shared" si="68"/>
        <v>1</v>
      </c>
      <c r="F359" s="3" t="s">
        <v>867</v>
      </c>
      <c r="G359" s="77">
        <v>220.74</v>
      </c>
      <c r="H359" s="65" t="s">
        <v>1</v>
      </c>
      <c r="I359" s="78">
        <f t="shared" si="72"/>
        <v>220.74</v>
      </c>
      <c r="J359" s="110">
        <f t="shared" si="77"/>
        <v>75</v>
      </c>
      <c r="K359" s="4">
        <v>0.5</v>
      </c>
      <c r="L359" s="65" t="s">
        <v>1</v>
      </c>
      <c r="M359" s="80">
        <f t="shared" si="69"/>
        <v>0.5</v>
      </c>
      <c r="N359" s="78">
        <f t="shared" si="70"/>
        <v>37.5</v>
      </c>
      <c r="O359" s="111">
        <f t="shared" si="71"/>
        <v>258.24</v>
      </c>
      <c r="P359" s="125">
        <v>0.63</v>
      </c>
      <c r="Q359" s="49">
        <v>0.75</v>
      </c>
      <c r="R359" s="125"/>
      <c r="S359" s="134"/>
      <c r="T359" s="49"/>
      <c r="U359" s="49">
        <v>149679</v>
      </c>
    </row>
    <row r="360" spans="1:21" x14ac:dyDescent="0.25">
      <c r="A360" s="72">
        <v>6</v>
      </c>
      <c r="B360" s="64" t="s">
        <v>489</v>
      </c>
      <c r="C360" s="65">
        <v>1</v>
      </c>
      <c r="D360" s="7">
        <v>0</v>
      </c>
      <c r="E360" s="3">
        <f t="shared" si="68"/>
        <v>1</v>
      </c>
      <c r="F360" s="3" t="s">
        <v>867</v>
      </c>
      <c r="G360" s="77">
        <v>512.54999999999995</v>
      </c>
      <c r="H360" s="65" t="s">
        <v>1</v>
      </c>
      <c r="I360" s="78">
        <f t="shared" si="72"/>
        <v>512.54999999999995</v>
      </c>
      <c r="J360" s="110">
        <f t="shared" si="77"/>
        <v>75</v>
      </c>
      <c r="K360" s="4">
        <v>1.1000000000000001</v>
      </c>
      <c r="L360" s="65" t="s">
        <v>1</v>
      </c>
      <c r="M360" s="80">
        <f t="shared" si="69"/>
        <v>1.1000000000000001</v>
      </c>
      <c r="N360" s="78">
        <f t="shared" si="70"/>
        <v>82.5</v>
      </c>
      <c r="O360" s="111">
        <f t="shared" si="71"/>
        <v>595.04999999999995</v>
      </c>
      <c r="P360" s="125">
        <v>1.38</v>
      </c>
      <c r="Q360" s="49">
        <v>1.65</v>
      </c>
      <c r="R360" s="125"/>
      <c r="S360" s="134"/>
      <c r="T360" s="49"/>
      <c r="U360" s="49">
        <v>149682</v>
      </c>
    </row>
    <row r="361" spans="1:21" x14ac:dyDescent="0.25">
      <c r="A361" s="72">
        <v>7</v>
      </c>
      <c r="B361" s="64" t="s">
        <v>490</v>
      </c>
      <c r="C361" s="65">
        <v>1</v>
      </c>
      <c r="D361" s="7">
        <v>0</v>
      </c>
      <c r="E361" s="3">
        <f t="shared" si="68"/>
        <v>1</v>
      </c>
      <c r="F361" s="3" t="s">
        <v>867</v>
      </c>
      <c r="G361" s="77">
        <v>0</v>
      </c>
      <c r="H361" s="65" t="s">
        <v>1</v>
      </c>
      <c r="I361" s="78">
        <f t="shared" si="72"/>
        <v>0</v>
      </c>
      <c r="J361" s="110">
        <f t="shared" si="77"/>
        <v>75</v>
      </c>
      <c r="K361" s="4">
        <v>1.4</v>
      </c>
      <c r="L361" s="65" t="s">
        <v>1</v>
      </c>
      <c r="M361" s="80">
        <f t="shared" si="69"/>
        <v>1.4</v>
      </c>
      <c r="N361" s="78">
        <f t="shared" si="70"/>
        <v>105</v>
      </c>
      <c r="O361" s="111">
        <f t="shared" si="71"/>
        <v>105</v>
      </c>
      <c r="P361" s="125">
        <v>1.75</v>
      </c>
      <c r="Q361" s="49">
        <v>2.1</v>
      </c>
      <c r="R361" s="125"/>
      <c r="S361" s="134"/>
      <c r="T361" s="49"/>
      <c r="U361" s="49">
        <v>149685</v>
      </c>
    </row>
    <row r="362" spans="1:21" x14ac:dyDescent="0.25">
      <c r="A362" s="72">
        <v>8</v>
      </c>
      <c r="B362" s="64" t="s">
        <v>491</v>
      </c>
      <c r="C362" s="65">
        <v>1</v>
      </c>
      <c r="D362" s="7">
        <v>0</v>
      </c>
      <c r="E362" s="3">
        <f t="shared" si="68"/>
        <v>1</v>
      </c>
      <c r="F362" s="3" t="s">
        <v>867</v>
      </c>
      <c r="G362" s="77">
        <v>0</v>
      </c>
      <c r="H362" s="65" t="s">
        <v>1</v>
      </c>
      <c r="I362" s="78">
        <f t="shared" si="72"/>
        <v>0</v>
      </c>
      <c r="J362" s="110">
        <f t="shared" si="77"/>
        <v>75</v>
      </c>
      <c r="K362" s="4">
        <v>0</v>
      </c>
      <c r="L362" s="65" t="s">
        <v>1</v>
      </c>
      <c r="M362" s="80">
        <f t="shared" si="69"/>
        <v>0</v>
      </c>
      <c r="N362" s="78">
        <f t="shared" si="70"/>
        <v>0</v>
      </c>
      <c r="O362" s="111">
        <f t="shared" si="71"/>
        <v>0</v>
      </c>
      <c r="P362" s="125"/>
      <c r="Q362" s="49"/>
      <c r="R362" s="125"/>
      <c r="S362" s="134"/>
      <c r="T362" s="49"/>
      <c r="U362" s="49">
        <v>149688</v>
      </c>
    </row>
    <row r="363" spans="1:21" x14ac:dyDescent="0.25">
      <c r="A363" s="72">
        <v>9</v>
      </c>
      <c r="B363" s="64" t="s">
        <v>492</v>
      </c>
      <c r="C363" s="65">
        <v>1</v>
      </c>
      <c r="D363" s="7">
        <v>0</v>
      </c>
      <c r="E363" s="3">
        <f t="shared" si="68"/>
        <v>1</v>
      </c>
      <c r="F363" s="3" t="s">
        <v>867</v>
      </c>
      <c r="G363" s="77">
        <v>0</v>
      </c>
      <c r="H363" s="65" t="s">
        <v>1</v>
      </c>
      <c r="I363" s="78">
        <f t="shared" si="72"/>
        <v>0</v>
      </c>
      <c r="J363" s="110">
        <f t="shared" si="77"/>
        <v>75</v>
      </c>
      <c r="K363" s="4">
        <v>0</v>
      </c>
      <c r="L363" s="65" t="s">
        <v>1</v>
      </c>
      <c r="M363" s="80">
        <f t="shared" si="69"/>
        <v>0</v>
      </c>
      <c r="N363" s="78">
        <f t="shared" si="70"/>
        <v>0</v>
      </c>
      <c r="O363" s="111">
        <f t="shared" si="71"/>
        <v>0</v>
      </c>
      <c r="P363" s="125"/>
      <c r="Q363" s="49"/>
      <c r="R363" s="125"/>
      <c r="S363" s="134"/>
      <c r="T363" s="49"/>
      <c r="U363" s="49">
        <v>149691</v>
      </c>
    </row>
    <row r="364" spans="1:21" x14ac:dyDescent="0.25">
      <c r="A364" s="72">
        <v>10</v>
      </c>
      <c r="B364" s="64" t="s">
        <v>493</v>
      </c>
      <c r="C364" s="65">
        <v>1</v>
      </c>
      <c r="D364" s="7">
        <v>0</v>
      </c>
      <c r="E364" s="3">
        <f t="shared" si="68"/>
        <v>1</v>
      </c>
      <c r="F364" s="3" t="s">
        <v>867</v>
      </c>
      <c r="G364" s="77">
        <v>0</v>
      </c>
      <c r="H364" s="65" t="s">
        <v>1</v>
      </c>
      <c r="I364" s="78">
        <f t="shared" si="72"/>
        <v>0</v>
      </c>
      <c r="J364" s="110">
        <f t="shared" si="77"/>
        <v>75</v>
      </c>
      <c r="K364" s="4">
        <v>0</v>
      </c>
      <c r="L364" s="65" t="s">
        <v>1</v>
      </c>
      <c r="M364" s="80">
        <f t="shared" si="69"/>
        <v>0</v>
      </c>
      <c r="N364" s="78">
        <f t="shared" si="70"/>
        <v>0</v>
      </c>
      <c r="O364" s="111">
        <f t="shared" si="71"/>
        <v>0</v>
      </c>
      <c r="P364" s="125"/>
      <c r="Q364" s="49"/>
      <c r="R364" s="125"/>
      <c r="S364" s="134"/>
      <c r="T364" s="49"/>
      <c r="U364" s="49">
        <v>149694</v>
      </c>
    </row>
    <row r="365" spans="1:21" x14ac:dyDescent="0.25">
      <c r="A365" s="72">
        <v>11</v>
      </c>
      <c r="B365" s="64" t="s">
        <v>494</v>
      </c>
      <c r="C365" s="65">
        <v>1</v>
      </c>
      <c r="D365" s="7">
        <v>0</v>
      </c>
      <c r="E365" s="3">
        <f t="shared" si="68"/>
        <v>1</v>
      </c>
      <c r="F365" s="3" t="s">
        <v>867</v>
      </c>
      <c r="G365" s="77">
        <v>0</v>
      </c>
      <c r="H365" s="65" t="s">
        <v>1</v>
      </c>
      <c r="I365" s="78">
        <f t="shared" si="72"/>
        <v>0</v>
      </c>
      <c r="J365" s="110">
        <f t="shared" si="77"/>
        <v>75</v>
      </c>
      <c r="K365" s="4">
        <v>0</v>
      </c>
      <c r="L365" s="65" t="s">
        <v>1</v>
      </c>
      <c r="M365" s="80">
        <f t="shared" si="69"/>
        <v>0</v>
      </c>
      <c r="N365" s="78">
        <f t="shared" si="70"/>
        <v>0</v>
      </c>
      <c r="O365" s="111">
        <f t="shared" si="71"/>
        <v>0</v>
      </c>
      <c r="P365" s="125"/>
      <c r="Q365" s="49"/>
      <c r="R365" s="125"/>
      <c r="S365" s="134"/>
      <c r="T365" s="49"/>
      <c r="U365" s="49">
        <v>149697</v>
      </c>
    </row>
    <row r="366" spans="1:21" x14ac:dyDescent="0.25">
      <c r="A366" s="72">
        <v>12</v>
      </c>
      <c r="B366" s="64" t="s">
        <v>495</v>
      </c>
      <c r="C366" s="65">
        <v>1</v>
      </c>
      <c r="D366" s="7">
        <v>0</v>
      </c>
      <c r="E366" s="3">
        <f t="shared" si="68"/>
        <v>1</v>
      </c>
      <c r="F366" s="3" t="s">
        <v>867</v>
      </c>
      <c r="G366" s="77">
        <v>0</v>
      </c>
      <c r="H366" s="65" t="s">
        <v>1</v>
      </c>
      <c r="I366" s="78">
        <f t="shared" si="72"/>
        <v>0</v>
      </c>
      <c r="J366" s="110">
        <f t="shared" si="77"/>
        <v>75</v>
      </c>
      <c r="K366" s="4">
        <v>0</v>
      </c>
      <c r="L366" s="65" t="s">
        <v>1</v>
      </c>
      <c r="M366" s="80">
        <f t="shared" si="69"/>
        <v>0</v>
      </c>
      <c r="N366" s="78">
        <f t="shared" si="70"/>
        <v>0</v>
      </c>
      <c r="O366" s="111">
        <f t="shared" si="71"/>
        <v>0</v>
      </c>
      <c r="P366" s="125"/>
      <c r="Q366" s="49"/>
      <c r="R366" s="125"/>
      <c r="S366" s="134"/>
      <c r="T366" s="49"/>
      <c r="U366" s="49">
        <v>149700</v>
      </c>
    </row>
    <row r="367" spans="1:21" x14ac:dyDescent="0.25">
      <c r="A367" s="72">
        <v>13</v>
      </c>
      <c r="B367" s="64" t="s">
        <v>496</v>
      </c>
      <c r="C367" s="65">
        <v>1</v>
      </c>
      <c r="D367" s="7">
        <v>0</v>
      </c>
      <c r="E367" s="3">
        <f t="shared" ref="E367:E403" si="78">C367+(C367*D367)</f>
        <v>1</v>
      </c>
      <c r="F367" s="3" t="s">
        <v>867</v>
      </c>
      <c r="G367" s="77">
        <v>0</v>
      </c>
      <c r="H367" s="65" t="s">
        <v>1</v>
      </c>
      <c r="I367" s="78">
        <f t="shared" si="72"/>
        <v>0</v>
      </c>
      <c r="J367" s="110">
        <f t="shared" si="77"/>
        <v>75</v>
      </c>
      <c r="K367" s="4">
        <v>0</v>
      </c>
      <c r="L367" s="65" t="s">
        <v>1</v>
      </c>
      <c r="M367" s="80">
        <f t="shared" ref="M367:M403" si="79">IF(L367="C",(K367/100)*E367,IF(L367="M",(K367/1000)*E367,K367*E367))</f>
        <v>0</v>
      </c>
      <c r="N367" s="78">
        <f t="shared" ref="N367:N403" si="80">M367*J367</f>
        <v>0</v>
      </c>
      <c r="O367" s="111">
        <f t="shared" ref="O367:O403" si="81">N367+I367</f>
        <v>0</v>
      </c>
      <c r="P367" s="125"/>
      <c r="Q367" s="49"/>
      <c r="R367" s="125"/>
      <c r="S367" s="134"/>
      <c r="T367" s="49"/>
      <c r="U367" s="49">
        <v>149703</v>
      </c>
    </row>
    <row r="368" spans="1:21" x14ac:dyDescent="0.25">
      <c r="A368" s="72"/>
      <c r="B368" s="64"/>
      <c r="C368" s="65"/>
      <c r="D368" s="7"/>
      <c r="E368" s="3"/>
      <c r="F368" s="3"/>
      <c r="G368" s="77" t="s">
        <v>1202</v>
      </c>
      <c r="H368" s="65"/>
      <c r="I368" s="78"/>
      <c r="J368" s="64"/>
      <c r="K368" s="4"/>
      <c r="L368" s="65"/>
      <c r="M368" s="80"/>
      <c r="N368" s="78"/>
      <c r="O368" s="111"/>
      <c r="P368" s="125"/>
      <c r="Q368" s="49"/>
      <c r="R368" s="125"/>
      <c r="S368" s="134"/>
      <c r="T368" s="49"/>
      <c r="U368" s="49"/>
    </row>
    <row r="369" spans="1:21" x14ac:dyDescent="0.25">
      <c r="A369" s="72">
        <v>1</v>
      </c>
      <c r="B369" s="64" t="s">
        <v>497</v>
      </c>
      <c r="C369" s="65">
        <v>1</v>
      </c>
      <c r="D369" s="7">
        <v>0</v>
      </c>
      <c r="E369" s="3">
        <f t="shared" si="78"/>
        <v>1</v>
      </c>
      <c r="F369" s="3" t="s">
        <v>867</v>
      </c>
      <c r="G369" s="77">
        <v>51.6</v>
      </c>
      <c r="H369" s="65" t="s">
        <v>1</v>
      </c>
      <c r="I369" s="78">
        <f t="shared" si="72"/>
        <v>51.6</v>
      </c>
      <c r="J369" s="110">
        <f t="shared" si="77"/>
        <v>75</v>
      </c>
      <c r="K369" s="4">
        <v>1</v>
      </c>
      <c r="L369" s="65" t="s">
        <v>1</v>
      </c>
      <c r="M369" s="80">
        <f t="shared" si="79"/>
        <v>1</v>
      </c>
      <c r="N369" s="78">
        <f t="shared" si="80"/>
        <v>75</v>
      </c>
      <c r="O369" s="111">
        <f t="shared" si="81"/>
        <v>126.6</v>
      </c>
      <c r="P369" s="125">
        <v>1.25</v>
      </c>
      <c r="Q369" s="49">
        <v>1.5</v>
      </c>
      <c r="R369" s="125"/>
      <c r="S369" s="134"/>
      <c r="T369" s="49"/>
      <c r="U369" s="49">
        <v>149706</v>
      </c>
    </row>
    <row r="370" spans="1:21" x14ac:dyDescent="0.25">
      <c r="A370" s="72">
        <v>2</v>
      </c>
      <c r="B370" s="64" t="s">
        <v>498</v>
      </c>
      <c r="C370" s="65">
        <v>1</v>
      </c>
      <c r="D370" s="7">
        <v>0</v>
      </c>
      <c r="E370" s="3">
        <f t="shared" si="78"/>
        <v>1</v>
      </c>
      <c r="F370" s="3" t="s">
        <v>867</v>
      </c>
      <c r="G370" s="77">
        <v>51.39</v>
      </c>
      <c r="H370" s="65" t="s">
        <v>1</v>
      </c>
      <c r="I370" s="78">
        <f t="shared" si="72"/>
        <v>51.39</v>
      </c>
      <c r="J370" s="110">
        <f t="shared" si="77"/>
        <v>75</v>
      </c>
      <c r="K370" s="4">
        <v>1.1000000000000001</v>
      </c>
      <c r="L370" s="65" t="s">
        <v>1</v>
      </c>
      <c r="M370" s="80">
        <f t="shared" si="79"/>
        <v>1.1000000000000001</v>
      </c>
      <c r="N370" s="78">
        <f t="shared" si="80"/>
        <v>82.5</v>
      </c>
      <c r="O370" s="111">
        <f t="shared" si="81"/>
        <v>133.88999999999999</v>
      </c>
      <c r="P370" s="125">
        <v>1.38</v>
      </c>
      <c r="Q370" s="49">
        <v>1.65</v>
      </c>
      <c r="R370" s="125">
        <v>2.2000000000000002</v>
      </c>
      <c r="S370" s="134">
        <v>2.75</v>
      </c>
      <c r="T370" s="49">
        <v>3.3</v>
      </c>
      <c r="U370" s="49">
        <v>149709</v>
      </c>
    </row>
    <row r="371" spans="1:21" x14ac:dyDescent="0.25">
      <c r="A371" s="72">
        <v>3</v>
      </c>
      <c r="B371" s="64" t="s">
        <v>499</v>
      </c>
      <c r="C371" s="65">
        <v>1</v>
      </c>
      <c r="D371" s="7">
        <v>0</v>
      </c>
      <c r="E371" s="3">
        <f t="shared" si="78"/>
        <v>1</v>
      </c>
      <c r="F371" s="3" t="s">
        <v>867</v>
      </c>
      <c r="G371" s="77">
        <v>86.9</v>
      </c>
      <c r="H371" s="65" t="s">
        <v>1</v>
      </c>
      <c r="I371" s="78">
        <f t="shared" si="72"/>
        <v>86.9</v>
      </c>
      <c r="J371" s="110">
        <f t="shared" si="77"/>
        <v>75</v>
      </c>
      <c r="K371" s="4">
        <v>1.5</v>
      </c>
      <c r="L371" s="65" t="s">
        <v>1</v>
      </c>
      <c r="M371" s="80">
        <f t="shared" si="79"/>
        <v>1.5</v>
      </c>
      <c r="N371" s="78">
        <f t="shared" si="80"/>
        <v>112.5</v>
      </c>
      <c r="O371" s="111">
        <f t="shared" si="81"/>
        <v>199.4</v>
      </c>
      <c r="P371" s="125">
        <v>1.88</v>
      </c>
      <c r="Q371" s="49">
        <v>2.25</v>
      </c>
      <c r="R371" s="125">
        <v>3.3</v>
      </c>
      <c r="S371" s="134">
        <v>4.13</v>
      </c>
      <c r="T371" s="49">
        <v>4.95</v>
      </c>
      <c r="U371" s="49">
        <v>149712</v>
      </c>
    </row>
    <row r="372" spans="1:21" x14ac:dyDescent="0.25">
      <c r="A372" s="72">
        <v>4</v>
      </c>
      <c r="B372" s="64" t="s">
        <v>500</v>
      </c>
      <c r="C372" s="65">
        <v>1</v>
      </c>
      <c r="D372" s="7">
        <v>0</v>
      </c>
      <c r="E372" s="3">
        <f t="shared" si="78"/>
        <v>1</v>
      </c>
      <c r="F372" s="3" t="s">
        <v>867</v>
      </c>
      <c r="G372" s="77">
        <v>175.59</v>
      </c>
      <c r="H372" s="65" t="s">
        <v>1</v>
      </c>
      <c r="I372" s="78">
        <f t="shared" si="72"/>
        <v>175.59</v>
      </c>
      <c r="J372" s="110">
        <f t="shared" si="77"/>
        <v>75</v>
      </c>
      <c r="K372" s="4">
        <v>1.9</v>
      </c>
      <c r="L372" s="65" t="s">
        <v>1</v>
      </c>
      <c r="M372" s="80">
        <f t="shared" si="79"/>
        <v>1.9</v>
      </c>
      <c r="N372" s="78">
        <f t="shared" si="80"/>
        <v>142.5</v>
      </c>
      <c r="O372" s="111">
        <f t="shared" si="81"/>
        <v>318.09000000000003</v>
      </c>
      <c r="P372" s="125">
        <v>2.38</v>
      </c>
      <c r="Q372" s="49">
        <v>2.85</v>
      </c>
      <c r="R372" s="125">
        <v>4.4000000000000004</v>
      </c>
      <c r="S372" s="134">
        <v>5.5</v>
      </c>
      <c r="T372" s="49">
        <v>6.6</v>
      </c>
      <c r="U372" s="49">
        <v>149715</v>
      </c>
    </row>
    <row r="373" spans="1:21" x14ac:dyDescent="0.25">
      <c r="A373" s="72">
        <v>5</v>
      </c>
      <c r="B373" s="64" t="s">
        <v>501</v>
      </c>
      <c r="C373" s="65">
        <v>1</v>
      </c>
      <c r="D373" s="7">
        <v>0</v>
      </c>
      <c r="E373" s="3">
        <f t="shared" si="78"/>
        <v>1</v>
      </c>
      <c r="F373" s="3" t="s">
        <v>867</v>
      </c>
      <c r="G373" s="77">
        <v>370.41</v>
      </c>
      <c r="H373" s="65" t="s">
        <v>1</v>
      </c>
      <c r="I373" s="78">
        <f t="shared" si="72"/>
        <v>370.41</v>
      </c>
      <c r="J373" s="110">
        <f t="shared" si="77"/>
        <v>75</v>
      </c>
      <c r="K373" s="4">
        <v>3.1</v>
      </c>
      <c r="L373" s="65" t="s">
        <v>1</v>
      </c>
      <c r="M373" s="80">
        <f t="shared" si="79"/>
        <v>3.1</v>
      </c>
      <c r="N373" s="78">
        <f t="shared" si="80"/>
        <v>232.5</v>
      </c>
      <c r="O373" s="111">
        <f t="shared" si="81"/>
        <v>602.91000000000008</v>
      </c>
      <c r="P373" s="125">
        <v>3.88</v>
      </c>
      <c r="Q373" s="49">
        <v>4.6500000000000004</v>
      </c>
      <c r="R373" s="125">
        <v>7.7</v>
      </c>
      <c r="S373" s="134">
        <v>9.6300000000000008</v>
      </c>
      <c r="T373" s="49">
        <v>11.55</v>
      </c>
      <c r="U373" s="49">
        <v>149718</v>
      </c>
    </row>
    <row r="374" spans="1:21" x14ac:dyDescent="0.25">
      <c r="A374" s="72">
        <v>6</v>
      </c>
      <c r="B374" s="64" t="s">
        <v>502</v>
      </c>
      <c r="C374" s="65">
        <v>1</v>
      </c>
      <c r="D374" s="7">
        <v>0</v>
      </c>
      <c r="E374" s="3">
        <f t="shared" si="78"/>
        <v>1</v>
      </c>
      <c r="F374" s="3" t="s">
        <v>867</v>
      </c>
      <c r="G374" s="77">
        <v>1066</v>
      </c>
      <c r="H374" s="65" t="s">
        <v>1</v>
      </c>
      <c r="I374" s="78">
        <f t="shared" si="72"/>
        <v>1066</v>
      </c>
      <c r="J374" s="110">
        <f t="shared" si="77"/>
        <v>75</v>
      </c>
      <c r="K374" s="4">
        <v>4.4000000000000004</v>
      </c>
      <c r="L374" s="65" t="s">
        <v>1</v>
      </c>
      <c r="M374" s="80">
        <f t="shared" si="79"/>
        <v>4.4000000000000004</v>
      </c>
      <c r="N374" s="78">
        <f t="shared" si="80"/>
        <v>330</v>
      </c>
      <c r="O374" s="111">
        <f t="shared" si="81"/>
        <v>1396</v>
      </c>
      <c r="P374" s="125">
        <v>5.5</v>
      </c>
      <c r="Q374" s="49">
        <v>6.6</v>
      </c>
      <c r="R374" s="125">
        <v>11</v>
      </c>
      <c r="S374" s="134">
        <v>13.75</v>
      </c>
      <c r="T374" s="49">
        <v>16.5</v>
      </c>
      <c r="U374" s="49">
        <v>149721</v>
      </c>
    </row>
    <row r="375" spans="1:21" x14ac:dyDescent="0.25">
      <c r="A375" s="72">
        <v>7</v>
      </c>
      <c r="B375" s="64" t="s">
        <v>503</v>
      </c>
      <c r="C375" s="65">
        <v>1</v>
      </c>
      <c r="D375" s="7">
        <v>0</v>
      </c>
      <c r="E375" s="3">
        <f t="shared" si="78"/>
        <v>1</v>
      </c>
      <c r="F375" s="3" t="s">
        <v>867</v>
      </c>
      <c r="G375" s="77">
        <v>2078.96</v>
      </c>
      <c r="H375" s="65" t="s">
        <v>1</v>
      </c>
      <c r="I375" s="78">
        <f t="shared" si="72"/>
        <v>2078.96</v>
      </c>
      <c r="J375" s="110">
        <f t="shared" si="77"/>
        <v>75</v>
      </c>
      <c r="K375" s="4">
        <v>6</v>
      </c>
      <c r="L375" s="65" t="s">
        <v>1</v>
      </c>
      <c r="M375" s="80">
        <f t="shared" si="79"/>
        <v>6</v>
      </c>
      <c r="N375" s="78">
        <f t="shared" si="80"/>
        <v>450</v>
      </c>
      <c r="O375" s="111">
        <f t="shared" si="81"/>
        <v>2528.96</v>
      </c>
      <c r="P375" s="125">
        <v>7.5</v>
      </c>
      <c r="Q375" s="49">
        <v>9</v>
      </c>
      <c r="R375" s="125">
        <v>15</v>
      </c>
      <c r="S375" s="134">
        <v>18.75</v>
      </c>
      <c r="T375" s="49">
        <v>22.5</v>
      </c>
      <c r="U375" s="49">
        <v>149724</v>
      </c>
    </row>
    <row r="376" spans="1:21" x14ac:dyDescent="0.25">
      <c r="A376" s="72">
        <v>8</v>
      </c>
      <c r="B376" s="64" t="s">
        <v>504</v>
      </c>
      <c r="C376" s="65">
        <v>1</v>
      </c>
      <c r="D376" s="7">
        <v>0</v>
      </c>
      <c r="E376" s="3">
        <f t="shared" si="78"/>
        <v>1</v>
      </c>
      <c r="F376" s="3" t="s">
        <v>867</v>
      </c>
      <c r="G376" s="77">
        <v>79.45</v>
      </c>
      <c r="H376" s="65" t="s">
        <v>1</v>
      </c>
      <c r="I376" s="78">
        <f t="shared" si="72"/>
        <v>79.45</v>
      </c>
      <c r="J376" s="110">
        <f t="shared" si="77"/>
        <v>75</v>
      </c>
      <c r="K376" s="4">
        <v>1.35</v>
      </c>
      <c r="L376" s="65" t="s">
        <v>1</v>
      </c>
      <c r="M376" s="80">
        <f t="shared" si="79"/>
        <v>1.35</v>
      </c>
      <c r="N376" s="78">
        <f t="shared" si="80"/>
        <v>101.25</v>
      </c>
      <c r="O376" s="111">
        <f t="shared" si="81"/>
        <v>180.7</v>
      </c>
      <c r="P376" s="125">
        <v>1.69</v>
      </c>
      <c r="Q376" s="49">
        <v>2.0299999999999998</v>
      </c>
      <c r="R376" s="125">
        <v>2.7</v>
      </c>
      <c r="S376" s="134">
        <v>3.38</v>
      </c>
      <c r="T376" s="49">
        <v>4.05</v>
      </c>
      <c r="U376" s="49">
        <v>149727</v>
      </c>
    </row>
    <row r="377" spans="1:21" x14ac:dyDescent="0.25">
      <c r="A377" s="72">
        <v>9</v>
      </c>
      <c r="B377" s="64" t="s">
        <v>505</v>
      </c>
      <c r="C377" s="65">
        <v>1</v>
      </c>
      <c r="D377" s="7">
        <v>0</v>
      </c>
      <c r="E377" s="3">
        <f t="shared" si="78"/>
        <v>1</v>
      </c>
      <c r="F377" s="3" t="s">
        <v>867</v>
      </c>
      <c r="G377" s="77">
        <v>138.49</v>
      </c>
      <c r="H377" s="65" t="s">
        <v>1</v>
      </c>
      <c r="I377" s="78">
        <f t="shared" si="72"/>
        <v>138.49</v>
      </c>
      <c r="J377" s="110">
        <f t="shared" si="77"/>
        <v>75</v>
      </c>
      <c r="K377" s="4">
        <v>1.75</v>
      </c>
      <c r="L377" s="65" t="s">
        <v>1</v>
      </c>
      <c r="M377" s="80">
        <f t="shared" si="79"/>
        <v>1.75</v>
      </c>
      <c r="N377" s="78">
        <f t="shared" si="80"/>
        <v>131.25</v>
      </c>
      <c r="O377" s="111">
        <f t="shared" si="81"/>
        <v>269.74</v>
      </c>
      <c r="P377" s="125">
        <v>2.19</v>
      </c>
      <c r="Q377" s="49">
        <v>2.63</v>
      </c>
      <c r="R377" s="125">
        <v>3.8</v>
      </c>
      <c r="S377" s="134">
        <v>4.75</v>
      </c>
      <c r="T377" s="49">
        <v>5.7</v>
      </c>
      <c r="U377" s="49">
        <v>149730</v>
      </c>
    </row>
    <row r="378" spans="1:21" x14ac:dyDescent="0.25">
      <c r="A378" s="72">
        <v>10</v>
      </c>
      <c r="B378" s="64" t="s">
        <v>506</v>
      </c>
      <c r="C378" s="65">
        <v>1</v>
      </c>
      <c r="D378" s="7">
        <v>0</v>
      </c>
      <c r="E378" s="3">
        <f t="shared" si="78"/>
        <v>1</v>
      </c>
      <c r="F378" s="3" t="s">
        <v>867</v>
      </c>
      <c r="G378" s="77">
        <v>235.19</v>
      </c>
      <c r="H378" s="65" t="s">
        <v>1</v>
      </c>
      <c r="I378" s="78">
        <f t="shared" si="72"/>
        <v>235.19</v>
      </c>
      <c r="J378" s="110">
        <f t="shared" si="77"/>
        <v>75</v>
      </c>
      <c r="K378" s="4">
        <v>2.4</v>
      </c>
      <c r="L378" s="65" t="s">
        <v>1</v>
      </c>
      <c r="M378" s="80">
        <f t="shared" si="79"/>
        <v>2.4</v>
      </c>
      <c r="N378" s="78">
        <f t="shared" si="80"/>
        <v>180</v>
      </c>
      <c r="O378" s="111">
        <f t="shared" si="81"/>
        <v>415.19</v>
      </c>
      <c r="P378" s="125">
        <v>3</v>
      </c>
      <c r="Q378" s="49">
        <v>3.6</v>
      </c>
      <c r="R378" s="125">
        <v>5.5</v>
      </c>
      <c r="S378" s="134">
        <v>6.88</v>
      </c>
      <c r="T378" s="49">
        <v>8.25</v>
      </c>
      <c r="U378" s="49">
        <v>149733</v>
      </c>
    </row>
    <row r="379" spans="1:21" x14ac:dyDescent="0.25">
      <c r="A379" s="72">
        <v>11</v>
      </c>
      <c r="B379" s="64" t="s">
        <v>507</v>
      </c>
      <c r="C379" s="65">
        <v>1</v>
      </c>
      <c r="D379" s="7">
        <v>0</v>
      </c>
      <c r="E379" s="3">
        <f t="shared" si="78"/>
        <v>1</v>
      </c>
      <c r="F379" s="3" t="s">
        <v>867</v>
      </c>
      <c r="G379" s="77">
        <v>490.7</v>
      </c>
      <c r="H379" s="65" t="s">
        <v>1</v>
      </c>
      <c r="I379" s="78">
        <f t="shared" ref="I379:I403" si="82">IF(H379="C",(G379/100)*E379,IF(H379="M",(G379/1000)*E379,G379*E379))</f>
        <v>490.7</v>
      </c>
      <c r="J379" s="110">
        <f t="shared" si="77"/>
        <v>75</v>
      </c>
      <c r="K379" s="4">
        <v>3.6</v>
      </c>
      <c r="L379" s="65" t="s">
        <v>1</v>
      </c>
      <c r="M379" s="80">
        <f t="shared" si="79"/>
        <v>3.6</v>
      </c>
      <c r="N379" s="78">
        <f t="shared" si="80"/>
        <v>270</v>
      </c>
      <c r="O379" s="111">
        <f t="shared" si="81"/>
        <v>760.7</v>
      </c>
      <c r="P379" s="125">
        <v>4.5</v>
      </c>
      <c r="Q379" s="49">
        <v>5.4</v>
      </c>
      <c r="R379" s="125">
        <v>9</v>
      </c>
      <c r="S379" s="134">
        <v>11.25</v>
      </c>
      <c r="T379" s="49">
        <v>13.5</v>
      </c>
      <c r="U379" s="49">
        <v>149736</v>
      </c>
    </row>
    <row r="380" spans="1:21" x14ac:dyDescent="0.25">
      <c r="A380" s="72">
        <v>12</v>
      </c>
      <c r="B380" s="64" t="s">
        <v>508</v>
      </c>
      <c r="C380" s="65">
        <v>1</v>
      </c>
      <c r="D380" s="7">
        <v>0</v>
      </c>
      <c r="E380" s="3">
        <f t="shared" si="78"/>
        <v>1</v>
      </c>
      <c r="F380" s="3" t="s">
        <v>867</v>
      </c>
      <c r="G380" s="77">
        <v>1277.55</v>
      </c>
      <c r="H380" s="65" t="s">
        <v>1</v>
      </c>
      <c r="I380" s="78">
        <f t="shared" si="82"/>
        <v>1277.55</v>
      </c>
      <c r="J380" s="110">
        <f t="shared" si="77"/>
        <v>75</v>
      </c>
      <c r="K380" s="4">
        <v>5.2</v>
      </c>
      <c r="L380" s="65" t="s">
        <v>1</v>
      </c>
      <c r="M380" s="80">
        <f t="shared" si="79"/>
        <v>5.2</v>
      </c>
      <c r="N380" s="78">
        <f t="shared" si="80"/>
        <v>390</v>
      </c>
      <c r="O380" s="111">
        <f t="shared" si="81"/>
        <v>1667.55</v>
      </c>
      <c r="P380" s="125">
        <v>6.5</v>
      </c>
      <c r="Q380" s="49">
        <v>7.8</v>
      </c>
      <c r="R380" s="125">
        <v>13</v>
      </c>
      <c r="S380" s="134">
        <v>16.25</v>
      </c>
      <c r="T380" s="49">
        <v>19.5</v>
      </c>
      <c r="U380" s="49">
        <v>149739</v>
      </c>
    </row>
    <row r="381" spans="1:21" x14ac:dyDescent="0.25">
      <c r="A381" s="72">
        <v>13</v>
      </c>
      <c r="B381" s="64" t="s">
        <v>509</v>
      </c>
      <c r="C381" s="65">
        <v>1</v>
      </c>
      <c r="D381" s="7">
        <v>0</v>
      </c>
      <c r="E381" s="3">
        <f t="shared" si="78"/>
        <v>1</v>
      </c>
      <c r="F381" s="3" t="s">
        <v>867</v>
      </c>
      <c r="G381" s="77">
        <v>2550.2800000000002</v>
      </c>
      <c r="H381" s="65" t="s">
        <v>1</v>
      </c>
      <c r="I381" s="78">
        <f t="shared" si="82"/>
        <v>2550.2800000000002</v>
      </c>
      <c r="J381" s="110">
        <f t="shared" si="77"/>
        <v>75</v>
      </c>
      <c r="K381" s="4">
        <v>6.8</v>
      </c>
      <c r="L381" s="65" t="s">
        <v>1</v>
      </c>
      <c r="M381" s="80">
        <f t="shared" si="79"/>
        <v>6.8</v>
      </c>
      <c r="N381" s="78">
        <f t="shared" si="80"/>
        <v>510</v>
      </c>
      <c r="O381" s="111">
        <f t="shared" si="81"/>
        <v>3060.28</v>
      </c>
      <c r="P381" s="125">
        <v>8.5</v>
      </c>
      <c r="Q381" s="49">
        <v>10.199999999999999</v>
      </c>
      <c r="R381" s="125">
        <v>17</v>
      </c>
      <c r="S381" s="134">
        <v>21.25</v>
      </c>
      <c r="T381" s="49">
        <v>25.5</v>
      </c>
      <c r="U381" s="49">
        <v>149742</v>
      </c>
    </row>
    <row r="382" spans="1:21" x14ac:dyDescent="0.25">
      <c r="A382" s="72">
        <v>14</v>
      </c>
      <c r="B382" s="64" t="s">
        <v>510</v>
      </c>
      <c r="C382" s="65">
        <v>1</v>
      </c>
      <c r="D382" s="7">
        <v>0</v>
      </c>
      <c r="E382" s="3">
        <f t="shared" si="78"/>
        <v>1</v>
      </c>
      <c r="F382" s="3" t="s">
        <v>867</v>
      </c>
      <c r="G382" s="77">
        <v>0</v>
      </c>
      <c r="H382" s="65" t="s">
        <v>1</v>
      </c>
      <c r="I382" s="78">
        <f t="shared" si="82"/>
        <v>0</v>
      </c>
      <c r="J382" s="110">
        <f t="shared" si="77"/>
        <v>75</v>
      </c>
      <c r="K382" s="4">
        <v>0.95</v>
      </c>
      <c r="L382" s="65" t="s">
        <v>1</v>
      </c>
      <c r="M382" s="80">
        <f t="shared" si="79"/>
        <v>0.95</v>
      </c>
      <c r="N382" s="78">
        <f t="shared" si="80"/>
        <v>71.25</v>
      </c>
      <c r="O382" s="111">
        <f t="shared" si="81"/>
        <v>71.25</v>
      </c>
      <c r="P382" s="125">
        <v>1.19</v>
      </c>
      <c r="Q382" s="49">
        <v>1.43</v>
      </c>
      <c r="R382" s="125">
        <v>1.9</v>
      </c>
      <c r="S382" s="134">
        <v>2.38</v>
      </c>
      <c r="T382" s="49">
        <v>2.85</v>
      </c>
      <c r="U382" s="49">
        <v>149745</v>
      </c>
    </row>
    <row r="383" spans="1:21" x14ac:dyDescent="0.25">
      <c r="A383" s="72">
        <v>15</v>
      </c>
      <c r="B383" s="64" t="s">
        <v>511</v>
      </c>
      <c r="C383" s="65">
        <v>1</v>
      </c>
      <c r="D383" s="7">
        <v>0</v>
      </c>
      <c r="E383" s="3">
        <f t="shared" si="78"/>
        <v>1</v>
      </c>
      <c r="F383" s="3" t="s">
        <v>867</v>
      </c>
      <c r="G383" s="77">
        <v>0</v>
      </c>
      <c r="H383" s="65" t="s">
        <v>1</v>
      </c>
      <c r="I383" s="78">
        <f t="shared" si="82"/>
        <v>0</v>
      </c>
      <c r="J383" s="110">
        <f t="shared" si="77"/>
        <v>75</v>
      </c>
      <c r="K383" s="4">
        <v>1.1000000000000001</v>
      </c>
      <c r="L383" s="65" t="s">
        <v>1</v>
      </c>
      <c r="M383" s="80">
        <f t="shared" si="79"/>
        <v>1.1000000000000001</v>
      </c>
      <c r="N383" s="78">
        <f t="shared" si="80"/>
        <v>82.5</v>
      </c>
      <c r="O383" s="111">
        <f t="shared" si="81"/>
        <v>82.5</v>
      </c>
      <c r="P383" s="125">
        <v>1.38</v>
      </c>
      <c r="Q383" s="49">
        <v>1.65</v>
      </c>
      <c r="R383" s="125">
        <v>2.2000000000000002</v>
      </c>
      <c r="S383" s="134">
        <v>2.75</v>
      </c>
      <c r="T383" s="49">
        <v>3.3</v>
      </c>
      <c r="U383" s="49">
        <v>149748</v>
      </c>
    </row>
    <row r="384" spans="1:21" x14ac:dyDescent="0.25">
      <c r="A384" s="72">
        <v>16</v>
      </c>
      <c r="B384" s="64" t="s">
        <v>512</v>
      </c>
      <c r="C384" s="65">
        <v>1</v>
      </c>
      <c r="D384" s="7">
        <v>0</v>
      </c>
      <c r="E384" s="3">
        <f t="shared" si="78"/>
        <v>1</v>
      </c>
      <c r="F384" s="3" t="s">
        <v>867</v>
      </c>
      <c r="G384" s="77">
        <v>0</v>
      </c>
      <c r="H384" s="65" t="s">
        <v>1</v>
      </c>
      <c r="I384" s="78">
        <f t="shared" si="82"/>
        <v>0</v>
      </c>
      <c r="J384" s="110">
        <f t="shared" si="77"/>
        <v>75</v>
      </c>
      <c r="K384" s="4">
        <v>1.25</v>
      </c>
      <c r="L384" s="65" t="s">
        <v>1</v>
      </c>
      <c r="M384" s="80">
        <f t="shared" si="79"/>
        <v>1.25</v>
      </c>
      <c r="N384" s="78">
        <f t="shared" si="80"/>
        <v>93.75</v>
      </c>
      <c r="O384" s="111">
        <f t="shared" si="81"/>
        <v>93.75</v>
      </c>
      <c r="P384" s="125">
        <v>1.56</v>
      </c>
      <c r="Q384" s="49">
        <v>1.88</v>
      </c>
      <c r="R384" s="125">
        <v>2.8</v>
      </c>
      <c r="S384" s="134">
        <v>3.5</v>
      </c>
      <c r="T384" s="49">
        <v>4.2</v>
      </c>
      <c r="U384" s="49">
        <v>149751</v>
      </c>
    </row>
    <row r="385" spans="1:21" x14ac:dyDescent="0.25">
      <c r="A385" s="72">
        <v>17</v>
      </c>
      <c r="B385" s="64" t="s">
        <v>513</v>
      </c>
      <c r="C385" s="65">
        <v>1</v>
      </c>
      <c r="D385" s="7">
        <v>0</v>
      </c>
      <c r="E385" s="3">
        <f t="shared" si="78"/>
        <v>1</v>
      </c>
      <c r="F385" s="3" t="s">
        <v>867</v>
      </c>
      <c r="G385" s="77">
        <v>0</v>
      </c>
      <c r="H385" s="65" t="s">
        <v>1</v>
      </c>
      <c r="I385" s="78">
        <f t="shared" si="82"/>
        <v>0</v>
      </c>
      <c r="J385" s="110">
        <f t="shared" si="77"/>
        <v>75</v>
      </c>
      <c r="K385" s="4">
        <v>1.55</v>
      </c>
      <c r="L385" s="65" t="s">
        <v>1</v>
      </c>
      <c r="M385" s="80">
        <f t="shared" si="79"/>
        <v>1.55</v>
      </c>
      <c r="N385" s="78">
        <f t="shared" si="80"/>
        <v>116.25</v>
      </c>
      <c r="O385" s="111">
        <f t="shared" si="81"/>
        <v>116.25</v>
      </c>
      <c r="P385" s="125">
        <v>1.94</v>
      </c>
      <c r="Q385" s="49">
        <v>2.33</v>
      </c>
      <c r="R385" s="125">
        <v>3.3</v>
      </c>
      <c r="S385" s="134">
        <v>4.13</v>
      </c>
      <c r="T385" s="49">
        <v>4.95</v>
      </c>
      <c r="U385" s="49">
        <v>149754</v>
      </c>
    </row>
    <row r="386" spans="1:21" x14ac:dyDescent="0.25">
      <c r="A386" s="72"/>
      <c r="B386" s="64"/>
      <c r="C386" s="65"/>
      <c r="D386" s="7"/>
      <c r="E386" s="3"/>
      <c r="F386" s="3"/>
      <c r="G386" s="77" t="s">
        <v>1202</v>
      </c>
      <c r="H386" s="65"/>
      <c r="I386" s="78"/>
      <c r="J386" s="64"/>
      <c r="K386" s="4"/>
      <c r="L386" s="65"/>
      <c r="M386" s="80"/>
      <c r="N386" s="78"/>
      <c r="O386" s="111"/>
      <c r="P386" s="125"/>
      <c r="Q386" s="49"/>
      <c r="R386" s="125"/>
      <c r="S386" s="134"/>
      <c r="T386" s="49"/>
      <c r="U386" s="49"/>
    </row>
    <row r="387" spans="1:21" x14ac:dyDescent="0.25">
      <c r="A387" s="72">
        <v>1</v>
      </c>
      <c r="B387" s="64" t="s">
        <v>514</v>
      </c>
      <c r="C387" s="65">
        <v>1</v>
      </c>
      <c r="D387" s="7">
        <v>0</v>
      </c>
      <c r="E387" s="3">
        <f t="shared" si="78"/>
        <v>1</v>
      </c>
      <c r="F387" s="3" t="s">
        <v>867</v>
      </c>
      <c r="G387" s="77">
        <v>233.26</v>
      </c>
      <c r="H387" s="65" t="s">
        <v>1</v>
      </c>
      <c r="I387" s="78">
        <f t="shared" si="82"/>
        <v>233.26</v>
      </c>
      <c r="J387" s="110">
        <f t="shared" si="77"/>
        <v>75</v>
      </c>
      <c r="K387" s="4">
        <v>2</v>
      </c>
      <c r="L387" s="65" t="s">
        <v>1</v>
      </c>
      <c r="M387" s="80">
        <f t="shared" si="79"/>
        <v>2</v>
      </c>
      <c r="N387" s="78">
        <f t="shared" si="80"/>
        <v>150</v>
      </c>
      <c r="O387" s="111">
        <f t="shared" si="81"/>
        <v>383.26</v>
      </c>
      <c r="P387" s="125">
        <v>2.5</v>
      </c>
      <c r="Q387" s="49">
        <v>3</v>
      </c>
      <c r="R387" s="125"/>
      <c r="S387" s="134"/>
      <c r="T387" s="49"/>
      <c r="U387" s="49">
        <v>149757</v>
      </c>
    </row>
    <row r="388" spans="1:21" x14ac:dyDescent="0.25">
      <c r="A388" s="72">
        <v>2</v>
      </c>
      <c r="B388" s="64" t="s">
        <v>515</v>
      </c>
      <c r="C388" s="65">
        <v>1</v>
      </c>
      <c r="D388" s="7">
        <v>0</v>
      </c>
      <c r="E388" s="3">
        <f t="shared" si="78"/>
        <v>1</v>
      </c>
      <c r="F388" s="3" t="s">
        <v>867</v>
      </c>
      <c r="G388" s="77">
        <v>663.74</v>
      </c>
      <c r="H388" s="65" t="s">
        <v>1</v>
      </c>
      <c r="I388" s="78">
        <f t="shared" si="82"/>
        <v>663.74</v>
      </c>
      <c r="J388" s="110">
        <f t="shared" si="77"/>
        <v>75</v>
      </c>
      <c r="K388" s="4">
        <v>3</v>
      </c>
      <c r="L388" s="65" t="s">
        <v>1</v>
      </c>
      <c r="M388" s="80">
        <f t="shared" si="79"/>
        <v>3</v>
      </c>
      <c r="N388" s="78">
        <f t="shared" si="80"/>
        <v>225</v>
      </c>
      <c r="O388" s="111">
        <f t="shared" si="81"/>
        <v>888.74</v>
      </c>
      <c r="P388" s="125">
        <v>3.75</v>
      </c>
      <c r="Q388" s="49">
        <v>4.5</v>
      </c>
      <c r="R388" s="125"/>
      <c r="S388" s="134"/>
      <c r="T388" s="49"/>
      <c r="U388" s="49">
        <v>231702</v>
      </c>
    </row>
    <row r="389" spans="1:21" x14ac:dyDescent="0.25">
      <c r="A389" s="72">
        <v>3</v>
      </c>
      <c r="B389" s="64" t="s">
        <v>516</v>
      </c>
      <c r="C389" s="65">
        <v>1</v>
      </c>
      <c r="D389" s="7">
        <v>0</v>
      </c>
      <c r="E389" s="3">
        <f t="shared" si="78"/>
        <v>1</v>
      </c>
      <c r="F389" s="3" t="s">
        <v>867</v>
      </c>
      <c r="G389" s="77">
        <v>982.35</v>
      </c>
      <c r="H389" s="65" t="s">
        <v>1</v>
      </c>
      <c r="I389" s="78">
        <f t="shared" si="82"/>
        <v>982.35</v>
      </c>
      <c r="J389" s="110">
        <f t="shared" si="77"/>
        <v>75</v>
      </c>
      <c r="K389" s="4">
        <v>3.6</v>
      </c>
      <c r="L389" s="65" t="s">
        <v>1</v>
      </c>
      <c r="M389" s="80">
        <f t="shared" si="79"/>
        <v>3.6</v>
      </c>
      <c r="N389" s="78">
        <f t="shared" si="80"/>
        <v>270</v>
      </c>
      <c r="O389" s="111">
        <f t="shared" si="81"/>
        <v>1252.3499999999999</v>
      </c>
      <c r="P389" s="125">
        <v>4.5</v>
      </c>
      <c r="Q389" s="49">
        <v>5.4</v>
      </c>
      <c r="R389" s="125"/>
      <c r="S389" s="134"/>
      <c r="T389" s="49"/>
      <c r="U389" s="49">
        <v>231705</v>
      </c>
    </row>
    <row r="390" spans="1:21" x14ac:dyDescent="0.25">
      <c r="A390" s="72">
        <v>4</v>
      </c>
      <c r="B390" s="64" t="s">
        <v>517</v>
      </c>
      <c r="C390" s="65">
        <v>1</v>
      </c>
      <c r="D390" s="7">
        <v>0</v>
      </c>
      <c r="E390" s="3">
        <f t="shared" si="78"/>
        <v>1</v>
      </c>
      <c r="F390" s="3" t="s">
        <v>867</v>
      </c>
      <c r="G390" s="77">
        <v>1077.8399999999999</v>
      </c>
      <c r="H390" s="65" t="s">
        <v>1</v>
      </c>
      <c r="I390" s="78">
        <f t="shared" si="82"/>
        <v>1077.8399999999999</v>
      </c>
      <c r="J390" s="110">
        <f t="shared" si="77"/>
        <v>75</v>
      </c>
      <c r="K390" s="4">
        <v>4.5</v>
      </c>
      <c r="L390" s="65" t="s">
        <v>1</v>
      </c>
      <c r="M390" s="80">
        <f t="shared" si="79"/>
        <v>4.5</v>
      </c>
      <c r="N390" s="78">
        <f t="shared" si="80"/>
        <v>337.5</v>
      </c>
      <c r="O390" s="111">
        <f t="shared" si="81"/>
        <v>1415.34</v>
      </c>
      <c r="P390" s="125">
        <v>5.63</v>
      </c>
      <c r="Q390" s="49">
        <v>6.75</v>
      </c>
      <c r="R390" s="125"/>
      <c r="S390" s="134"/>
      <c r="T390" s="49"/>
      <c r="U390" s="49">
        <v>231708</v>
      </c>
    </row>
    <row r="391" spans="1:21" x14ac:dyDescent="0.25">
      <c r="A391" s="72">
        <v>5</v>
      </c>
      <c r="B391" s="64" t="s">
        <v>518</v>
      </c>
      <c r="C391" s="65">
        <v>1</v>
      </c>
      <c r="D391" s="7">
        <v>0</v>
      </c>
      <c r="E391" s="3">
        <f t="shared" si="78"/>
        <v>1</v>
      </c>
      <c r="F391" s="3" t="s">
        <v>867</v>
      </c>
      <c r="G391" s="77">
        <v>5850</v>
      </c>
      <c r="H391" s="65" t="s">
        <v>1</v>
      </c>
      <c r="I391" s="78">
        <f t="shared" si="82"/>
        <v>5850</v>
      </c>
      <c r="J391" s="110">
        <f t="shared" si="77"/>
        <v>75</v>
      </c>
      <c r="K391" s="4">
        <v>7</v>
      </c>
      <c r="L391" s="65" t="s">
        <v>1</v>
      </c>
      <c r="M391" s="80">
        <f t="shared" si="79"/>
        <v>7</v>
      </c>
      <c r="N391" s="78">
        <f t="shared" si="80"/>
        <v>525</v>
      </c>
      <c r="O391" s="111">
        <f t="shared" si="81"/>
        <v>6375</v>
      </c>
      <c r="P391" s="125">
        <v>8.75</v>
      </c>
      <c r="Q391" s="49">
        <v>10.5</v>
      </c>
      <c r="R391" s="125"/>
      <c r="S391" s="134"/>
      <c r="T391" s="49"/>
      <c r="U391" s="49">
        <v>231711</v>
      </c>
    </row>
    <row r="392" spans="1:21" x14ac:dyDescent="0.25">
      <c r="A392" s="72">
        <v>6</v>
      </c>
      <c r="B392" s="64" t="s">
        <v>519</v>
      </c>
      <c r="C392" s="65">
        <v>1</v>
      </c>
      <c r="D392" s="7">
        <v>0</v>
      </c>
      <c r="E392" s="3">
        <f t="shared" si="78"/>
        <v>1</v>
      </c>
      <c r="F392" s="3" t="s">
        <v>867</v>
      </c>
      <c r="G392" s="77">
        <v>271.56</v>
      </c>
      <c r="H392" s="65" t="s">
        <v>1</v>
      </c>
      <c r="I392" s="78">
        <f t="shared" si="82"/>
        <v>271.56</v>
      </c>
      <c r="J392" s="110">
        <f t="shared" si="77"/>
        <v>75</v>
      </c>
      <c r="K392" s="4">
        <v>2.4</v>
      </c>
      <c r="L392" s="65" t="s">
        <v>1</v>
      </c>
      <c r="M392" s="80">
        <f t="shared" si="79"/>
        <v>2.4</v>
      </c>
      <c r="N392" s="78">
        <f t="shared" si="80"/>
        <v>180</v>
      </c>
      <c r="O392" s="111">
        <f t="shared" si="81"/>
        <v>451.56</v>
      </c>
      <c r="P392" s="125">
        <v>3</v>
      </c>
      <c r="Q392" s="49">
        <v>3.6</v>
      </c>
      <c r="R392" s="125"/>
      <c r="S392" s="134"/>
      <c r="T392" s="49"/>
      <c r="U392" s="49">
        <v>149760</v>
      </c>
    </row>
    <row r="393" spans="1:21" x14ac:dyDescent="0.25">
      <c r="A393" s="72">
        <v>7</v>
      </c>
      <c r="B393" s="64" t="s">
        <v>520</v>
      </c>
      <c r="C393" s="65">
        <v>1</v>
      </c>
      <c r="D393" s="7">
        <v>0</v>
      </c>
      <c r="E393" s="3">
        <f t="shared" si="78"/>
        <v>1</v>
      </c>
      <c r="F393" s="3" t="s">
        <v>867</v>
      </c>
      <c r="G393" s="77">
        <v>777.43</v>
      </c>
      <c r="H393" s="65" t="s">
        <v>1</v>
      </c>
      <c r="I393" s="78">
        <f t="shared" si="82"/>
        <v>777.43</v>
      </c>
      <c r="J393" s="110">
        <f t="shared" si="77"/>
        <v>75</v>
      </c>
      <c r="K393" s="4">
        <v>3</v>
      </c>
      <c r="L393" s="65" t="s">
        <v>1</v>
      </c>
      <c r="M393" s="80">
        <f t="shared" si="79"/>
        <v>3</v>
      </c>
      <c r="N393" s="78">
        <f t="shared" si="80"/>
        <v>225</v>
      </c>
      <c r="O393" s="111">
        <f t="shared" si="81"/>
        <v>1002.43</v>
      </c>
      <c r="P393" s="125">
        <v>3.75</v>
      </c>
      <c r="Q393" s="49">
        <v>4.5</v>
      </c>
      <c r="R393" s="125"/>
      <c r="S393" s="134"/>
      <c r="T393" s="49"/>
      <c r="U393" s="49">
        <v>231714</v>
      </c>
    </row>
    <row r="394" spans="1:21" x14ac:dyDescent="0.25">
      <c r="A394" s="72">
        <v>8</v>
      </c>
      <c r="B394" s="64" t="s">
        <v>521</v>
      </c>
      <c r="C394" s="65">
        <v>1</v>
      </c>
      <c r="D394" s="7">
        <v>0</v>
      </c>
      <c r="E394" s="3">
        <f t="shared" si="78"/>
        <v>1</v>
      </c>
      <c r="F394" s="3" t="s">
        <v>867</v>
      </c>
      <c r="G394" s="77">
        <v>1088.28</v>
      </c>
      <c r="H394" s="65" t="s">
        <v>1</v>
      </c>
      <c r="I394" s="78">
        <f t="shared" si="82"/>
        <v>1088.28</v>
      </c>
      <c r="J394" s="110">
        <f t="shared" si="77"/>
        <v>75</v>
      </c>
      <c r="K394" s="4">
        <v>3.6</v>
      </c>
      <c r="L394" s="65" t="s">
        <v>1</v>
      </c>
      <c r="M394" s="80">
        <f t="shared" si="79"/>
        <v>3.6</v>
      </c>
      <c r="N394" s="78">
        <f t="shared" si="80"/>
        <v>270</v>
      </c>
      <c r="O394" s="111">
        <f t="shared" si="81"/>
        <v>1358.28</v>
      </c>
      <c r="P394" s="125">
        <v>4.5</v>
      </c>
      <c r="Q394" s="49">
        <v>5.4</v>
      </c>
      <c r="R394" s="125"/>
      <c r="S394" s="134"/>
      <c r="T394" s="49"/>
      <c r="U394" s="49">
        <v>231717</v>
      </c>
    </row>
    <row r="395" spans="1:21" x14ac:dyDescent="0.25">
      <c r="A395" s="72">
        <v>9</v>
      </c>
      <c r="B395" s="64" t="s">
        <v>522</v>
      </c>
      <c r="C395" s="65">
        <v>1</v>
      </c>
      <c r="D395" s="7">
        <v>0</v>
      </c>
      <c r="E395" s="3">
        <f t="shared" si="78"/>
        <v>1</v>
      </c>
      <c r="F395" s="3" t="s">
        <v>867</v>
      </c>
      <c r="G395" s="77">
        <v>1822.63</v>
      </c>
      <c r="H395" s="65" t="s">
        <v>1</v>
      </c>
      <c r="I395" s="78">
        <f t="shared" si="82"/>
        <v>1822.63</v>
      </c>
      <c r="J395" s="110">
        <f t="shared" si="77"/>
        <v>75</v>
      </c>
      <c r="K395" s="4">
        <v>4.5</v>
      </c>
      <c r="L395" s="65" t="s">
        <v>1</v>
      </c>
      <c r="M395" s="80">
        <f t="shared" si="79"/>
        <v>4.5</v>
      </c>
      <c r="N395" s="78">
        <f t="shared" si="80"/>
        <v>337.5</v>
      </c>
      <c r="O395" s="111">
        <f t="shared" si="81"/>
        <v>2160.13</v>
      </c>
      <c r="P395" s="125">
        <v>5.63</v>
      </c>
      <c r="Q395" s="49">
        <v>6.75</v>
      </c>
      <c r="R395" s="125"/>
      <c r="S395" s="134"/>
      <c r="T395" s="49"/>
      <c r="U395" s="49">
        <v>231720</v>
      </c>
    </row>
    <row r="396" spans="1:21" x14ac:dyDescent="0.25">
      <c r="A396" s="72">
        <v>10</v>
      </c>
      <c r="B396" s="64" t="s">
        <v>523</v>
      </c>
      <c r="C396" s="65">
        <v>1</v>
      </c>
      <c r="D396" s="7">
        <v>0</v>
      </c>
      <c r="E396" s="3">
        <f t="shared" si="78"/>
        <v>1</v>
      </c>
      <c r="F396" s="3" t="s">
        <v>867</v>
      </c>
      <c r="G396" s="77">
        <v>8040</v>
      </c>
      <c r="H396" s="65" t="s">
        <v>1</v>
      </c>
      <c r="I396" s="78">
        <f t="shared" si="82"/>
        <v>8040</v>
      </c>
      <c r="J396" s="110">
        <f t="shared" si="77"/>
        <v>75</v>
      </c>
      <c r="K396" s="4">
        <v>7</v>
      </c>
      <c r="L396" s="65" t="s">
        <v>1</v>
      </c>
      <c r="M396" s="80">
        <f t="shared" si="79"/>
        <v>7</v>
      </c>
      <c r="N396" s="78">
        <f t="shared" si="80"/>
        <v>525</v>
      </c>
      <c r="O396" s="111">
        <f t="shared" si="81"/>
        <v>8565</v>
      </c>
      <c r="P396" s="125">
        <v>8.75</v>
      </c>
      <c r="Q396" s="49">
        <v>10.5</v>
      </c>
      <c r="R396" s="125"/>
      <c r="S396" s="134"/>
      <c r="T396" s="49"/>
      <c r="U396" s="49">
        <v>231723</v>
      </c>
    </row>
    <row r="397" spans="1:21" x14ac:dyDescent="0.25">
      <c r="A397" s="72">
        <v>11</v>
      </c>
      <c r="B397" s="64" t="s">
        <v>524</v>
      </c>
      <c r="C397" s="65">
        <v>1</v>
      </c>
      <c r="D397" s="7">
        <v>0</v>
      </c>
      <c r="E397" s="3">
        <f t="shared" si="78"/>
        <v>1</v>
      </c>
      <c r="F397" s="3" t="s">
        <v>867</v>
      </c>
      <c r="G397" s="77">
        <v>7725.01</v>
      </c>
      <c r="H397" s="65" t="s">
        <v>1</v>
      </c>
      <c r="I397" s="78">
        <f t="shared" si="82"/>
        <v>7725.01</v>
      </c>
      <c r="J397" s="110">
        <f t="shared" si="77"/>
        <v>75</v>
      </c>
      <c r="K397" s="4">
        <v>10</v>
      </c>
      <c r="L397" s="65" t="s">
        <v>1</v>
      </c>
      <c r="M397" s="80">
        <f t="shared" si="79"/>
        <v>10</v>
      </c>
      <c r="N397" s="78">
        <f t="shared" si="80"/>
        <v>750</v>
      </c>
      <c r="O397" s="111">
        <f t="shared" si="81"/>
        <v>8475.01</v>
      </c>
      <c r="P397" s="125">
        <v>12.5</v>
      </c>
      <c r="Q397" s="49">
        <v>15</v>
      </c>
      <c r="R397" s="125"/>
      <c r="S397" s="134"/>
      <c r="T397" s="49"/>
      <c r="U397" s="49">
        <v>231726</v>
      </c>
    </row>
    <row r="398" spans="1:21" x14ac:dyDescent="0.25">
      <c r="A398" s="72">
        <v>12</v>
      </c>
      <c r="B398" s="64" t="s">
        <v>525</v>
      </c>
      <c r="C398" s="65">
        <v>1</v>
      </c>
      <c r="D398" s="7">
        <v>0</v>
      </c>
      <c r="E398" s="3">
        <f t="shared" si="78"/>
        <v>1</v>
      </c>
      <c r="F398" s="3" t="s">
        <v>867</v>
      </c>
      <c r="G398" s="77">
        <v>592.44000000000005</v>
      </c>
      <c r="H398" s="65" t="s">
        <v>1</v>
      </c>
      <c r="I398" s="78">
        <f t="shared" si="82"/>
        <v>592.44000000000005</v>
      </c>
      <c r="J398" s="110">
        <f t="shared" si="77"/>
        <v>75</v>
      </c>
      <c r="K398" s="4">
        <v>2.4</v>
      </c>
      <c r="L398" s="65" t="s">
        <v>1</v>
      </c>
      <c r="M398" s="80">
        <f t="shared" si="79"/>
        <v>2.4</v>
      </c>
      <c r="N398" s="78">
        <f t="shared" si="80"/>
        <v>180</v>
      </c>
      <c r="O398" s="111">
        <f t="shared" si="81"/>
        <v>772.44</v>
      </c>
      <c r="P398" s="125">
        <v>3</v>
      </c>
      <c r="Q398" s="49">
        <v>3.6</v>
      </c>
      <c r="R398" s="125"/>
      <c r="S398" s="134"/>
      <c r="T398" s="49"/>
      <c r="U398" s="49">
        <v>231729</v>
      </c>
    </row>
    <row r="399" spans="1:21" x14ac:dyDescent="0.25">
      <c r="A399" s="72">
        <v>13</v>
      </c>
      <c r="B399" s="64" t="s">
        <v>526</v>
      </c>
      <c r="C399" s="65">
        <v>1</v>
      </c>
      <c r="D399" s="7">
        <v>0</v>
      </c>
      <c r="E399" s="3">
        <f t="shared" si="78"/>
        <v>1</v>
      </c>
      <c r="F399" s="3" t="s">
        <v>867</v>
      </c>
      <c r="G399" s="77">
        <v>878.55</v>
      </c>
      <c r="H399" s="65" t="s">
        <v>1</v>
      </c>
      <c r="I399" s="78">
        <f t="shared" si="82"/>
        <v>878.55</v>
      </c>
      <c r="J399" s="110">
        <f t="shared" si="77"/>
        <v>75</v>
      </c>
      <c r="K399" s="4">
        <v>3</v>
      </c>
      <c r="L399" s="65" t="s">
        <v>1</v>
      </c>
      <c r="M399" s="80">
        <f t="shared" si="79"/>
        <v>3</v>
      </c>
      <c r="N399" s="78">
        <f t="shared" si="80"/>
        <v>225</v>
      </c>
      <c r="O399" s="111">
        <f t="shared" si="81"/>
        <v>1103.55</v>
      </c>
      <c r="P399" s="125">
        <v>3.75</v>
      </c>
      <c r="Q399" s="49">
        <v>4.5</v>
      </c>
      <c r="R399" s="125"/>
      <c r="S399" s="134"/>
      <c r="T399" s="49"/>
      <c r="U399" s="49">
        <v>149763</v>
      </c>
    </row>
    <row r="400" spans="1:21" x14ac:dyDescent="0.25">
      <c r="A400" s="72">
        <v>14</v>
      </c>
      <c r="B400" s="64" t="s">
        <v>527</v>
      </c>
      <c r="C400" s="65">
        <v>1</v>
      </c>
      <c r="D400" s="7">
        <v>0</v>
      </c>
      <c r="E400" s="3">
        <f t="shared" si="78"/>
        <v>1</v>
      </c>
      <c r="F400" s="3" t="s">
        <v>867</v>
      </c>
      <c r="G400" s="77">
        <v>1287.33</v>
      </c>
      <c r="H400" s="65" t="s">
        <v>1</v>
      </c>
      <c r="I400" s="78">
        <f t="shared" si="82"/>
        <v>1287.33</v>
      </c>
      <c r="J400" s="110">
        <f t="shared" si="77"/>
        <v>75</v>
      </c>
      <c r="K400" s="4">
        <v>3.6</v>
      </c>
      <c r="L400" s="65" t="s">
        <v>1</v>
      </c>
      <c r="M400" s="80">
        <f t="shared" si="79"/>
        <v>3.6</v>
      </c>
      <c r="N400" s="78">
        <f t="shared" si="80"/>
        <v>270</v>
      </c>
      <c r="O400" s="111">
        <f t="shared" si="81"/>
        <v>1557.33</v>
      </c>
      <c r="P400" s="125">
        <v>4.5</v>
      </c>
      <c r="Q400" s="49">
        <v>5.4</v>
      </c>
      <c r="R400" s="125"/>
      <c r="S400" s="134"/>
      <c r="T400" s="49"/>
      <c r="U400" s="49">
        <v>149766</v>
      </c>
    </row>
    <row r="401" spans="1:21" x14ac:dyDescent="0.25">
      <c r="A401" s="72">
        <v>15</v>
      </c>
      <c r="B401" s="64" t="s">
        <v>528</v>
      </c>
      <c r="C401" s="65">
        <v>1</v>
      </c>
      <c r="D401" s="7">
        <v>0</v>
      </c>
      <c r="E401" s="3">
        <f t="shared" si="78"/>
        <v>1</v>
      </c>
      <c r="F401" s="3" t="s">
        <v>867</v>
      </c>
      <c r="G401" s="77">
        <v>1993.37</v>
      </c>
      <c r="H401" s="65" t="s">
        <v>1</v>
      </c>
      <c r="I401" s="78">
        <f t="shared" si="82"/>
        <v>1993.37</v>
      </c>
      <c r="J401" s="110">
        <f t="shared" si="77"/>
        <v>75</v>
      </c>
      <c r="K401" s="4">
        <v>4.5</v>
      </c>
      <c r="L401" s="65" t="s">
        <v>1</v>
      </c>
      <c r="M401" s="80">
        <f t="shared" si="79"/>
        <v>4.5</v>
      </c>
      <c r="N401" s="78">
        <f t="shared" si="80"/>
        <v>337.5</v>
      </c>
      <c r="O401" s="111">
        <f t="shared" si="81"/>
        <v>2330.87</v>
      </c>
      <c r="P401" s="125">
        <v>5.63</v>
      </c>
      <c r="Q401" s="49">
        <v>6.75</v>
      </c>
      <c r="R401" s="125"/>
      <c r="S401" s="134"/>
      <c r="T401" s="49"/>
      <c r="U401" s="49">
        <v>149769</v>
      </c>
    </row>
    <row r="402" spans="1:21" x14ac:dyDescent="0.25">
      <c r="A402" s="72">
        <v>16</v>
      </c>
      <c r="B402" s="64" t="s">
        <v>529</v>
      </c>
      <c r="C402" s="65">
        <v>1</v>
      </c>
      <c r="D402" s="7">
        <v>0</v>
      </c>
      <c r="E402" s="3">
        <f t="shared" si="78"/>
        <v>1</v>
      </c>
      <c r="F402" s="3" t="s">
        <v>867</v>
      </c>
      <c r="G402" s="77">
        <v>8213</v>
      </c>
      <c r="H402" s="65" t="s">
        <v>1</v>
      </c>
      <c r="I402" s="78">
        <f t="shared" si="82"/>
        <v>8213</v>
      </c>
      <c r="J402" s="110">
        <f t="shared" si="77"/>
        <v>75</v>
      </c>
      <c r="K402" s="4">
        <v>7</v>
      </c>
      <c r="L402" s="65" t="s">
        <v>1</v>
      </c>
      <c r="M402" s="80">
        <f t="shared" si="79"/>
        <v>7</v>
      </c>
      <c r="N402" s="78">
        <f t="shared" si="80"/>
        <v>525</v>
      </c>
      <c r="O402" s="111">
        <f t="shared" si="81"/>
        <v>8738</v>
      </c>
      <c r="P402" s="125">
        <v>8.75</v>
      </c>
      <c r="Q402" s="49">
        <v>10.5</v>
      </c>
      <c r="R402" s="125"/>
      <c r="S402" s="134"/>
      <c r="T402" s="49"/>
      <c r="U402" s="49">
        <v>149772</v>
      </c>
    </row>
    <row r="403" spans="1:21" x14ac:dyDescent="0.25">
      <c r="A403" s="72">
        <v>17</v>
      </c>
      <c r="B403" s="64" t="s">
        <v>530</v>
      </c>
      <c r="C403" s="65">
        <v>1</v>
      </c>
      <c r="D403" s="7">
        <v>0</v>
      </c>
      <c r="E403" s="3">
        <f t="shared" si="78"/>
        <v>1</v>
      </c>
      <c r="F403" s="3" t="s">
        <v>867</v>
      </c>
      <c r="G403" s="77">
        <v>8720.89</v>
      </c>
      <c r="H403" s="65" t="s">
        <v>1</v>
      </c>
      <c r="I403" s="78">
        <f t="shared" si="82"/>
        <v>8720.89</v>
      </c>
      <c r="J403" s="110">
        <f t="shared" si="77"/>
        <v>75</v>
      </c>
      <c r="K403" s="4">
        <v>10</v>
      </c>
      <c r="L403" s="65" t="s">
        <v>1</v>
      </c>
      <c r="M403" s="80">
        <f t="shared" si="79"/>
        <v>10</v>
      </c>
      <c r="N403" s="78">
        <f t="shared" si="80"/>
        <v>750</v>
      </c>
      <c r="O403" s="111">
        <f t="shared" si="81"/>
        <v>9470.89</v>
      </c>
      <c r="P403" s="125">
        <v>12.5</v>
      </c>
      <c r="Q403" s="49">
        <v>15</v>
      </c>
      <c r="R403" s="125"/>
      <c r="S403" s="134"/>
      <c r="T403" s="49"/>
      <c r="U403" s="49">
        <v>149775</v>
      </c>
    </row>
    <row r="404" spans="1:21" ht="15.75" thickBot="1" x14ac:dyDescent="0.3">
      <c r="A404" s="73"/>
      <c r="B404" s="68"/>
      <c r="C404" s="69"/>
      <c r="D404" s="68"/>
      <c r="E404" s="68"/>
      <c r="F404" s="68"/>
      <c r="G404" s="75"/>
      <c r="H404" s="69"/>
      <c r="I404" s="68"/>
      <c r="J404" s="68"/>
      <c r="K404" s="70"/>
      <c r="L404" s="69"/>
      <c r="M404" s="68"/>
      <c r="N404" s="68"/>
      <c r="O404" s="71"/>
      <c r="P404" s="140"/>
      <c r="Q404" s="141"/>
      <c r="R404" s="124"/>
      <c r="S404" s="142"/>
      <c r="T404" s="104"/>
      <c r="U404" s="104"/>
    </row>
  </sheetData>
  <mergeCells count="1">
    <mergeCell ref="M4:N4"/>
  </mergeCells>
  <pageMargins left="0.7" right="0.7" top="0.75" bottom="0.75" header="0.3" footer="0.3"/>
  <pageSetup scale="42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75"/>
  <sheetViews>
    <sheetView view="pageBreakPreview" zoomScale="80" zoomScaleNormal="80" zoomScaleSheetLayoutView="80" workbookViewId="0">
      <selection activeCell="E38" sqref="E38"/>
    </sheetView>
  </sheetViews>
  <sheetFormatPr defaultRowHeight="15" x14ac:dyDescent="0.25"/>
  <cols>
    <col min="1" max="1" width="4.42578125" bestFit="1" customWidth="1"/>
    <col min="2" max="2" width="45.7109375" customWidth="1"/>
    <col min="3" max="3" width="11" bestFit="1" customWidth="1"/>
    <col min="4" max="5" width="10.85546875" bestFit="1" customWidth="1"/>
    <col min="6" max="6" width="6.28515625" bestFit="1" customWidth="1"/>
    <col min="7" max="7" width="10.7109375" bestFit="1" customWidth="1"/>
    <col min="8" max="8" width="6.28515625" bestFit="1" customWidth="1"/>
    <col min="9" max="9" width="10.28515625" bestFit="1" customWidth="1"/>
    <col min="10" max="10" width="7.140625" customWidth="1"/>
    <col min="11" max="11" width="7.28515625" customWidth="1"/>
    <col min="12" max="12" width="5.85546875" customWidth="1"/>
    <col min="13" max="14" width="7.85546875" bestFit="1" customWidth="1"/>
    <col min="15" max="15" width="7.7109375" customWidth="1"/>
    <col min="16" max="18" width="7.5703125" bestFit="1" customWidth="1"/>
    <col min="19" max="19" width="11.28515625" bestFit="1" customWidth="1"/>
  </cols>
  <sheetData>
    <row r="1" spans="1:19" s="1" customFormat="1" x14ac:dyDescent="0.25">
      <c r="A1" s="2"/>
      <c r="C1" s="2"/>
      <c r="G1" s="10"/>
      <c r="H1" s="2"/>
      <c r="I1" s="43"/>
      <c r="L1" s="2"/>
      <c r="N1" s="43"/>
      <c r="O1" s="43"/>
    </row>
    <row r="2" spans="1:19" s="1" customFormat="1" x14ac:dyDescent="0.25">
      <c r="A2" s="2"/>
      <c r="C2" s="2"/>
      <c r="G2" s="10"/>
      <c r="H2" s="2"/>
      <c r="I2" s="43"/>
      <c r="L2" s="2"/>
      <c r="N2" s="43"/>
      <c r="O2" s="43"/>
    </row>
    <row r="3" spans="1:19" s="1" customFormat="1" ht="15.75" thickBot="1" x14ac:dyDescent="0.3">
      <c r="A3" s="2"/>
      <c r="C3" s="2"/>
      <c r="G3" s="10"/>
      <c r="H3" s="2"/>
      <c r="I3" s="43"/>
      <c r="L3" s="2"/>
      <c r="N3" s="43"/>
      <c r="O3" s="43"/>
    </row>
    <row r="4" spans="1:19" s="1" customFormat="1" ht="16.5" thickBot="1" x14ac:dyDescent="0.3">
      <c r="A4" s="2"/>
      <c r="C4" s="2"/>
      <c r="G4" s="10"/>
      <c r="H4" s="2"/>
      <c r="I4" s="43"/>
      <c r="L4" s="2"/>
      <c r="M4" s="253" t="s">
        <v>1199</v>
      </c>
      <c r="N4" s="254"/>
      <c r="O4" s="108">
        <v>75</v>
      </c>
    </row>
    <row r="5" spans="1:19" s="1" customFormat="1" ht="30.75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285</v>
      </c>
      <c r="L5" s="82" t="s">
        <v>284</v>
      </c>
      <c r="M5" s="81" t="s">
        <v>286</v>
      </c>
      <c r="N5" s="83" t="s">
        <v>871</v>
      </c>
      <c r="O5" s="84" t="s">
        <v>872</v>
      </c>
      <c r="P5" s="109" t="s">
        <v>1144</v>
      </c>
      <c r="Q5" s="84" t="s">
        <v>1145</v>
      </c>
      <c r="R5" s="84" t="s">
        <v>1146</v>
      </c>
      <c r="S5" s="84" t="s">
        <v>1200</v>
      </c>
    </row>
    <row r="6" spans="1:19" ht="15.75" thickBot="1" x14ac:dyDescent="0.3">
      <c r="A6" s="19"/>
      <c r="B6" s="210"/>
      <c r="C6" s="20"/>
      <c r="D6" s="7"/>
      <c r="E6" s="3"/>
      <c r="F6" s="107"/>
      <c r="G6" s="77"/>
      <c r="H6" s="22"/>
      <c r="I6" s="78"/>
      <c r="J6" s="21"/>
      <c r="K6" s="4"/>
      <c r="L6" s="22"/>
      <c r="M6" s="80"/>
      <c r="N6" s="78"/>
      <c r="O6" s="111"/>
      <c r="P6" s="125"/>
      <c r="Q6" s="4"/>
      <c r="R6" s="49"/>
      <c r="S6" s="143"/>
    </row>
    <row r="7" spans="1:19" ht="15.75" thickBot="1" x14ac:dyDescent="0.3">
      <c r="A7" s="203">
        <v>1</v>
      </c>
      <c r="B7" s="214" t="s">
        <v>1147</v>
      </c>
      <c r="C7" s="207">
        <v>1</v>
      </c>
      <c r="D7" s="7"/>
      <c r="E7" s="3"/>
      <c r="F7" s="107"/>
      <c r="G7" s="77"/>
      <c r="H7" s="22"/>
      <c r="I7" s="78"/>
      <c r="J7" s="21"/>
      <c r="K7" s="4"/>
      <c r="L7" s="22"/>
      <c r="M7" s="80"/>
      <c r="N7" s="78"/>
      <c r="O7" s="111"/>
      <c r="P7" s="125"/>
      <c r="Q7" s="4"/>
      <c r="R7" s="49"/>
      <c r="S7" s="143">
        <v>124203</v>
      </c>
    </row>
    <row r="8" spans="1:19" x14ac:dyDescent="0.25">
      <c r="A8" s="203"/>
      <c r="B8" s="216" t="s">
        <v>1147</v>
      </c>
      <c r="C8" s="207">
        <f>C7</f>
        <v>1</v>
      </c>
      <c r="D8" s="7">
        <v>0</v>
      </c>
      <c r="E8" s="3">
        <f>C8+(C8*D8)</f>
        <v>1</v>
      </c>
      <c r="F8" s="123" t="s">
        <v>867</v>
      </c>
      <c r="G8" s="77">
        <v>330.07</v>
      </c>
      <c r="H8" s="22" t="s">
        <v>0</v>
      </c>
      <c r="I8" s="77">
        <f>IF(H8="C",(G8/100)*E8,IF(H8="M",(G8/1000)*E8,G8*E8))</f>
        <v>3.3007</v>
      </c>
      <c r="J8" s="110">
        <f>$O$4</f>
        <v>75</v>
      </c>
      <c r="K8" s="4">
        <v>22</v>
      </c>
      <c r="L8" s="22" t="s">
        <v>0</v>
      </c>
      <c r="M8" s="80">
        <f>IF(L8="C",(K8/100)*E8,IF(L8="M",(K8/1000)*E8,K8*E8))</f>
        <v>0.22</v>
      </c>
      <c r="N8" s="78">
        <f>M8*J8</f>
        <v>16.5</v>
      </c>
      <c r="O8" s="111">
        <f>N8+I8</f>
        <v>19.800699999999999</v>
      </c>
      <c r="P8" s="125">
        <v>30</v>
      </c>
      <c r="Q8" s="4">
        <v>35</v>
      </c>
      <c r="R8" s="49">
        <v>40</v>
      </c>
      <c r="S8" s="143">
        <v>124203</v>
      </c>
    </row>
    <row r="9" spans="1:19" x14ac:dyDescent="0.25">
      <c r="A9" s="19"/>
      <c r="B9" s="216" t="s">
        <v>1148</v>
      </c>
      <c r="C9" s="20">
        <f>C8</f>
        <v>1</v>
      </c>
      <c r="D9" s="7">
        <v>0</v>
      </c>
      <c r="E9" s="3">
        <f>C9+(C9*D9)</f>
        <v>1</v>
      </c>
      <c r="F9" s="123" t="s">
        <v>867</v>
      </c>
      <c r="G9" s="77">
        <v>103.79</v>
      </c>
      <c r="H9" s="22" t="s">
        <v>0</v>
      </c>
      <c r="I9" s="77">
        <f>IF(H9="C",(G9/100)*E9,IF(H9="M",(G9/1000)*E9,G9*E9))</f>
        <v>1.0379</v>
      </c>
      <c r="J9" s="110">
        <f t="shared" ref="J9:J11" si="0">$O$4</f>
        <v>75</v>
      </c>
      <c r="K9" s="4">
        <v>2.5</v>
      </c>
      <c r="L9" s="22" t="s">
        <v>0</v>
      </c>
      <c r="M9" s="80">
        <f>IF(L9="C",(K9/100)*E9,IF(L9="M",(K9/1000)*E9,K9*E9))</f>
        <v>2.5000000000000001E-2</v>
      </c>
      <c r="N9" s="78">
        <f>M9*J9</f>
        <v>1.875</v>
      </c>
      <c r="O9" s="111">
        <f>N9+I9</f>
        <v>2.9129</v>
      </c>
      <c r="P9" s="125">
        <v>8</v>
      </c>
      <c r="Q9" s="4">
        <v>9</v>
      </c>
      <c r="R9" s="49">
        <v>10</v>
      </c>
      <c r="S9" s="143">
        <v>124242</v>
      </c>
    </row>
    <row r="10" spans="1:19" x14ac:dyDescent="0.25">
      <c r="A10" s="19"/>
      <c r="B10" s="17" t="s">
        <v>864</v>
      </c>
      <c r="C10" s="20">
        <f>C8*2</f>
        <v>2</v>
      </c>
      <c r="D10" s="7">
        <v>0</v>
      </c>
      <c r="E10" s="3">
        <f>C10+(C10*D10)</f>
        <v>2</v>
      </c>
      <c r="F10" s="123" t="s">
        <v>867</v>
      </c>
      <c r="G10" s="77">
        <v>9.19</v>
      </c>
      <c r="H10" s="22" t="s">
        <v>0</v>
      </c>
      <c r="I10" s="77">
        <f>IF(H10="C",(G10/100)*E10,IF(H10="M",(G10/1000)*E10,G10*E10))</f>
        <v>0.18379999999999999</v>
      </c>
      <c r="J10" s="110">
        <f t="shared" si="0"/>
        <v>75</v>
      </c>
      <c r="K10" s="4">
        <v>6</v>
      </c>
      <c r="L10" s="22" t="s">
        <v>0</v>
      </c>
      <c r="M10" s="80">
        <f>IF(L10="C",(K10/100)*E10,IF(L10="M",(K10/1000)*E10,K10*E10))</f>
        <v>0.12</v>
      </c>
      <c r="N10" s="78">
        <f>M10*J10</f>
        <v>9</v>
      </c>
      <c r="O10" s="111">
        <f>N10+I10</f>
        <v>9.1837999999999997</v>
      </c>
      <c r="P10" s="125">
        <v>15</v>
      </c>
      <c r="Q10" s="4">
        <v>18.7</v>
      </c>
      <c r="R10" s="49">
        <v>22.5</v>
      </c>
      <c r="S10" s="143">
        <v>139596</v>
      </c>
    </row>
    <row r="11" spans="1:19" x14ac:dyDescent="0.25">
      <c r="A11" s="19"/>
      <c r="B11" s="17" t="s">
        <v>14</v>
      </c>
      <c r="C11" s="20">
        <f>C8*2</f>
        <v>2</v>
      </c>
      <c r="D11" s="7">
        <v>0</v>
      </c>
      <c r="E11" s="3">
        <f>C11+(C11*D11)</f>
        <v>2</v>
      </c>
      <c r="F11" s="123" t="s">
        <v>867</v>
      </c>
      <c r="G11" s="77">
        <v>12.42</v>
      </c>
      <c r="H11" s="22" t="s">
        <v>0</v>
      </c>
      <c r="I11" s="77">
        <f>IF(H11="C",(G11/100)*E11,IF(H11="M",(G11/1000)*E11,G11*E11))</f>
        <v>0.24840000000000001</v>
      </c>
      <c r="J11" s="110">
        <f t="shared" si="0"/>
        <v>75</v>
      </c>
      <c r="K11" s="4">
        <v>3</v>
      </c>
      <c r="L11" s="22" t="s">
        <v>0</v>
      </c>
      <c r="M11" s="80">
        <f>IF(L11="C",(K11/100)*E11,IF(L11="M",(K11/1000)*E11,K11*E11))</f>
        <v>0.06</v>
      </c>
      <c r="N11" s="78">
        <f>M11*J11</f>
        <v>4.5</v>
      </c>
      <c r="O11" s="111">
        <f>N11+I11</f>
        <v>4.7484000000000002</v>
      </c>
      <c r="P11" s="125">
        <v>3.15</v>
      </c>
      <c r="Q11" s="4">
        <v>3.94</v>
      </c>
      <c r="R11" s="49">
        <v>4.92</v>
      </c>
      <c r="S11" s="143">
        <v>140193</v>
      </c>
    </row>
    <row r="12" spans="1:19" ht="15.75" thickBot="1" x14ac:dyDescent="0.3">
      <c r="A12" s="19"/>
      <c r="B12" s="17"/>
      <c r="C12" s="20"/>
      <c r="D12" s="7"/>
      <c r="E12" s="3"/>
      <c r="F12" s="107"/>
      <c r="G12" s="77" t="s">
        <v>1202</v>
      </c>
      <c r="H12" s="22"/>
      <c r="I12" s="78"/>
      <c r="J12" s="21"/>
      <c r="K12" s="4"/>
      <c r="L12" s="22"/>
      <c r="M12" s="80"/>
      <c r="N12" s="78"/>
      <c r="O12" s="111"/>
      <c r="P12" s="125"/>
      <c r="Q12" s="4"/>
      <c r="R12" s="49"/>
      <c r="S12" s="143"/>
    </row>
    <row r="13" spans="1:19" ht="15.75" thickBot="1" x14ac:dyDescent="0.3">
      <c r="A13" s="203">
        <v>2</v>
      </c>
      <c r="B13" s="201" t="s">
        <v>2602</v>
      </c>
      <c r="C13" s="208">
        <v>1</v>
      </c>
      <c r="D13" s="7"/>
      <c r="E13" s="3"/>
      <c r="F13" s="107"/>
      <c r="G13" s="77" t="s">
        <v>1202</v>
      </c>
      <c r="H13" s="22"/>
      <c r="I13" s="78"/>
      <c r="J13" s="21"/>
      <c r="K13" s="4"/>
      <c r="L13" s="22"/>
      <c r="M13" s="80"/>
      <c r="N13" s="78"/>
      <c r="O13" s="111"/>
      <c r="P13" s="4"/>
      <c r="Q13" s="4"/>
      <c r="R13" s="4"/>
      <c r="S13" s="143">
        <v>124314</v>
      </c>
    </row>
    <row r="14" spans="1:19" x14ac:dyDescent="0.25">
      <c r="A14" s="19"/>
      <c r="B14" s="17" t="s">
        <v>860</v>
      </c>
      <c r="C14" s="223">
        <f>C13</f>
        <v>1</v>
      </c>
      <c r="D14" s="7">
        <v>0</v>
      </c>
      <c r="E14" s="3">
        <f>C14+(C14*D14)</f>
        <v>1</v>
      </c>
      <c r="F14" s="123" t="s">
        <v>867</v>
      </c>
      <c r="G14" s="77">
        <v>404.23</v>
      </c>
      <c r="H14" s="22" t="s">
        <v>0</v>
      </c>
      <c r="I14" s="78">
        <f>IF(H14="C",(G14/100)*E14,IF(H14="M",(G14/1000)*E14,G14*E14))</f>
        <v>4.0423</v>
      </c>
      <c r="J14" s="110">
        <f>$O$4</f>
        <v>75</v>
      </c>
      <c r="K14" s="4">
        <v>23</v>
      </c>
      <c r="L14" s="22" t="s">
        <v>0</v>
      </c>
      <c r="M14" s="80">
        <f>IF(L14="C",(K14/100)*E14,IF(L14="M",(K14/1000)*E14,K14*E14))</f>
        <v>0.23</v>
      </c>
      <c r="N14" s="78">
        <f>M14*J14</f>
        <v>17.25</v>
      </c>
      <c r="O14" s="111">
        <f>N14+I14</f>
        <v>21.292300000000001</v>
      </c>
      <c r="P14" s="125">
        <v>30</v>
      </c>
      <c r="Q14" s="4">
        <v>35</v>
      </c>
      <c r="R14" s="49">
        <v>40</v>
      </c>
      <c r="S14" s="143">
        <v>124314</v>
      </c>
    </row>
    <row r="15" spans="1:19" ht="15.75" customHeight="1" x14ac:dyDescent="0.25">
      <c r="A15" s="19"/>
      <c r="B15" s="17" t="s">
        <v>1149</v>
      </c>
      <c r="C15" s="223">
        <f>C14</f>
        <v>1</v>
      </c>
      <c r="D15" s="7">
        <v>0</v>
      </c>
      <c r="E15" s="3">
        <f t="shared" ref="E15:E17" si="1">C15+(C15*D15)</f>
        <v>1</v>
      </c>
      <c r="F15" s="123" t="s">
        <v>867</v>
      </c>
      <c r="G15" s="77">
        <v>150.32</v>
      </c>
      <c r="H15" s="22" t="s">
        <v>0</v>
      </c>
      <c r="I15" s="78">
        <f>IF(H15="C",(G15/100)*E15,IF(H15="M",(G15/1000)*E15,G15*E15))</f>
        <v>1.5031999999999999</v>
      </c>
      <c r="J15" s="110">
        <f t="shared" ref="J15:J17" si="2">$O$4</f>
        <v>75</v>
      </c>
      <c r="K15" s="4">
        <v>2.5</v>
      </c>
      <c r="L15" s="22" t="s">
        <v>0</v>
      </c>
      <c r="M15" s="80">
        <f>IF(L15="C",(K15/100)*E15,IF(L15="M",(K15/1000)*E15,K15*E15))</f>
        <v>2.5000000000000001E-2</v>
      </c>
      <c r="N15" s="78">
        <f>M15*J15</f>
        <v>1.875</v>
      </c>
      <c r="O15" s="111">
        <f>N15+I15</f>
        <v>3.3781999999999996</v>
      </c>
      <c r="P15" s="125">
        <v>8</v>
      </c>
      <c r="Q15" s="4">
        <v>9</v>
      </c>
      <c r="R15" s="49">
        <v>10</v>
      </c>
      <c r="S15" s="143">
        <v>124377</v>
      </c>
    </row>
    <row r="16" spans="1:19" x14ac:dyDescent="0.25">
      <c r="A16" s="19"/>
      <c r="B16" s="17" t="s">
        <v>864</v>
      </c>
      <c r="C16" s="20">
        <f>C14*2</f>
        <v>2</v>
      </c>
      <c r="D16" s="7">
        <v>0</v>
      </c>
      <c r="E16" s="3">
        <f t="shared" si="1"/>
        <v>2</v>
      </c>
      <c r="F16" s="123" t="s">
        <v>867</v>
      </c>
      <c r="G16" s="77">
        <v>9.19</v>
      </c>
      <c r="H16" s="22" t="s">
        <v>0</v>
      </c>
      <c r="I16" s="78">
        <f>IF(H16="C",(G16/100)*E16,IF(H16="M",(G16/1000)*E16,G16*E16))</f>
        <v>0.18379999999999999</v>
      </c>
      <c r="J16" s="110">
        <f t="shared" si="2"/>
        <v>75</v>
      </c>
      <c r="K16" s="4">
        <v>6</v>
      </c>
      <c r="L16" s="22" t="s">
        <v>0</v>
      </c>
      <c r="M16" s="80">
        <f>IF(L16="C",(K16/100)*E16,IF(L16="M",(K16/1000)*E16,K16*E16))</f>
        <v>0.12</v>
      </c>
      <c r="N16" s="78">
        <f>M16*J16</f>
        <v>9</v>
      </c>
      <c r="O16" s="111">
        <f>N16+I16</f>
        <v>9.1837999999999997</v>
      </c>
      <c r="P16" s="125">
        <v>15</v>
      </c>
      <c r="Q16" s="4">
        <v>18.7</v>
      </c>
      <c r="R16" s="49">
        <v>22.5</v>
      </c>
      <c r="S16" s="143">
        <v>139596</v>
      </c>
    </row>
    <row r="17" spans="1:19" x14ac:dyDescent="0.25">
      <c r="A17" s="19"/>
      <c r="B17" s="17" t="s">
        <v>14</v>
      </c>
      <c r="C17" s="20">
        <f>C14*2</f>
        <v>2</v>
      </c>
      <c r="D17" s="7">
        <v>0</v>
      </c>
      <c r="E17" s="3">
        <f t="shared" si="1"/>
        <v>2</v>
      </c>
      <c r="F17" s="123" t="s">
        <v>867</v>
      </c>
      <c r="G17" s="77">
        <v>12.42</v>
      </c>
      <c r="H17" s="22" t="s">
        <v>0</v>
      </c>
      <c r="I17" s="78">
        <f>IF(H17="C",(G17/100)*E17,IF(H17="M",(G17/1000)*E17,G17*E17))</f>
        <v>0.24840000000000001</v>
      </c>
      <c r="J17" s="110">
        <f t="shared" si="2"/>
        <v>75</v>
      </c>
      <c r="K17" s="4">
        <v>3</v>
      </c>
      <c r="L17" s="22" t="s">
        <v>0</v>
      </c>
      <c r="M17" s="80">
        <f>IF(L17="C",(K17/100)*E17,IF(L17="M",(K17/1000)*E17,K17*E17))</f>
        <v>0.06</v>
      </c>
      <c r="N17" s="78">
        <f>M17*J17</f>
        <v>4.5</v>
      </c>
      <c r="O17" s="111">
        <f>N17+I17</f>
        <v>4.7484000000000002</v>
      </c>
      <c r="P17" s="125">
        <v>3.15</v>
      </c>
      <c r="Q17" s="4">
        <v>3.94</v>
      </c>
      <c r="R17" s="49">
        <v>4.92</v>
      </c>
      <c r="S17" s="143">
        <v>140193</v>
      </c>
    </row>
    <row r="18" spans="1:19" ht="15.75" thickBot="1" x14ac:dyDescent="0.3">
      <c r="A18" s="19"/>
      <c r="B18" s="17"/>
      <c r="C18" s="20"/>
      <c r="D18" s="7"/>
      <c r="E18" s="3"/>
      <c r="F18" s="123"/>
      <c r="G18" s="77"/>
      <c r="H18" s="22"/>
      <c r="I18" s="78"/>
      <c r="J18" s="110"/>
      <c r="K18" s="4"/>
      <c r="L18" s="22"/>
      <c r="M18" s="80"/>
      <c r="N18" s="78"/>
      <c r="O18" s="111"/>
      <c r="P18" s="125"/>
      <c r="Q18" s="4"/>
      <c r="R18" s="49"/>
      <c r="S18" s="143"/>
    </row>
    <row r="19" spans="1:19" ht="15.75" thickBot="1" x14ac:dyDescent="0.3">
      <c r="A19" s="203">
        <v>3</v>
      </c>
      <c r="B19" s="201" t="s">
        <v>2603</v>
      </c>
      <c r="C19" s="208">
        <v>1</v>
      </c>
      <c r="D19" s="7"/>
      <c r="E19" s="3"/>
      <c r="F19" s="107"/>
      <c r="G19" s="77" t="s">
        <v>1202</v>
      </c>
      <c r="H19" s="22"/>
      <c r="I19" s="78"/>
      <c r="J19" s="21"/>
      <c r="K19" s="4"/>
      <c r="L19" s="22"/>
      <c r="M19" s="80"/>
      <c r="N19" s="78"/>
      <c r="O19" s="111"/>
      <c r="P19" s="4"/>
      <c r="Q19" s="4"/>
      <c r="R19" s="4"/>
      <c r="S19" s="143">
        <v>124314</v>
      </c>
    </row>
    <row r="20" spans="1:19" x14ac:dyDescent="0.25">
      <c r="A20" s="19"/>
      <c r="B20" s="17" t="s">
        <v>860</v>
      </c>
      <c r="C20" s="223">
        <f>C19</f>
        <v>1</v>
      </c>
      <c r="D20" s="7">
        <v>0</v>
      </c>
      <c r="E20" s="3">
        <f>C20+(C20*D20)</f>
        <v>1</v>
      </c>
      <c r="F20" s="123" t="s">
        <v>867</v>
      </c>
      <c r="G20" s="77">
        <v>404.23</v>
      </c>
      <c r="H20" s="22" t="s">
        <v>0</v>
      </c>
      <c r="I20" s="78">
        <f>IF(H20="C",(G20/100)*E20,IF(H20="M",(G20/1000)*E20,G20*E20))</f>
        <v>4.0423</v>
      </c>
      <c r="J20" s="110">
        <f>$O$4</f>
        <v>75</v>
      </c>
      <c r="K20" s="4">
        <v>23</v>
      </c>
      <c r="L20" s="22" t="s">
        <v>0</v>
      </c>
      <c r="M20" s="80">
        <f>IF(L20="C",(K20/100)*E20,IF(L20="M",(K20/1000)*E20,K20*E20))</f>
        <v>0.23</v>
      </c>
      <c r="N20" s="78">
        <f>M20*J20</f>
        <v>17.25</v>
      </c>
      <c r="O20" s="111">
        <f>N20+I20</f>
        <v>21.292300000000001</v>
      </c>
      <c r="P20" s="125">
        <v>30</v>
      </c>
      <c r="Q20" s="4">
        <v>35</v>
      </c>
      <c r="R20" s="49">
        <v>40</v>
      </c>
      <c r="S20" s="143">
        <v>124314</v>
      </c>
    </row>
    <row r="21" spans="1:19" x14ac:dyDescent="0.25">
      <c r="A21" s="19"/>
      <c r="B21" s="17" t="s">
        <v>1149</v>
      </c>
      <c r="C21" s="223">
        <f>C20</f>
        <v>1</v>
      </c>
      <c r="D21" s="7">
        <v>0</v>
      </c>
      <c r="E21" s="3">
        <f t="shared" ref="E21:E23" si="3">C21+(C21*D21)</f>
        <v>1</v>
      </c>
      <c r="F21" s="123" t="s">
        <v>867</v>
      </c>
      <c r="G21" s="77">
        <v>150.32</v>
      </c>
      <c r="H21" s="22" t="s">
        <v>0</v>
      </c>
      <c r="I21" s="78">
        <f>IF(H21="C",(G21/100)*E21,IF(H21="M",(G21/1000)*E21,G21*E21))</f>
        <v>1.5031999999999999</v>
      </c>
      <c r="J21" s="110">
        <f t="shared" ref="J21:J23" si="4">$O$4</f>
        <v>75</v>
      </c>
      <c r="K21" s="4">
        <v>2.5</v>
      </c>
      <c r="L21" s="22" t="s">
        <v>0</v>
      </c>
      <c r="M21" s="80">
        <f>IF(L21="C",(K21/100)*E21,IF(L21="M",(K21/1000)*E21,K21*E21))</f>
        <v>2.5000000000000001E-2</v>
      </c>
      <c r="N21" s="78">
        <f>M21*J21</f>
        <v>1.875</v>
      </c>
      <c r="O21" s="111">
        <f>N21+I21</f>
        <v>3.3781999999999996</v>
      </c>
      <c r="P21" s="125">
        <v>8</v>
      </c>
      <c r="Q21" s="4">
        <v>9</v>
      </c>
      <c r="R21" s="49">
        <v>10</v>
      </c>
      <c r="S21" s="143">
        <v>124377</v>
      </c>
    </row>
    <row r="22" spans="1:19" x14ac:dyDescent="0.25">
      <c r="A22" s="19"/>
      <c r="B22" s="17" t="s">
        <v>864</v>
      </c>
      <c r="C22" s="20">
        <f>C20*2</f>
        <v>2</v>
      </c>
      <c r="D22" s="7">
        <v>0</v>
      </c>
      <c r="E22" s="3">
        <f t="shared" si="3"/>
        <v>2</v>
      </c>
      <c r="F22" s="123" t="s">
        <v>867</v>
      </c>
      <c r="G22" s="77">
        <v>9.19</v>
      </c>
      <c r="H22" s="22" t="s">
        <v>0</v>
      </c>
      <c r="I22" s="78">
        <f>IF(H22="C",(G22/100)*E22,IF(H22="M",(G22/1000)*E22,G22*E22))</f>
        <v>0.18379999999999999</v>
      </c>
      <c r="J22" s="110">
        <f t="shared" si="4"/>
        <v>75</v>
      </c>
      <c r="K22" s="4">
        <v>6</v>
      </c>
      <c r="L22" s="22" t="s">
        <v>0</v>
      </c>
      <c r="M22" s="80">
        <f>IF(L22="C",(K22/100)*E22,IF(L22="M",(K22/1000)*E22,K22*E22))</f>
        <v>0.12</v>
      </c>
      <c r="N22" s="78">
        <f>M22*J22</f>
        <v>9</v>
      </c>
      <c r="O22" s="111">
        <f>N22+I22</f>
        <v>9.1837999999999997</v>
      </c>
      <c r="P22" s="125">
        <v>15</v>
      </c>
      <c r="Q22" s="4">
        <v>18.7</v>
      </c>
      <c r="R22" s="49">
        <v>22.5</v>
      </c>
      <c r="S22" s="143">
        <v>139596</v>
      </c>
    </row>
    <row r="23" spans="1:19" x14ac:dyDescent="0.25">
      <c r="A23" s="19"/>
      <c r="B23" s="17" t="s">
        <v>14</v>
      </c>
      <c r="C23" s="20">
        <f>C20*2</f>
        <v>2</v>
      </c>
      <c r="D23" s="7">
        <v>0</v>
      </c>
      <c r="E23" s="3">
        <f t="shared" si="3"/>
        <v>2</v>
      </c>
      <c r="F23" s="123" t="s">
        <v>867</v>
      </c>
      <c r="G23" s="77">
        <v>12.42</v>
      </c>
      <c r="H23" s="22" t="s">
        <v>0</v>
      </c>
      <c r="I23" s="78">
        <f>IF(H23="C",(G23/100)*E23,IF(H23="M",(G23/1000)*E23,G23*E23))</f>
        <v>0.24840000000000001</v>
      </c>
      <c r="J23" s="110">
        <f t="shared" si="4"/>
        <v>75</v>
      </c>
      <c r="K23" s="4">
        <v>3</v>
      </c>
      <c r="L23" s="22" t="s">
        <v>0</v>
      </c>
      <c r="M23" s="80">
        <f>IF(L23="C",(K23/100)*E23,IF(L23="M",(K23/1000)*E23,K23*E23))</f>
        <v>0.06</v>
      </c>
      <c r="N23" s="78">
        <f>M23*J23</f>
        <v>4.5</v>
      </c>
      <c r="O23" s="111">
        <f>N23+I23</f>
        <v>4.7484000000000002</v>
      </c>
      <c r="P23" s="125">
        <v>3.15</v>
      </c>
      <c r="Q23" s="4">
        <v>3.94</v>
      </c>
      <c r="R23" s="49">
        <v>4.92</v>
      </c>
      <c r="S23" s="143">
        <v>140193</v>
      </c>
    </row>
    <row r="24" spans="1:19" ht="15.75" thickBot="1" x14ac:dyDescent="0.3">
      <c r="A24" s="19"/>
      <c r="B24" s="17"/>
      <c r="C24" s="20"/>
      <c r="D24" s="7"/>
      <c r="E24" s="3"/>
      <c r="F24" s="123"/>
      <c r="G24" s="77"/>
      <c r="H24" s="22"/>
      <c r="I24" s="78"/>
      <c r="J24" s="110"/>
      <c r="K24" s="4"/>
      <c r="L24" s="22"/>
      <c r="M24" s="80"/>
      <c r="N24" s="78"/>
      <c r="O24" s="111"/>
      <c r="P24" s="125"/>
      <c r="Q24" s="4"/>
      <c r="R24" s="49"/>
      <c r="S24" s="143"/>
    </row>
    <row r="25" spans="1:19" ht="15.75" thickBot="1" x14ac:dyDescent="0.3">
      <c r="A25" s="203">
        <v>4</v>
      </c>
      <c r="B25" s="201" t="s">
        <v>2604</v>
      </c>
      <c r="C25" s="208">
        <v>1</v>
      </c>
      <c r="D25" s="7"/>
      <c r="E25" s="3"/>
      <c r="F25" s="107"/>
      <c r="G25" s="77" t="s">
        <v>1202</v>
      </c>
      <c r="H25" s="22"/>
      <c r="I25" s="78"/>
      <c r="J25" s="21"/>
      <c r="K25" s="4"/>
      <c r="L25" s="22"/>
      <c r="M25" s="80"/>
      <c r="N25" s="78"/>
      <c r="O25" s="111"/>
      <c r="P25" s="4"/>
      <c r="Q25" s="4"/>
      <c r="R25" s="4"/>
      <c r="S25" s="143">
        <v>124314</v>
      </c>
    </row>
    <row r="26" spans="1:19" x14ac:dyDescent="0.25">
      <c r="A26" s="19"/>
      <c r="B26" s="17" t="s">
        <v>860</v>
      </c>
      <c r="C26" s="223">
        <f>C25</f>
        <v>1</v>
      </c>
      <c r="D26" s="7">
        <v>0</v>
      </c>
      <c r="E26" s="3">
        <f>C26+(C26*D26)</f>
        <v>1</v>
      </c>
      <c r="F26" s="123" t="s">
        <v>867</v>
      </c>
      <c r="G26" s="77">
        <v>404.23</v>
      </c>
      <c r="H26" s="22" t="s">
        <v>0</v>
      </c>
      <c r="I26" s="78">
        <f>IF(H26="C",(G26/100)*E26,IF(H26="M",(G26/1000)*E26,G26*E26))</f>
        <v>4.0423</v>
      </c>
      <c r="J26" s="110">
        <f>$O$4</f>
        <v>75</v>
      </c>
      <c r="K26" s="4">
        <v>23</v>
      </c>
      <c r="L26" s="22" t="s">
        <v>0</v>
      </c>
      <c r="M26" s="80">
        <f>IF(L26="C",(K26/100)*E26,IF(L26="M",(K26/1000)*E26,K26*E26))</f>
        <v>0.23</v>
      </c>
      <c r="N26" s="78">
        <f>M26*J26</f>
        <v>17.25</v>
      </c>
      <c r="O26" s="111">
        <f>N26+I26</f>
        <v>21.292300000000001</v>
      </c>
      <c r="P26" s="125">
        <v>30</v>
      </c>
      <c r="Q26" s="4">
        <v>35</v>
      </c>
      <c r="R26" s="49">
        <v>40</v>
      </c>
      <c r="S26" s="143">
        <v>124314</v>
      </c>
    </row>
    <row r="27" spans="1:19" x14ac:dyDescent="0.25">
      <c r="A27" s="19"/>
      <c r="B27" s="17" t="s">
        <v>1149</v>
      </c>
      <c r="C27" s="223">
        <f>C26</f>
        <v>1</v>
      </c>
      <c r="D27" s="7">
        <v>0</v>
      </c>
      <c r="E27" s="3">
        <f t="shared" ref="E27:E30" si="5">C27+(C27*D27)</f>
        <v>1</v>
      </c>
      <c r="F27" s="123" t="s">
        <v>867</v>
      </c>
      <c r="G27" s="77">
        <v>150.32</v>
      </c>
      <c r="H27" s="22" t="s">
        <v>0</v>
      </c>
      <c r="I27" s="78">
        <f>IF(H27="C",(G27/100)*E27,IF(H27="M",(G27/1000)*E27,G27*E27))</f>
        <v>1.5031999999999999</v>
      </c>
      <c r="J27" s="110">
        <f t="shared" ref="J27:J30" si="6">$O$4</f>
        <v>75</v>
      </c>
      <c r="K27" s="4">
        <v>2.5</v>
      </c>
      <c r="L27" s="22" t="s">
        <v>0</v>
      </c>
      <c r="M27" s="80">
        <f>IF(L27="C",(K27/100)*E27,IF(L27="M",(K27/1000)*E27,K27*E27))</f>
        <v>2.5000000000000001E-2</v>
      </c>
      <c r="N27" s="78">
        <f>M27*J27</f>
        <v>1.875</v>
      </c>
      <c r="O27" s="111">
        <f>N27+I27</f>
        <v>3.3781999999999996</v>
      </c>
      <c r="P27" s="125">
        <v>8</v>
      </c>
      <c r="Q27" s="4">
        <v>9</v>
      </c>
      <c r="R27" s="49">
        <v>10</v>
      </c>
      <c r="S27" s="143">
        <v>124377</v>
      </c>
    </row>
    <row r="28" spans="1:19" x14ac:dyDescent="0.25">
      <c r="A28" s="19"/>
      <c r="B28" s="17" t="s">
        <v>864</v>
      </c>
      <c r="C28" s="20">
        <f>C26*2</f>
        <v>2</v>
      </c>
      <c r="D28" s="7">
        <v>0</v>
      </c>
      <c r="E28" s="3">
        <f t="shared" si="5"/>
        <v>2</v>
      </c>
      <c r="F28" s="123" t="s">
        <v>867</v>
      </c>
      <c r="G28" s="77">
        <v>9.19</v>
      </c>
      <c r="H28" s="22" t="s">
        <v>0</v>
      </c>
      <c r="I28" s="78">
        <f>IF(H28="C",(G28/100)*E28,IF(H28="M",(G28/1000)*E28,G28*E28))</f>
        <v>0.18379999999999999</v>
      </c>
      <c r="J28" s="110">
        <f t="shared" si="6"/>
        <v>75</v>
      </c>
      <c r="K28" s="4">
        <v>6</v>
      </c>
      <c r="L28" s="22" t="s">
        <v>0</v>
      </c>
      <c r="M28" s="80">
        <f>IF(L28="C",(K28/100)*E28,IF(L28="M",(K28/1000)*E28,K28*E28))</f>
        <v>0.12</v>
      </c>
      <c r="N28" s="78">
        <f>M28*J28</f>
        <v>9</v>
      </c>
      <c r="O28" s="111">
        <f>N28+I28</f>
        <v>9.1837999999999997</v>
      </c>
      <c r="P28" s="125">
        <v>15</v>
      </c>
      <c r="Q28" s="4">
        <v>18.7</v>
      </c>
      <c r="R28" s="49">
        <v>22.5</v>
      </c>
      <c r="S28" s="143">
        <v>139596</v>
      </c>
    </row>
    <row r="29" spans="1:19" x14ac:dyDescent="0.25">
      <c r="A29" s="19"/>
      <c r="B29" s="17" t="s">
        <v>14</v>
      </c>
      <c r="C29" s="20">
        <f>C26*2</f>
        <v>2</v>
      </c>
      <c r="D29" s="7">
        <v>0</v>
      </c>
      <c r="E29" s="3">
        <f t="shared" si="5"/>
        <v>2</v>
      </c>
      <c r="F29" s="123" t="s">
        <v>867</v>
      </c>
      <c r="G29" s="77">
        <v>12.42</v>
      </c>
      <c r="H29" s="22" t="s">
        <v>0</v>
      </c>
      <c r="I29" s="78">
        <f>IF(H29="C",(G29/100)*E29,IF(H29="M",(G29/1000)*E29,G29*E29))</f>
        <v>0.24840000000000001</v>
      </c>
      <c r="J29" s="110">
        <f t="shared" si="6"/>
        <v>75</v>
      </c>
      <c r="K29" s="4">
        <v>3</v>
      </c>
      <c r="L29" s="22" t="s">
        <v>0</v>
      </c>
      <c r="M29" s="80">
        <f>IF(L29="C",(K29/100)*E29,IF(L29="M",(K29/1000)*E29,K29*E29))</f>
        <v>0.06</v>
      </c>
      <c r="N29" s="78">
        <f>M29*J29</f>
        <v>4.5</v>
      </c>
      <c r="O29" s="111">
        <f>N29+I29</f>
        <v>4.7484000000000002</v>
      </c>
      <c r="P29" s="125">
        <v>3.15</v>
      </c>
      <c r="Q29" s="4">
        <v>3.94</v>
      </c>
      <c r="R29" s="49">
        <v>4.92</v>
      </c>
      <c r="S29" s="143">
        <v>140193</v>
      </c>
    </row>
    <row r="30" spans="1:19" s="1" customFormat="1" x14ac:dyDescent="0.25">
      <c r="A30" s="37"/>
      <c r="B30" s="24" t="s">
        <v>2</v>
      </c>
      <c r="C30" s="151">
        <f>C26</f>
        <v>1</v>
      </c>
      <c r="D30" s="7">
        <v>0</v>
      </c>
      <c r="E30" s="3">
        <f t="shared" si="5"/>
        <v>1</v>
      </c>
      <c r="F30" s="85" t="s">
        <v>867</v>
      </c>
      <c r="G30" s="77">
        <v>258.01</v>
      </c>
      <c r="H30" s="5" t="s">
        <v>0</v>
      </c>
      <c r="I30" s="78">
        <f t="shared" ref="I30" si="7">IF(H30="C",(G30/100)*E30,IF(H30="M",(G30/1000)*E30,G30*E30))</f>
        <v>2.5800999999999998</v>
      </c>
      <c r="J30" s="110">
        <f t="shared" si="6"/>
        <v>75</v>
      </c>
      <c r="K30" s="4">
        <v>2.5</v>
      </c>
      <c r="L30" s="5" t="s">
        <v>0</v>
      </c>
      <c r="M30" s="80">
        <f t="shared" ref="M30" si="8">IF(L30="C",(K30/100)*E30,IF(L30="M",(K30/1000)*E30,K30*E30))</f>
        <v>2.5000000000000001E-2</v>
      </c>
      <c r="N30" s="78">
        <f t="shared" ref="N30" si="9">M30*J30</f>
        <v>1.875</v>
      </c>
      <c r="O30" s="111">
        <f t="shared" ref="O30" si="10">N30+I30</f>
        <v>4.4550999999999998</v>
      </c>
      <c r="P30" s="4">
        <v>15</v>
      </c>
      <c r="Q30" s="4">
        <v>20</v>
      </c>
      <c r="R30" s="4">
        <v>25</v>
      </c>
      <c r="S30" s="49">
        <v>124389</v>
      </c>
    </row>
    <row r="31" spans="1:19" ht="15.75" thickBot="1" x14ac:dyDescent="0.3">
      <c r="A31" s="19"/>
      <c r="B31" s="212"/>
      <c r="C31" s="20"/>
      <c r="D31" s="7"/>
      <c r="E31" s="3"/>
      <c r="F31" s="123"/>
      <c r="G31" s="77"/>
      <c r="H31" s="22"/>
      <c r="I31" s="78"/>
      <c r="J31" s="110"/>
      <c r="K31" s="4"/>
      <c r="L31" s="22"/>
      <c r="M31" s="80"/>
      <c r="N31" s="78"/>
      <c r="O31" s="111"/>
      <c r="P31" s="125"/>
      <c r="Q31" s="4"/>
      <c r="R31" s="49"/>
      <c r="S31" s="143"/>
    </row>
    <row r="32" spans="1:19" ht="15.75" thickBot="1" x14ac:dyDescent="0.3">
      <c r="A32" s="203">
        <v>5</v>
      </c>
      <c r="B32" s="214" t="s">
        <v>2605</v>
      </c>
      <c r="C32" s="207">
        <v>1</v>
      </c>
      <c r="D32" s="7"/>
      <c r="E32" s="3"/>
      <c r="F32" s="123"/>
      <c r="G32" s="77"/>
      <c r="H32" s="22"/>
      <c r="I32" s="78"/>
      <c r="J32" s="110"/>
      <c r="K32" s="4"/>
      <c r="L32" s="22"/>
      <c r="M32" s="80"/>
      <c r="N32" s="78"/>
      <c r="O32" s="111"/>
      <c r="P32" s="125"/>
      <c r="Q32" s="4"/>
      <c r="R32" s="49"/>
      <c r="S32" s="143">
        <v>124335</v>
      </c>
    </row>
    <row r="33" spans="1:19" x14ac:dyDescent="0.25">
      <c r="A33" s="19"/>
      <c r="B33" s="216" t="s">
        <v>1150</v>
      </c>
      <c r="C33" s="20">
        <f>C32</f>
        <v>1</v>
      </c>
      <c r="D33" s="7">
        <v>0</v>
      </c>
      <c r="E33" s="3">
        <v>1</v>
      </c>
      <c r="F33" s="123" t="s">
        <v>867</v>
      </c>
      <c r="G33" s="77">
        <v>583.71</v>
      </c>
      <c r="H33" s="22" t="s">
        <v>0</v>
      </c>
      <c r="I33" s="78">
        <f>IF(H33="C",(G33/100)*E33,IF(H33="M",(G33/1000)*E33,G33*E33))</f>
        <v>5.8371000000000004</v>
      </c>
      <c r="J33" s="110">
        <f>$O$4</f>
        <v>75</v>
      </c>
      <c r="K33" s="4">
        <v>23</v>
      </c>
      <c r="L33" s="22" t="s">
        <v>0</v>
      </c>
      <c r="M33" s="80">
        <f>IF(L33="C",(K33/100)*E33,IF(L33="M",(K33/1000)*E33,K33*E33))</f>
        <v>0.23</v>
      </c>
      <c r="N33" s="78">
        <f>M33*J33</f>
        <v>17.25</v>
      </c>
      <c r="O33" s="111">
        <f>N33+I33</f>
        <v>23.0871</v>
      </c>
      <c r="P33" s="125">
        <v>30</v>
      </c>
      <c r="Q33" s="4">
        <v>35</v>
      </c>
      <c r="R33" s="49">
        <v>40</v>
      </c>
      <c r="S33" s="143">
        <v>124335</v>
      </c>
    </row>
    <row r="34" spans="1:19" x14ac:dyDescent="0.25">
      <c r="A34" s="19"/>
      <c r="B34" s="17" t="s">
        <v>1149</v>
      </c>
      <c r="C34" s="20">
        <f>C33</f>
        <v>1</v>
      </c>
      <c r="D34" s="7">
        <v>0</v>
      </c>
      <c r="E34" s="3">
        <v>1</v>
      </c>
      <c r="F34" s="123" t="s">
        <v>867</v>
      </c>
      <c r="G34" s="77">
        <v>150.32</v>
      </c>
      <c r="H34" s="22" t="s">
        <v>0</v>
      </c>
      <c r="I34" s="78">
        <f>IF(H34="C",(G34/100)*E34,IF(H34="M",(G34/1000)*E34,G34*E34))</f>
        <v>1.5031999999999999</v>
      </c>
      <c r="J34" s="110">
        <f t="shared" ref="J34:J36" si="11">$O$4</f>
        <v>75</v>
      </c>
      <c r="K34" s="4">
        <v>2.5</v>
      </c>
      <c r="L34" s="22" t="s">
        <v>0</v>
      </c>
      <c r="M34" s="80">
        <f>IF(L34="C",(K34/100)*E34,IF(L34="M",(K34/1000)*E34,K34*E34))</f>
        <v>2.5000000000000001E-2</v>
      </c>
      <c r="N34" s="78">
        <f>M34*J34</f>
        <v>1.875</v>
      </c>
      <c r="O34" s="111">
        <f>N34+I34</f>
        <v>3.3781999999999996</v>
      </c>
      <c r="P34" s="125">
        <v>8</v>
      </c>
      <c r="Q34" s="4">
        <v>9</v>
      </c>
      <c r="R34" s="49">
        <v>10</v>
      </c>
      <c r="S34" s="143">
        <v>124377</v>
      </c>
    </row>
    <row r="35" spans="1:19" x14ac:dyDescent="0.25">
      <c r="A35" s="19"/>
      <c r="B35" s="17" t="s">
        <v>864</v>
      </c>
      <c r="C35" s="20">
        <f>C33*2</f>
        <v>2</v>
      </c>
      <c r="D35" s="7">
        <v>0</v>
      </c>
      <c r="E35" s="3">
        <v>1</v>
      </c>
      <c r="F35" s="123" t="s">
        <v>867</v>
      </c>
      <c r="G35" s="77">
        <v>9.19</v>
      </c>
      <c r="H35" s="22" t="s">
        <v>0</v>
      </c>
      <c r="I35" s="78">
        <f>IF(H35="C",(G35/100)*E35,IF(H35="M",(G35/1000)*E35,G35*E35))</f>
        <v>9.1899999999999996E-2</v>
      </c>
      <c r="J35" s="110">
        <f t="shared" si="11"/>
        <v>75</v>
      </c>
      <c r="K35" s="4">
        <v>6</v>
      </c>
      <c r="L35" s="22" t="s">
        <v>0</v>
      </c>
      <c r="M35" s="80">
        <f>IF(L35="C",(K35/100)*E35,IF(L35="M",(K35/1000)*E35,K35*E35))</f>
        <v>0.06</v>
      </c>
      <c r="N35" s="78">
        <f>M35*J35</f>
        <v>4.5</v>
      </c>
      <c r="O35" s="111">
        <f>N35+I35</f>
        <v>4.5918999999999999</v>
      </c>
      <c r="P35" s="125">
        <v>15</v>
      </c>
      <c r="Q35" s="4">
        <v>18.7</v>
      </c>
      <c r="R35" s="49">
        <v>22.5</v>
      </c>
      <c r="S35" s="143">
        <v>139596</v>
      </c>
    </row>
    <row r="36" spans="1:19" x14ac:dyDescent="0.25">
      <c r="A36" s="19"/>
      <c r="B36" s="17" t="s">
        <v>14</v>
      </c>
      <c r="C36" s="20">
        <f>C33*2</f>
        <v>2</v>
      </c>
      <c r="D36" s="7">
        <v>0</v>
      </c>
      <c r="E36" s="3">
        <v>1</v>
      </c>
      <c r="F36" s="123" t="s">
        <v>867</v>
      </c>
      <c r="G36" s="77">
        <v>12.42</v>
      </c>
      <c r="H36" s="22" t="s">
        <v>0</v>
      </c>
      <c r="I36" s="78">
        <f>IF(H36="C",(G36/100)*E36,IF(H36="M",(G36/1000)*E36,G36*E36))</f>
        <v>0.1242</v>
      </c>
      <c r="J36" s="110">
        <f t="shared" si="11"/>
        <v>75</v>
      </c>
      <c r="K36" s="4">
        <v>3</v>
      </c>
      <c r="L36" s="22" t="s">
        <v>0</v>
      </c>
      <c r="M36" s="80">
        <f>IF(L36="C",(K36/100)*E36,IF(L36="M",(K36/1000)*E36,K36*E36))</f>
        <v>0.03</v>
      </c>
      <c r="N36" s="78">
        <f>M36*J36</f>
        <v>2.25</v>
      </c>
      <c r="O36" s="111">
        <f>N36+I36</f>
        <v>2.3742000000000001</v>
      </c>
      <c r="P36" s="125">
        <v>3.15</v>
      </c>
      <c r="Q36" s="4">
        <v>3.94</v>
      </c>
      <c r="R36" s="49">
        <v>4.92</v>
      </c>
      <c r="S36" s="143">
        <v>140193</v>
      </c>
    </row>
    <row r="37" spans="1:19" ht="15.75" thickBot="1" x14ac:dyDescent="0.3">
      <c r="A37" s="19"/>
      <c r="B37" s="212"/>
      <c r="C37" s="20"/>
      <c r="D37" s="7"/>
      <c r="E37" s="3"/>
      <c r="F37" s="107"/>
      <c r="G37" s="77" t="s">
        <v>1202</v>
      </c>
      <c r="H37" s="22"/>
      <c r="I37" s="78"/>
      <c r="J37" s="21"/>
      <c r="K37" s="4"/>
      <c r="L37" s="22"/>
      <c r="M37" s="80"/>
      <c r="N37" s="78"/>
      <c r="O37" s="111"/>
      <c r="P37" s="125"/>
      <c r="Q37" s="4"/>
      <c r="R37" s="49"/>
      <c r="S37" s="143"/>
    </row>
    <row r="38" spans="1:19" ht="15.75" customHeight="1" thickBot="1" x14ac:dyDescent="0.3">
      <c r="A38" s="203">
        <v>6</v>
      </c>
      <c r="B38" s="214" t="s">
        <v>1151</v>
      </c>
      <c r="C38" s="207">
        <v>1</v>
      </c>
      <c r="D38" s="7"/>
      <c r="E38" s="3"/>
      <c r="F38" s="107"/>
      <c r="G38" s="77" t="s">
        <v>1202</v>
      </c>
      <c r="H38" s="22"/>
      <c r="I38" s="78"/>
      <c r="J38" s="21"/>
      <c r="K38" s="4"/>
      <c r="L38" s="22"/>
      <c r="M38" s="80"/>
      <c r="N38" s="78"/>
      <c r="O38" s="111"/>
      <c r="P38" s="125"/>
      <c r="Q38" s="4"/>
      <c r="R38" s="49"/>
      <c r="S38" s="143">
        <v>124455</v>
      </c>
    </row>
    <row r="39" spans="1:19" ht="15.75" customHeight="1" x14ac:dyDescent="0.25">
      <c r="A39" s="19"/>
      <c r="B39" s="216" t="s">
        <v>1151</v>
      </c>
      <c r="C39" s="20">
        <f>C38</f>
        <v>1</v>
      </c>
      <c r="D39" s="7">
        <v>0</v>
      </c>
      <c r="E39" s="3">
        <v>1</v>
      </c>
      <c r="F39" s="123" t="s">
        <v>867</v>
      </c>
      <c r="G39" s="77">
        <v>776.5</v>
      </c>
      <c r="H39" s="22" t="s">
        <v>0</v>
      </c>
      <c r="I39" s="78">
        <f>IF(H39="C",(G39/100)*E39,IF(H39="M",(G39/1000)*E39,G39*E39))</f>
        <v>7.7649999999999997</v>
      </c>
      <c r="J39" s="110">
        <f>$O$4</f>
        <v>75</v>
      </c>
      <c r="K39" s="4">
        <v>25</v>
      </c>
      <c r="L39" s="22" t="s">
        <v>0</v>
      </c>
      <c r="M39" s="80">
        <f>IF(L39="C",(K39/100)*E39,IF(L39="M",(K39/1000)*E39,K39*E39))</f>
        <v>0.25</v>
      </c>
      <c r="N39" s="78">
        <f>M39*J39</f>
        <v>18.75</v>
      </c>
      <c r="O39" s="111">
        <f>N39+I39</f>
        <v>26.515000000000001</v>
      </c>
      <c r="P39" s="125">
        <v>30</v>
      </c>
      <c r="Q39" s="4">
        <v>35</v>
      </c>
      <c r="R39" s="49">
        <v>40</v>
      </c>
      <c r="S39" s="143">
        <v>124455</v>
      </c>
    </row>
    <row r="40" spans="1:19" x14ac:dyDescent="0.25">
      <c r="A40" s="19"/>
      <c r="B40" s="17" t="s">
        <v>1152</v>
      </c>
      <c r="C40" s="20">
        <f>C39</f>
        <v>1</v>
      </c>
      <c r="D40" s="7">
        <v>0</v>
      </c>
      <c r="E40" s="3">
        <f t="shared" ref="E40:E42" si="12">C40+(C40*D40)</f>
        <v>1</v>
      </c>
      <c r="F40" s="123" t="s">
        <v>867</v>
      </c>
      <c r="G40" s="77">
        <v>449.36</v>
      </c>
      <c r="H40" s="22" t="s">
        <v>0</v>
      </c>
      <c r="I40" s="78">
        <f>IF(H40="C",(G40/100)*E40,IF(H40="M",(G40/1000)*E40,G40*E40))</f>
        <v>4.4935999999999998</v>
      </c>
      <c r="J40" s="110">
        <f t="shared" ref="J40:J42" si="13">$O$4</f>
        <v>75</v>
      </c>
      <c r="K40" s="4">
        <v>2.5</v>
      </c>
      <c r="L40" s="22" t="s">
        <v>0</v>
      </c>
      <c r="M40" s="80">
        <f>IF(L40="C",(K40/100)*E40,IF(L40="M",(K40/1000)*E40,K40*E40))</f>
        <v>2.5000000000000001E-2</v>
      </c>
      <c r="N40" s="78">
        <f>M40*J40</f>
        <v>1.875</v>
      </c>
      <c r="O40" s="111">
        <f>N40+I40</f>
        <v>6.3685999999999998</v>
      </c>
      <c r="P40" s="125">
        <v>8</v>
      </c>
      <c r="Q40" s="4">
        <v>9</v>
      </c>
      <c r="R40" s="49">
        <v>10</v>
      </c>
      <c r="S40" s="143">
        <v>124473</v>
      </c>
    </row>
    <row r="41" spans="1:19" x14ac:dyDescent="0.25">
      <c r="A41" s="19"/>
      <c r="B41" s="17" t="s">
        <v>864</v>
      </c>
      <c r="C41" s="20">
        <f>C39*2</f>
        <v>2</v>
      </c>
      <c r="D41" s="7">
        <v>0</v>
      </c>
      <c r="E41" s="3">
        <f t="shared" si="12"/>
        <v>2</v>
      </c>
      <c r="F41" s="123" t="s">
        <v>867</v>
      </c>
      <c r="G41" s="77">
        <v>9.19</v>
      </c>
      <c r="H41" s="22" t="s">
        <v>0</v>
      </c>
      <c r="I41" s="78">
        <f>IF(H41="C",(G41/100)*E41,IF(H41="M",(G41/1000)*E41,G41*E41))</f>
        <v>0.18379999999999999</v>
      </c>
      <c r="J41" s="110">
        <f t="shared" si="13"/>
        <v>75</v>
      </c>
      <c r="K41" s="4">
        <v>6</v>
      </c>
      <c r="L41" s="22" t="s">
        <v>0</v>
      </c>
      <c r="M41" s="80">
        <f>IF(L41="C",(K41/100)*E41,IF(L41="M",(K41/1000)*E41,K41*E41))</f>
        <v>0.12</v>
      </c>
      <c r="N41" s="78">
        <f>M41*J41</f>
        <v>9</v>
      </c>
      <c r="O41" s="111">
        <f>N41+I41</f>
        <v>9.1837999999999997</v>
      </c>
      <c r="P41" s="125">
        <v>15</v>
      </c>
      <c r="Q41" s="4">
        <v>18.7</v>
      </c>
      <c r="R41" s="49">
        <v>22.5</v>
      </c>
      <c r="S41" s="143">
        <v>139596</v>
      </c>
    </row>
    <row r="42" spans="1:19" x14ac:dyDescent="0.25">
      <c r="A42" s="19"/>
      <c r="B42" s="17" t="s">
        <v>14</v>
      </c>
      <c r="C42" s="20">
        <f>C39*2</f>
        <v>2</v>
      </c>
      <c r="D42" s="7">
        <v>0</v>
      </c>
      <c r="E42" s="3">
        <f t="shared" si="12"/>
        <v>2</v>
      </c>
      <c r="F42" s="123" t="s">
        <v>867</v>
      </c>
      <c r="G42" s="77">
        <v>12.42</v>
      </c>
      <c r="H42" s="22" t="s">
        <v>0</v>
      </c>
      <c r="I42" s="78">
        <f>IF(H42="C",(G42/100)*E42,IF(H42="M",(G42/1000)*E42,G42*E42))</f>
        <v>0.24840000000000001</v>
      </c>
      <c r="J42" s="110">
        <f t="shared" si="13"/>
        <v>75</v>
      </c>
      <c r="K42" s="4">
        <v>3</v>
      </c>
      <c r="L42" s="22" t="s">
        <v>0</v>
      </c>
      <c r="M42" s="80">
        <f>IF(L42="C",(K42/100)*E42,IF(L42="M",(K42/1000)*E42,K42*E42))</f>
        <v>0.06</v>
      </c>
      <c r="N42" s="78">
        <f>M42*J42</f>
        <v>4.5</v>
      </c>
      <c r="O42" s="111">
        <f>N42+I42</f>
        <v>4.7484000000000002</v>
      </c>
      <c r="P42" s="125">
        <v>3.15</v>
      </c>
      <c r="Q42" s="4">
        <v>3.94</v>
      </c>
      <c r="R42" s="49">
        <v>4.92</v>
      </c>
      <c r="S42" s="143">
        <v>140193</v>
      </c>
    </row>
    <row r="43" spans="1:19" ht="15.75" thickBot="1" x14ac:dyDescent="0.3">
      <c r="A43" s="19"/>
      <c r="B43" s="231"/>
      <c r="C43" s="207"/>
      <c r="D43" s="7"/>
      <c r="E43" s="3"/>
      <c r="F43" s="123"/>
      <c r="G43" s="77"/>
      <c r="H43" s="22"/>
      <c r="I43" s="78"/>
      <c r="J43" s="110"/>
      <c r="K43" s="4"/>
      <c r="L43" s="22"/>
      <c r="M43" s="80"/>
      <c r="N43" s="78"/>
      <c r="O43" s="111"/>
      <c r="P43" s="125"/>
      <c r="Q43" s="4"/>
      <c r="R43" s="134"/>
      <c r="S43" s="143"/>
    </row>
    <row r="44" spans="1:19" ht="15.75" customHeight="1" thickBot="1" x14ac:dyDescent="0.3">
      <c r="A44" s="19">
        <v>7</v>
      </c>
      <c r="B44" s="214" t="s">
        <v>2606</v>
      </c>
      <c r="C44" s="207">
        <v>1</v>
      </c>
      <c r="D44" s="7"/>
      <c r="E44" s="3"/>
      <c r="F44" s="107"/>
      <c r="G44" s="77" t="s">
        <v>1202</v>
      </c>
      <c r="H44" s="22"/>
      <c r="I44" s="78"/>
      <c r="J44" s="21"/>
      <c r="K44" s="4"/>
      <c r="L44" s="22"/>
      <c r="M44" s="80"/>
      <c r="N44" s="78"/>
      <c r="O44" s="111"/>
      <c r="P44" s="125"/>
      <c r="Q44" s="4"/>
      <c r="R44" s="49"/>
      <c r="S44" s="143">
        <v>124455</v>
      </c>
    </row>
    <row r="45" spans="1:19" ht="15.75" customHeight="1" x14ac:dyDescent="0.25">
      <c r="A45" s="19"/>
      <c r="B45" s="216" t="s">
        <v>1151</v>
      </c>
      <c r="C45" s="20">
        <f>C44</f>
        <v>1</v>
      </c>
      <c r="D45" s="7">
        <v>0</v>
      </c>
      <c r="E45" s="3">
        <v>1</v>
      </c>
      <c r="F45" s="123" t="s">
        <v>867</v>
      </c>
      <c r="G45" s="77">
        <v>776.5</v>
      </c>
      <c r="H45" s="22" t="s">
        <v>0</v>
      </c>
      <c r="I45" s="78">
        <f>IF(H45="C",(G45/100)*E45,IF(H45="M",(G45/1000)*E45,G45*E45))</f>
        <v>7.7649999999999997</v>
      </c>
      <c r="J45" s="110">
        <f>$O$4</f>
        <v>75</v>
      </c>
      <c r="K45" s="4">
        <v>25</v>
      </c>
      <c r="L45" s="22" t="s">
        <v>0</v>
      </c>
      <c r="M45" s="80">
        <f>IF(L45="C",(K45/100)*E45,IF(L45="M",(K45/1000)*E45,K45*E45))</f>
        <v>0.25</v>
      </c>
      <c r="N45" s="78">
        <f>M45*J45</f>
        <v>18.75</v>
      </c>
      <c r="O45" s="111">
        <f>N45+I45</f>
        <v>26.515000000000001</v>
      </c>
      <c r="P45" s="125">
        <v>30</v>
      </c>
      <c r="Q45" s="4">
        <v>35</v>
      </c>
      <c r="R45" s="49">
        <v>40</v>
      </c>
      <c r="S45" s="143">
        <v>124455</v>
      </c>
    </row>
    <row r="46" spans="1:19" x14ac:dyDescent="0.25">
      <c r="A46" s="19"/>
      <c r="B46" s="17" t="s">
        <v>1152</v>
      </c>
      <c r="C46" s="20">
        <f>C45</f>
        <v>1</v>
      </c>
      <c r="D46" s="7">
        <v>0</v>
      </c>
      <c r="E46" s="3">
        <f t="shared" ref="E46:E48" si="14">C46+(C46*D46)</f>
        <v>1</v>
      </c>
      <c r="F46" s="123" t="s">
        <v>867</v>
      </c>
      <c r="G46" s="77">
        <v>449.36</v>
      </c>
      <c r="H46" s="22" t="s">
        <v>0</v>
      </c>
      <c r="I46" s="78">
        <f>IF(H46="C",(G46/100)*E46,IF(H46="M",(G46/1000)*E46,G46*E46))</f>
        <v>4.4935999999999998</v>
      </c>
      <c r="J46" s="110">
        <f t="shared" ref="J46:J48" si="15">$O$4</f>
        <v>75</v>
      </c>
      <c r="K46" s="4">
        <v>2.5</v>
      </c>
      <c r="L46" s="22" t="s">
        <v>0</v>
      </c>
      <c r="M46" s="80">
        <f>IF(L46="C",(K46/100)*E46,IF(L46="M",(K46/1000)*E46,K46*E46))</f>
        <v>2.5000000000000001E-2</v>
      </c>
      <c r="N46" s="78">
        <f>M46*J46</f>
        <v>1.875</v>
      </c>
      <c r="O46" s="111">
        <f>N46+I46</f>
        <v>6.3685999999999998</v>
      </c>
      <c r="P46" s="125">
        <v>8</v>
      </c>
      <c r="Q46" s="4">
        <v>9</v>
      </c>
      <c r="R46" s="49">
        <v>10</v>
      </c>
      <c r="S46" s="143">
        <v>124473</v>
      </c>
    </row>
    <row r="47" spans="1:19" x14ac:dyDescent="0.25">
      <c r="A47" s="19"/>
      <c r="B47" s="17" t="s">
        <v>864</v>
      </c>
      <c r="C47" s="20">
        <f>C45*2</f>
        <v>2</v>
      </c>
      <c r="D47" s="7">
        <v>0</v>
      </c>
      <c r="E47" s="3">
        <f t="shared" si="14"/>
        <v>2</v>
      </c>
      <c r="F47" s="123" t="s">
        <v>867</v>
      </c>
      <c r="G47" s="77">
        <v>9.19</v>
      </c>
      <c r="H47" s="22" t="s">
        <v>0</v>
      </c>
      <c r="I47" s="78">
        <f>IF(H47="C",(G47/100)*E47,IF(H47="M",(G47/1000)*E47,G47*E47))</f>
        <v>0.18379999999999999</v>
      </c>
      <c r="J47" s="110">
        <f t="shared" si="15"/>
        <v>75</v>
      </c>
      <c r="K47" s="4">
        <v>6</v>
      </c>
      <c r="L47" s="22" t="s">
        <v>0</v>
      </c>
      <c r="M47" s="80">
        <f>IF(L47="C",(K47/100)*E47,IF(L47="M",(K47/1000)*E47,K47*E47))</f>
        <v>0.12</v>
      </c>
      <c r="N47" s="78">
        <f>M47*J47</f>
        <v>9</v>
      </c>
      <c r="O47" s="111">
        <f>N47+I47</f>
        <v>9.1837999999999997</v>
      </c>
      <c r="P47" s="125">
        <v>15</v>
      </c>
      <c r="Q47" s="4">
        <v>18.7</v>
      </c>
      <c r="R47" s="49">
        <v>22.5</v>
      </c>
      <c r="S47" s="143">
        <v>139596</v>
      </c>
    </row>
    <row r="48" spans="1:19" x14ac:dyDescent="0.25">
      <c r="A48" s="19"/>
      <c r="B48" s="17" t="s">
        <v>14</v>
      </c>
      <c r="C48" s="20">
        <f>C45*2</f>
        <v>2</v>
      </c>
      <c r="D48" s="7">
        <v>0</v>
      </c>
      <c r="E48" s="3">
        <f t="shared" si="14"/>
        <v>2</v>
      </c>
      <c r="F48" s="123" t="s">
        <v>867</v>
      </c>
      <c r="G48" s="77">
        <v>12.42</v>
      </c>
      <c r="H48" s="22" t="s">
        <v>0</v>
      </c>
      <c r="I48" s="78">
        <f>IF(H48="C",(G48/100)*E48,IF(H48="M",(G48/1000)*E48,G48*E48))</f>
        <v>0.24840000000000001</v>
      </c>
      <c r="J48" s="110">
        <f t="shared" si="15"/>
        <v>75</v>
      </c>
      <c r="K48" s="4">
        <v>3</v>
      </c>
      <c r="L48" s="22" t="s">
        <v>0</v>
      </c>
      <c r="M48" s="80">
        <f>IF(L48="C",(K48/100)*E48,IF(L48="M",(K48/1000)*E48,K48*E48))</f>
        <v>0.06</v>
      </c>
      <c r="N48" s="78">
        <f>M48*J48</f>
        <v>4.5</v>
      </c>
      <c r="O48" s="111">
        <f>N48+I48</f>
        <v>4.7484000000000002</v>
      </c>
      <c r="P48" s="125">
        <v>3.15</v>
      </c>
      <c r="Q48" s="4">
        <v>3.94</v>
      </c>
      <c r="R48" s="49">
        <v>4.92</v>
      </c>
      <c r="S48" s="143">
        <v>140193</v>
      </c>
    </row>
    <row r="49" spans="1:19" ht="15.75" thickBot="1" x14ac:dyDescent="0.3">
      <c r="A49" s="19"/>
      <c r="B49" s="231"/>
      <c r="C49" s="207"/>
      <c r="D49" s="7"/>
      <c r="E49" s="3"/>
      <c r="F49" s="123"/>
      <c r="G49" s="77"/>
      <c r="H49" s="22"/>
      <c r="I49" s="78"/>
      <c r="J49" s="110"/>
      <c r="K49" s="4"/>
      <c r="L49" s="22"/>
      <c r="M49" s="80"/>
      <c r="N49" s="78"/>
      <c r="O49" s="111"/>
      <c r="P49" s="125"/>
      <c r="Q49" s="4"/>
      <c r="R49" s="134"/>
      <c r="S49" s="143"/>
    </row>
    <row r="50" spans="1:19" ht="15.75" thickBot="1" x14ac:dyDescent="0.3">
      <c r="A50" s="203">
        <v>8</v>
      </c>
      <c r="B50" s="201" t="s">
        <v>2599</v>
      </c>
      <c r="C50" s="208">
        <v>1</v>
      </c>
      <c r="D50" s="7"/>
      <c r="E50" s="3"/>
      <c r="F50" s="107"/>
      <c r="G50" s="77" t="s">
        <v>1202</v>
      </c>
      <c r="H50" s="22"/>
      <c r="I50" s="78"/>
      <c r="J50" s="21"/>
      <c r="K50" s="4"/>
      <c r="L50" s="22"/>
      <c r="M50" s="80"/>
      <c r="N50" s="78"/>
      <c r="O50" s="111"/>
      <c r="P50" s="4"/>
      <c r="Q50" s="4"/>
      <c r="R50" s="4"/>
      <c r="S50" s="143">
        <v>124314</v>
      </c>
    </row>
    <row r="51" spans="1:19" x14ac:dyDescent="0.25">
      <c r="A51" s="19"/>
      <c r="B51" s="200" t="s">
        <v>1224</v>
      </c>
      <c r="C51" s="151">
        <f>C50</f>
        <v>1</v>
      </c>
      <c r="D51" s="152">
        <v>0</v>
      </c>
      <c r="E51" s="153">
        <f t="shared" ref="E51" si="16">C51+(C51*D51)</f>
        <v>1</v>
      </c>
      <c r="F51" s="3" t="s">
        <v>867</v>
      </c>
      <c r="G51" s="77">
        <v>299.16000000000003</v>
      </c>
      <c r="H51" s="5" t="s">
        <v>0</v>
      </c>
      <c r="I51" s="78">
        <f t="shared" ref="I51" si="17">IF(H51="C",(G51/100)*E51,IF(H51="M",(G51/1000)*E51,G51*E51))</f>
        <v>2.9916</v>
      </c>
      <c r="J51" s="154">
        <f t="shared" ref="J51" si="18">$O$4</f>
        <v>75</v>
      </c>
      <c r="K51" s="4">
        <v>23</v>
      </c>
      <c r="L51" s="5" t="s">
        <v>0</v>
      </c>
      <c r="M51" s="80">
        <f t="shared" ref="M51" si="19">IF(L51="C",(K51/100)*E51,IF(L51="M",(K51/1000)*E51,K51*E51))</f>
        <v>0.23</v>
      </c>
      <c r="N51" s="78">
        <f t="shared" ref="N51" si="20">M51*J51</f>
        <v>17.25</v>
      </c>
      <c r="O51" s="111">
        <f t="shared" ref="O51" si="21">N51+I51</f>
        <v>20.241599999999998</v>
      </c>
      <c r="P51" s="4">
        <v>30</v>
      </c>
      <c r="Q51" s="4">
        <v>35</v>
      </c>
      <c r="R51" s="4">
        <v>40</v>
      </c>
      <c r="S51" s="143">
        <v>124314</v>
      </c>
    </row>
    <row r="52" spans="1:19" x14ac:dyDescent="0.25">
      <c r="A52" s="19"/>
      <c r="B52" s="17" t="s">
        <v>1149</v>
      </c>
      <c r="C52" s="223">
        <f>C51</f>
        <v>1</v>
      </c>
      <c r="D52" s="7">
        <v>0</v>
      </c>
      <c r="E52" s="3">
        <f t="shared" ref="E52:E53" si="22">C52+(C52*D52)</f>
        <v>1</v>
      </c>
      <c r="F52" s="123" t="s">
        <v>867</v>
      </c>
      <c r="G52" s="77">
        <v>98.78</v>
      </c>
      <c r="H52" s="22" t="s">
        <v>0</v>
      </c>
      <c r="I52" s="78">
        <f>IF(H52="C",(G52/100)*E52,IF(H52="M",(G52/1000)*E52,G52*E52))</f>
        <v>0.98780000000000001</v>
      </c>
      <c r="J52" s="110">
        <f t="shared" ref="J52:J53" si="23">$O$4</f>
        <v>75</v>
      </c>
      <c r="K52" s="4">
        <v>2.5</v>
      </c>
      <c r="L52" s="22" t="s">
        <v>0</v>
      </c>
      <c r="M52" s="80">
        <f>IF(L52="C",(K52/100)*E52,IF(L52="M",(K52/1000)*E52,K52*E52))</f>
        <v>2.5000000000000001E-2</v>
      </c>
      <c r="N52" s="78">
        <f>M52*J52</f>
        <v>1.875</v>
      </c>
      <c r="O52" s="111">
        <f>N52+I52</f>
        <v>2.8628</v>
      </c>
      <c r="P52" s="125">
        <v>8</v>
      </c>
      <c r="Q52" s="4">
        <v>9</v>
      </c>
      <c r="R52" s="49">
        <v>10</v>
      </c>
      <c r="S52" s="143">
        <v>124377</v>
      </c>
    </row>
    <row r="53" spans="1:19" x14ac:dyDescent="0.25">
      <c r="A53" s="19"/>
      <c r="B53" s="17" t="s">
        <v>1225</v>
      </c>
      <c r="C53" s="20">
        <f>C51*2</f>
        <v>2</v>
      </c>
      <c r="D53" s="7">
        <v>0</v>
      </c>
      <c r="E53" s="3">
        <f t="shared" si="22"/>
        <v>2</v>
      </c>
      <c r="F53" s="85" t="s">
        <v>867</v>
      </c>
      <c r="G53" s="77">
        <v>6.25</v>
      </c>
      <c r="H53" s="22" t="s">
        <v>0</v>
      </c>
      <c r="I53" s="78">
        <f t="shared" ref="I53" si="24">IF(H53="C",(G53/100)*E53,IF(H53="M",(G53/1000)*E53,G53*E53))</f>
        <v>0.125</v>
      </c>
      <c r="J53" s="110">
        <f t="shared" si="23"/>
        <v>75</v>
      </c>
      <c r="K53" s="4">
        <v>2.8</v>
      </c>
      <c r="L53" s="22" t="s">
        <v>0</v>
      </c>
      <c r="M53" s="80">
        <f t="shared" ref="M53" si="25">IF(L53="C",(K53/100)*E53,IF(L53="M",(K53/1000)*E53,K53*E53))</f>
        <v>5.5999999999999994E-2</v>
      </c>
      <c r="N53" s="78">
        <f t="shared" ref="N53" si="26">M53*J53</f>
        <v>4.1999999999999993</v>
      </c>
      <c r="O53" s="111">
        <f t="shared" ref="O53" si="27">N53+I53</f>
        <v>4.3249999999999993</v>
      </c>
      <c r="P53" s="4">
        <v>3.1</v>
      </c>
      <c r="Q53" s="4">
        <v>3.88</v>
      </c>
      <c r="R53" s="4">
        <v>4.84</v>
      </c>
      <c r="S53" s="143">
        <v>140193</v>
      </c>
    </row>
    <row r="54" spans="1:19" x14ac:dyDescent="0.25">
      <c r="A54" s="19"/>
      <c r="B54" s="17"/>
      <c r="C54" s="20"/>
      <c r="D54" s="7"/>
      <c r="E54" s="3"/>
      <c r="F54" s="107"/>
      <c r="G54" s="77" t="s">
        <v>1202</v>
      </c>
      <c r="H54" s="22"/>
      <c r="I54" s="78"/>
      <c r="J54" s="21"/>
      <c r="K54" s="4"/>
      <c r="L54" s="22"/>
      <c r="M54" s="80"/>
      <c r="N54" s="78"/>
      <c r="O54" s="111"/>
      <c r="P54" s="125"/>
      <c r="Q54" s="4"/>
      <c r="R54" s="49"/>
      <c r="S54" s="143"/>
    </row>
    <row r="55" spans="1:19" x14ac:dyDescent="0.25">
      <c r="A55" s="19">
        <v>9</v>
      </c>
      <c r="B55" s="17" t="s">
        <v>1153</v>
      </c>
      <c r="C55" s="20">
        <v>1</v>
      </c>
      <c r="D55" s="7">
        <v>0</v>
      </c>
      <c r="E55" s="3">
        <v>1</v>
      </c>
      <c r="F55" s="123" t="s">
        <v>867</v>
      </c>
      <c r="G55" s="77">
        <v>14.39</v>
      </c>
      <c r="H55" s="22" t="s">
        <v>1</v>
      </c>
      <c r="I55" s="78">
        <f>IF(H55="C",(G55/100)*E55,IF(H55="M",(G55/1000)*E55,G55*E55))</f>
        <v>14.39</v>
      </c>
      <c r="J55" s="110">
        <f t="shared" ref="J55:J56" si="28">$O$4</f>
        <v>75</v>
      </c>
      <c r="K55" s="4">
        <v>0.6</v>
      </c>
      <c r="L55" s="22" t="s">
        <v>1</v>
      </c>
      <c r="M55" s="80">
        <f>IF(L55="C",(K55/100)*E55,IF(L55="M",(K55/1000)*E55,K55*E55))</f>
        <v>0.6</v>
      </c>
      <c r="N55" s="78">
        <f>M55*J55</f>
        <v>45</v>
      </c>
      <c r="O55" s="111">
        <f>N55+I55</f>
        <v>59.39</v>
      </c>
      <c r="P55" s="125">
        <v>1.1000000000000001</v>
      </c>
      <c r="Q55" s="4">
        <v>1.35</v>
      </c>
      <c r="R55" s="49">
        <v>1.8</v>
      </c>
      <c r="S55" s="143">
        <v>124761</v>
      </c>
    </row>
    <row r="56" spans="1:19" x14ac:dyDescent="0.25">
      <c r="A56" s="19"/>
      <c r="B56" s="27" t="s">
        <v>1161</v>
      </c>
      <c r="C56" s="20">
        <f>2*C55</f>
        <v>2</v>
      </c>
      <c r="D56" s="7">
        <v>0</v>
      </c>
      <c r="E56" s="3">
        <v>1</v>
      </c>
      <c r="F56" s="123" t="s">
        <v>867</v>
      </c>
      <c r="G56" s="77">
        <v>0</v>
      </c>
      <c r="H56" s="22" t="s">
        <v>0</v>
      </c>
      <c r="I56" s="78">
        <f>IF(H56="C",(G56/100)*E56,IF(H56="M",(G56/1000)*E56,G56*E56))</f>
        <v>0</v>
      </c>
      <c r="J56" s="110">
        <f t="shared" si="28"/>
        <v>75</v>
      </c>
      <c r="K56" s="4">
        <v>8</v>
      </c>
      <c r="L56" s="22" t="s">
        <v>0</v>
      </c>
      <c r="M56" s="80">
        <f>IF(L56="C",(K56/100)*E56,IF(L56="M",(K56/1000)*E56,K56*E56))</f>
        <v>0.08</v>
      </c>
      <c r="N56" s="78">
        <f>M56*J56</f>
        <v>6</v>
      </c>
      <c r="O56" s="111">
        <f>N56+I56</f>
        <v>6</v>
      </c>
      <c r="P56" s="125">
        <v>16</v>
      </c>
      <c r="Q56" s="4">
        <v>20</v>
      </c>
      <c r="R56" s="49">
        <v>24</v>
      </c>
      <c r="S56" s="143">
        <v>139605</v>
      </c>
    </row>
    <row r="57" spans="1:19" x14ac:dyDescent="0.25">
      <c r="A57" s="19"/>
      <c r="B57" s="17"/>
      <c r="C57" s="20"/>
      <c r="D57" s="7"/>
      <c r="E57" s="3"/>
      <c r="F57" s="107"/>
      <c r="G57" s="77" t="s">
        <v>1202</v>
      </c>
      <c r="H57" s="22"/>
      <c r="I57" s="78"/>
      <c r="J57" s="21"/>
      <c r="K57" s="4"/>
      <c r="L57" s="22"/>
      <c r="M57" s="80"/>
      <c r="N57" s="78"/>
      <c r="O57" s="111"/>
      <c r="P57" s="125"/>
      <c r="Q57" s="4"/>
      <c r="R57" s="49"/>
      <c r="S57" s="143"/>
    </row>
    <row r="58" spans="1:19" x14ac:dyDescent="0.25">
      <c r="A58" s="19">
        <v>10</v>
      </c>
      <c r="B58" s="17" t="s">
        <v>1154</v>
      </c>
      <c r="C58" s="20">
        <v>1</v>
      </c>
      <c r="D58" s="7">
        <v>0</v>
      </c>
      <c r="E58" s="3">
        <v>1</v>
      </c>
      <c r="F58" s="123" t="s">
        <v>867</v>
      </c>
      <c r="G58" s="77">
        <v>19.760000000000002</v>
      </c>
      <c r="H58" s="22" t="s">
        <v>1</v>
      </c>
      <c r="I58" s="78">
        <f>IF(H58="C",(G58/100)*E58,IF(H58="M",(G58/1000)*E58,G58*E58))</f>
        <v>19.760000000000002</v>
      </c>
      <c r="J58" s="110">
        <f t="shared" ref="J58:J59" si="29">$O$4</f>
        <v>75</v>
      </c>
      <c r="K58" s="4">
        <v>0.6</v>
      </c>
      <c r="L58" s="22" t="s">
        <v>1</v>
      </c>
      <c r="M58" s="80">
        <f>IF(L58="C",(K58/100)*E58,IF(L58="M",(K58/1000)*E58,K58*E58))</f>
        <v>0.6</v>
      </c>
      <c r="N58" s="78">
        <f>M58*J58</f>
        <v>45</v>
      </c>
      <c r="O58" s="111">
        <f>N58+I58</f>
        <v>64.760000000000005</v>
      </c>
      <c r="P58" s="125">
        <v>1.1000000000000001</v>
      </c>
      <c r="Q58" s="4">
        <v>1.35</v>
      </c>
      <c r="R58" s="49">
        <v>1.8</v>
      </c>
      <c r="S58" s="143">
        <v>124764</v>
      </c>
    </row>
    <row r="59" spans="1:19" x14ac:dyDescent="0.25">
      <c r="A59" s="19"/>
      <c r="B59" s="27" t="s">
        <v>1161</v>
      </c>
      <c r="C59" s="20">
        <f>2*C58</f>
        <v>2</v>
      </c>
      <c r="D59" s="7">
        <v>0</v>
      </c>
      <c r="E59" s="3">
        <v>1</v>
      </c>
      <c r="F59" s="123" t="s">
        <v>867</v>
      </c>
      <c r="G59" s="77">
        <v>0</v>
      </c>
      <c r="H59" s="22" t="s">
        <v>0</v>
      </c>
      <c r="I59" s="78">
        <f>IF(H59="C",(G59/100)*E59,IF(H59="M",(G59/1000)*E59,G59*E59))</f>
        <v>0</v>
      </c>
      <c r="J59" s="110">
        <f t="shared" si="29"/>
        <v>75</v>
      </c>
      <c r="K59" s="4">
        <v>8</v>
      </c>
      <c r="L59" s="22" t="s">
        <v>0</v>
      </c>
      <c r="M59" s="80">
        <f>IF(L59="C",(K59/100)*E59,IF(L59="M",(K59/1000)*E59,K59*E59))</f>
        <v>0.08</v>
      </c>
      <c r="N59" s="78">
        <f>M59*J59</f>
        <v>6</v>
      </c>
      <c r="O59" s="111">
        <f>N59+I59</f>
        <v>6</v>
      </c>
      <c r="P59" s="125">
        <v>16</v>
      </c>
      <c r="Q59" s="4">
        <v>20</v>
      </c>
      <c r="R59" s="49">
        <v>24</v>
      </c>
      <c r="S59" s="143">
        <v>139605</v>
      </c>
    </row>
    <row r="60" spans="1:19" x14ac:dyDescent="0.25">
      <c r="A60" s="19"/>
      <c r="B60" s="17"/>
      <c r="C60" s="20"/>
      <c r="D60" s="7"/>
      <c r="E60" s="3"/>
      <c r="F60" s="107"/>
      <c r="G60" s="77" t="s">
        <v>1202</v>
      </c>
      <c r="H60" s="22"/>
      <c r="I60" s="78"/>
      <c r="J60" s="21"/>
      <c r="K60" s="4"/>
      <c r="L60" s="22"/>
      <c r="M60" s="80"/>
      <c r="N60" s="78"/>
      <c r="O60" s="111"/>
      <c r="P60" s="125"/>
      <c r="Q60" s="4"/>
      <c r="R60" s="49"/>
      <c r="S60" s="143"/>
    </row>
    <row r="61" spans="1:19" x14ac:dyDescent="0.25">
      <c r="A61" s="19">
        <v>11</v>
      </c>
      <c r="B61" s="17" t="s">
        <v>1155</v>
      </c>
      <c r="C61" s="20">
        <v>1</v>
      </c>
      <c r="D61" s="7">
        <v>0</v>
      </c>
      <c r="E61" s="3">
        <v>1</v>
      </c>
      <c r="F61" s="123" t="s">
        <v>867</v>
      </c>
      <c r="G61" s="77">
        <v>25.59</v>
      </c>
      <c r="H61" s="22" t="s">
        <v>1</v>
      </c>
      <c r="I61" s="78">
        <f>IF(H61="C",(G61/100)*E61,IF(H61="M",(G61/1000)*E61,G61*E61))</f>
        <v>25.59</v>
      </c>
      <c r="J61" s="110">
        <f t="shared" ref="J61:J62" si="30">$O$4</f>
        <v>75</v>
      </c>
      <c r="K61" s="4">
        <v>0.7</v>
      </c>
      <c r="L61" s="22" t="s">
        <v>1</v>
      </c>
      <c r="M61" s="80">
        <f>IF(L61="C",(K61/100)*E61,IF(L61="M",(K61/1000)*E61,K61*E61))</f>
        <v>0.7</v>
      </c>
      <c r="N61" s="78">
        <f>M61*J61</f>
        <v>52.5</v>
      </c>
      <c r="O61" s="111">
        <f>N61+I61</f>
        <v>78.09</v>
      </c>
      <c r="P61" s="125">
        <v>1.1499999999999999</v>
      </c>
      <c r="Q61" s="4">
        <v>1.4</v>
      </c>
      <c r="R61" s="49">
        <v>1.9</v>
      </c>
      <c r="S61" s="143">
        <v>124767</v>
      </c>
    </row>
    <row r="62" spans="1:19" x14ac:dyDescent="0.25">
      <c r="A62" s="19"/>
      <c r="B62" s="27" t="s">
        <v>1161</v>
      </c>
      <c r="C62" s="20">
        <f>2*C61</f>
        <v>2</v>
      </c>
      <c r="D62" s="7">
        <v>0</v>
      </c>
      <c r="E62" s="3">
        <v>1</v>
      </c>
      <c r="F62" s="123" t="s">
        <v>867</v>
      </c>
      <c r="G62" s="77">
        <v>0</v>
      </c>
      <c r="H62" s="22" t="s">
        <v>0</v>
      </c>
      <c r="I62" s="78">
        <f>IF(H62="C",(G62/100)*E62,IF(H62="M",(G62/1000)*E62,G62*E62))</f>
        <v>0</v>
      </c>
      <c r="J62" s="110">
        <f t="shared" si="30"/>
        <v>75</v>
      </c>
      <c r="K62" s="4">
        <v>8</v>
      </c>
      <c r="L62" s="22" t="s">
        <v>0</v>
      </c>
      <c r="M62" s="80">
        <f>IF(L62="C",(K62/100)*E62,IF(L62="M",(K62/1000)*E62,K62*E62))</f>
        <v>0.08</v>
      </c>
      <c r="N62" s="78">
        <f>M62*J62</f>
        <v>6</v>
      </c>
      <c r="O62" s="111">
        <f>N62+I62</f>
        <v>6</v>
      </c>
      <c r="P62" s="125">
        <v>16</v>
      </c>
      <c r="Q62" s="4">
        <v>20</v>
      </c>
      <c r="R62" s="49">
        <v>24</v>
      </c>
      <c r="S62" s="143">
        <v>139605</v>
      </c>
    </row>
    <row r="63" spans="1:19" x14ac:dyDescent="0.25">
      <c r="A63" s="19"/>
      <c r="B63" s="17"/>
      <c r="C63" s="20"/>
      <c r="D63" s="7"/>
      <c r="E63" s="3"/>
      <c r="F63" s="107"/>
      <c r="G63" s="77" t="s">
        <v>1202</v>
      </c>
      <c r="H63" s="22"/>
      <c r="I63" s="78"/>
      <c r="J63" s="21"/>
      <c r="K63" s="4"/>
      <c r="L63" s="22"/>
      <c r="M63" s="80"/>
      <c r="N63" s="78"/>
      <c r="O63" s="111"/>
      <c r="P63" s="125"/>
      <c r="Q63" s="4"/>
      <c r="R63" s="49"/>
      <c r="S63" s="143"/>
    </row>
    <row r="64" spans="1:19" x14ac:dyDescent="0.25">
      <c r="A64" s="19">
        <v>12</v>
      </c>
      <c r="B64" s="17" t="s">
        <v>1156</v>
      </c>
      <c r="C64" s="20">
        <v>1</v>
      </c>
      <c r="D64" s="7">
        <v>0</v>
      </c>
      <c r="E64" s="3">
        <v>1</v>
      </c>
      <c r="F64" s="252" t="s">
        <v>867</v>
      </c>
      <c r="G64" s="77">
        <v>32.36</v>
      </c>
      <c r="H64" s="22" t="s">
        <v>1</v>
      </c>
      <c r="I64" s="78">
        <f>IF(H64="C",(G64/100)*E64,IF(H64="M",(G64/1000)*E64,G64*E64))</f>
        <v>32.36</v>
      </c>
      <c r="J64" s="110">
        <f t="shared" ref="J64:J65" si="31">$O$4</f>
        <v>75</v>
      </c>
      <c r="K64" s="4">
        <v>0.8</v>
      </c>
      <c r="L64" s="22" t="s">
        <v>1</v>
      </c>
      <c r="M64" s="80">
        <f>IF(L64="C",(K64/100)*E64,IF(L64="M",(K64/1000)*E64,K64*E64))</f>
        <v>0.8</v>
      </c>
      <c r="N64" s="78">
        <f>M64*J64</f>
        <v>60</v>
      </c>
      <c r="O64" s="111">
        <f>N64+I64</f>
        <v>92.36</v>
      </c>
      <c r="P64" s="125">
        <v>1.25</v>
      </c>
      <c r="Q64" s="4">
        <v>1.6</v>
      </c>
      <c r="R64" s="49">
        <v>2.15</v>
      </c>
      <c r="S64" s="143">
        <v>124770</v>
      </c>
    </row>
    <row r="65" spans="1:19" x14ac:dyDescent="0.25">
      <c r="A65" s="19"/>
      <c r="B65" s="27" t="s">
        <v>1161</v>
      </c>
      <c r="C65" s="20">
        <f>2*C64</f>
        <v>2</v>
      </c>
      <c r="D65" s="7">
        <v>0</v>
      </c>
      <c r="E65" s="3">
        <v>1</v>
      </c>
      <c r="F65" s="123" t="s">
        <v>867</v>
      </c>
      <c r="G65" s="77">
        <v>0</v>
      </c>
      <c r="H65" s="22" t="s">
        <v>0</v>
      </c>
      <c r="I65" s="78">
        <f>IF(H65="C",(G65/100)*E65,IF(H65="M",(G65/1000)*E65,G65*E65))</f>
        <v>0</v>
      </c>
      <c r="J65" s="110">
        <f t="shared" si="31"/>
        <v>75</v>
      </c>
      <c r="K65" s="4">
        <v>8</v>
      </c>
      <c r="L65" s="22" t="s">
        <v>0</v>
      </c>
      <c r="M65" s="80">
        <f>IF(L65="C",(K65/100)*E65,IF(L65="M",(K65/1000)*E65,K65*E65))</f>
        <v>0.08</v>
      </c>
      <c r="N65" s="78">
        <f>M65*J65</f>
        <v>6</v>
      </c>
      <c r="O65" s="111">
        <f>N65+I65</f>
        <v>6</v>
      </c>
      <c r="P65" s="125">
        <v>16</v>
      </c>
      <c r="Q65" s="4">
        <v>20</v>
      </c>
      <c r="R65" s="49">
        <v>24</v>
      </c>
      <c r="S65" s="143">
        <v>139605</v>
      </c>
    </row>
    <row r="66" spans="1:19" x14ac:dyDescent="0.25">
      <c r="A66" s="19"/>
      <c r="B66" s="17"/>
      <c r="C66" s="20"/>
      <c r="D66" s="7"/>
      <c r="E66" s="3"/>
      <c r="F66" s="107"/>
      <c r="G66" s="77" t="s">
        <v>1202</v>
      </c>
      <c r="H66" s="22"/>
      <c r="I66" s="78"/>
      <c r="J66" s="21"/>
      <c r="K66" s="4"/>
      <c r="L66" s="22"/>
      <c r="M66" s="80"/>
      <c r="N66" s="78"/>
      <c r="O66" s="111"/>
      <c r="P66" s="125"/>
      <c r="Q66" s="4"/>
      <c r="R66" s="49"/>
      <c r="S66" s="143"/>
    </row>
    <row r="67" spans="1:19" x14ac:dyDescent="0.25">
      <c r="A67" s="19">
        <v>13</v>
      </c>
      <c r="B67" s="17" t="s">
        <v>1157</v>
      </c>
      <c r="C67" s="20">
        <v>1</v>
      </c>
      <c r="D67" s="7">
        <v>0</v>
      </c>
      <c r="E67" s="3">
        <v>1</v>
      </c>
      <c r="F67" s="123" t="s">
        <v>867</v>
      </c>
      <c r="G67" s="77">
        <v>57.94</v>
      </c>
      <c r="H67" s="22" t="s">
        <v>1</v>
      </c>
      <c r="I67" s="78">
        <f>IF(H67="C",(G67/100)*E67,IF(H67="M",(G67/1000)*E67,G67*E67))</f>
        <v>57.94</v>
      </c>
      <c r="J67" s="110">
        <f t="shared" ref="J67:J68" si="32">$O$4</f>
        <v>75</v>
      </c>
      <c r="K67" s="4">
        <v>1.1000000000000001</v>
      </c>
      <c r="L67" s="22" t="s">
        <v>1</v>
      </c>
      <c r="M67" s="80">
        <f>IF(L67="C",(K67/100)*E67,IF(L67="M",(K67/1000)*E67,K67*E67))</f>
        <v>1.1000000000000001</v>
      </c>
      <c r="N67" s="78">
        <f>M67*J67</f>
        <v>82.5</v>
      </c>
      <c r="O67" s="111">
        <f>N67+I67</f>
        <v>140.44</v>
      </c>
      <c r="P67" s="125">
        <v>1.5</v>
      </c>
      <c r="Q67" s="4">
        <v>2</v>
      </c>
      <c r="R67" s="49">
        <v>3</v>
      </c>
      <c r="S67" s="143">
        <v>124773</v>
      </c>
    </row>
    <row r="68" spans="1:19" x14ac:dyDescent="0.25">
      <c r="A68" s="19"/>
      <c r="B68" s="17" t="s">
        <v>87</v>
      </c>
      <c r="C68" s="20">
        <f>4*C67</f>
        <v>4</v>
      </c>
      <c r="D68" s="7">
        <v>0</v>
      </c>
      <c r="E68" s="3">
        <v>1</v>
      </c>
      <c r="F68" s="123" t="s">
        <v>867</v>
      </c>
      <c r="G68" s="77">
        <v>0</v>
      </c>
      <c r="H68" s="22" t="s">
        <v>0</v>
      </c>
      <c r="I68" s="78">
        <f>IF(H68="C",(G68/100)*E68,IF(H68="M",(G68/1000)*E68,G68*E68))</f>
        <v>0</v>
      </c>
      <c r="J68" s="110">
        <f t="shared" si="32"/>
        <v>75</v>
      </c>
      <c r="K68" s="4">
        <v>12</v>
      </c>
      <c r="L68" s="22" t="s">
        <v>0</v>
      </c>
      <c r="M68" s="80">
        <f>IF(L68="C",(K68/100)*E68,IF(L68="M",(K68/1000)*E68,K68*E68))</f>
        <v>0.12</v>
      </c>
      <c r="N68" s="78">
        <f>M68*J68</f>
        <v>9</v>
      </c>
      <c r="O68" s="111">
        <f>N68+I68</f>
        <v>9</v>
      </c>
      <c r="P68" s="125">
        <v>18</v>
      </c>
      <c r="Q68" s="4">
        <v>22.5</v>
      </c>
      <c r="R68" s="49">
        <v>27</v>
      </c>
      <c r="S68" s="143">
        <v>139608</v>
      </c>
    </row>
    <row r="69" spans="1:19" x14ac:dyDescent="0.25">
      <c r="A69" s="19"/>
      <c r="B69" s="17"/>
      <c r="C69" s="20"/>
      <c r="D69" s="7"/>
      <c r="E69" s="3"/>
      <c r="F69" s="107"/>
      <c r="G69" s="77" t="s">
        <v>1202</v>
      </c>
      <c r="H69" s="22"/>
      <c r="I69" s="78"/>
      <c r="J69" s="21"/>
      <c r="K69" s="4"/>
      <c r="L69" s="22"/>
      <c r="M69" s="80"/>
      <c r="N69" s="78"/>
      <c r="O69" s="111"/>
      <c r="P69" s="125"/>
      <c r="Q69" s="4"/>
      <c r="R69" s="49"/>
      <c r="S69" s="143"/>
    </row>
    <row r="70" spans="1:19" x14ac:dyDescent="0.25">
      <c r="A70" s="19">
        <v>14</v>
      </c>
      <c r="B70" s="17" t="s">
        <v>1158</v>
      </c>
      <c r="C70" s="20">
        <v>1</v>
      </c>
      <c r="D70" s="7">
        <v>0</v>
      </c>
      <c r="E70" s="3">
        <v>1</v>
      </c>
      <c r="F70" s="123" t="s">
        <v>867</v>
      </c>
      <c r="G70" s="77">
        <v>141.58000000000001</v>
      </c>
      <c r="H70" s="22" t="s">
        <v>1</v>
      </c>
      <c r="I70" s="78">
        <f>IF(H70="C",(G70/100)*E70,IF(H70="M",(G70/1000)*E70,G70*E70))</f>
        <v>141.58000000000001</v>
      </c>
      <c r="J70" s="110">
        <f t="shared" ref="J70:J71" si="33">$O$4</f>
        <v>75</v>
      </c>
      <c r="K70" s="4">
        <v>1.8</v>
      </c>
      <c r="L70" s="22" t="s">
        <v>1</v>
      </c>
      <c r="M70" s="80">
        <f>IF(L70="C",(K70/100)*E70,IF(L70="M",(K70/1000)*E70,K70*E70))</f>
        <v>1.8</v>
      </c>
      <c r="N70" s="78">
        <f>M70*J70</f>
        <v>135</v>
      </c>
      <c r="O70" s="111">
        <f>N70+I70</f>
        <v>276.58000000000004</v>
      </c>
      <c r="P70" s="125">
        <v>2.75</v>
      </c>
      <c r="Q70" s="4">
        <v>3.5</v>
      </c>
      <c r="R70" s="49">
        <v>4</v>
      </c>
      <c r="S70" s="143">
        <v>124776</v>
      </c>
    </row>
    <row r="71" spans="1:19" x14ac:dyDescent="0.25">
      <c r="A71" s="19"/>
      <c r="B71" s="17" t="s">
        <v>87</v>
      </c>
      <c r="C71" s="20">
        <f>4*C70</f>
        <v>4</v>
      </c>
      <c r="D71" s="7">
        <v>0</v>
      </c>
      <c r="E71" s="3">
        <v>1</v>
      </c>
      <c r="F71" s="123" t="s">
        <v>867</v>
      </c>
      <c r="G71" s="77">
        <v>0</v>
      </c>
      <c r="H71" s="22" t="s">
        <v>0</v>
      </c>
      <c r="I71" s="78">
        <f>IF(H71="C",(G71/100)*E71,IF(H71="M",(G71/1000)*E71,G71*E71))</f>
        <v>0</v>
      </c>
      <c r="J71" s="110">
        <f t="shared" si="33"/>
        <v>75</v>
      </c>
      <c r="K71" s="4">
        <v>12</v>
      </c>
      <c r="L71" s="22" t="s">
        <v>0</v>
      </c>
      <c r="M71" s="80">
        <f>IF(L71="C",(K71/100)*E71,IF(L71="M",(K71/1000)*E71,K71*E71))</f>
        <v>0.12</v>
      </c>
      <c r="N71" s="78">
        <f>M71*J71</f>
        <v>9</v>
      </c>
      <c r="O71" s="111">
        <f>N71+I71</f>
        <v>9</v>
      </c>
      <c r="P71" s="125">
        <v>18</v>
      </c>
      <c r="Q71" s="4">
        <v>22.5</v>
      </c>
      <c r="R71" s="49">
        <v>27</v>
      </c>
      <c r="S71" s="143">
        <v>139608</v>
      </c>
    </row>
    <row r="72" spans="1:19" x14ac:dyDescent="0.25">
      <c r="A72" s="19"/>
      <c r="B72" s="17"/>
      <c r="C72" s="20"/>
      <c r="D72" s="7"/>
      <c r="E72" s="3"/>
      <c r="F72" s="107"/>
      <c r="G72" s="77" t="s">
        <v>1202</v>
      </c>
      <c r="H72" s="22"/>
      <c r="I72" s="78"/>
      <c r="J72" s="21"/>
      <c r="K72" s="4"/>
      <c r="L72" s="22"/>
      <c r="M72" s="80"/>
      <c r="N72" s="78"/>
      <c r="O72" s="111"/>
      <c r="P72" s="125"/>
      <c r="Q72" s="4"/>
      <c r="R72" s="49"/>
      <c r="S72" s="143"/>
    </row>
    <row r="73" spans="1:19" x14ac:dyDescent="0.25">
      <c r="A73" s="19">
        <v>15</v>
      </c>
      <c r="B73" s="17" t="s">
        <v>1159</v>
      </c>
      <c r="C73" s="20">
        <v>1</v>
      </c>
      <c r="D73" s="7">
        <v>0</v>
      </c>
      <c r="E73" s="3">
        <v>1</v>
      </c>
      <c r="F73" s="123" t="s">
        <v>867</v>
      </c>
      <c r="G73" s="77">
        <v>597.91</v>
      </c>
      <c r="H73" s="22" t="s">
        <v>1</v>
      </c>
      <c r="I73" s="78">
        <f>IF(H73="C",(G73/100)*E73,IF(H73="M",(G73/1000)*E73,G73*E73))</f>
        <v>597.91</v>
      </c>
      <c r="J73" s="110">
        <f t="shared" ref="J73:J74" si="34">$O$4</f>
        <v>75</v>
      </c>
      <c r="K73" s="4">
        <v>3</v>
      </c>
      <c r="L73" s="22" t="s">
        <v>1</v>
      </c>
      <c r="M73" s="80">
        <f>IF(L73="C",(K73/100)*E73,IF(L73="M",(K73/1000)*E73,K73*E73))</f>
        <v>3</v>
      </c>
      <c r="N73" s="78">
        <f>M73*J73</f>
        <v>225</v>
      </c>
      <c r="O73" s="111">
        <f>N73+I73</f>
        <v>822.91</v>
      </c>
      <c r="P73" s="125">
        <v>0</v>
      </c>
      <c r="Q73" s="4">
        <v>0</v>
      </c>
      <c r="R73" s="49">
        <v>0</v>
      </c>
      <c r="S73" s="143">
        <v>124779</v>
      </c>
    </row>
    <row r="74" spans="1:19" x14ac:dyDescent="0.25">
      <c r="A74" s="19"/>
      <c r="B74" s="17" t="s">
        <v>87</v>
      </c>
      <c r="C74" s="20">
        <f>4*C73</f>
        <v>4</v>
      </c>
      <c r="D74" s="7">
        <v>0</v>
      </c>
      <c r="E74" s="3">
        <v>1</v>
      </c>
      <c r="F74" s="123" t="s">
        <v>867</v>
      </c>
      <c r="G74" s="77">
        <v>0</v>
      </c>
      <c r="H74" s="22" t="s">
        <v>0</v>
      </c>
      <c r="I74" s="78">
        <f>IF(H74="C",(G74/100)*E74,IF(H74="M",(G74/1000)*E74,G74*E74))</f>
        <v>0</v>
      </c>
      <c r="J74" s="110">
        <f t="shared" si="34"/>
        <v>75</v>
      </c>
      <c r="K74" s="4">
        <v>12</v>
      </c>
      <c r="L74" s="22" t="s">
        <v>0</v>
      </c>
      <c r="M74" s="80">
        <f>IF(L74="C",(K74/100)*E74,IF(L74="M",(K74/1000)*E74,K74*E74))</f>
        <v>0.12</v>
      </c>
      <c r="N74" s="78">
        <f>M74*J74</f>
        <v>9</v>
      </c>
      <c r="O74" s="111">
        <f>N74+I74</f>
        <v>9</v>
      </c>
      <c r="P74" s="125">
        <v>18</v>
      </c>
      <c r="Q74" s="4">
        <v>22.5</v>
      </c>
      <c r="R74" s="49">
        <v>27</v>
      </c>
      <c r="S74" s="143">
        <v>139608</v>
      </c>
    </row>
    <row r="75" spans="1:19" ht="15.75" thickBot="1" x14ac:dyDescent="0.3">
      <c r="A75" s="126"/>
      <c r="B75" s="127"/>
      <c r="C75" s="128"/>
      <c r="D75" s="61"/>
      <c r="E75" s="62"/>
      <c r="F75" s="129"/>
      <c r="G75" s="113"/>
      <c r="H75" s="130"/>
      <c r="I75" s="114"/>
      <c r="J75" s="131"/>
      <c r="K75" s="28"/>
      <c r="L75" s="130"/>
      <c r="M75" s="116"/>
      <c r="N75" s="114"/>
      <c r="O75" s="132"/>
      <c r="P75" s="94"/>
      <c r="Q75" s="28"/>
      <c r="R75" s="52"/>
      <c r="S75" s="144"/>
    </row>
  </sheetData>
  <mergeCells count="1">
    <mergeCell ref="M4:N4"/>
  </mergeCells>
  <pageMargins left="0.7" right="0.7" top="0.75" bottom="0.75" header="0.3" footer="0.3"/>
  <pageSetup scale="46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83"/>
  <sheetViews>
    <sheetView view="pageBreakPreview" zoomScale="90" zoomScaleNormal="85" zoomScaleSheetLayoutView="90" workbookViewId="0">
      <selection activeCell="A10" sqref="A10:XFD11"/>
    </sheetView>
  </sheetViews>
  <sheetFormatPr defaultColWidth="9.140625" defaultRowHeight="15" x14ac:dyDescent="0.25"/>
  <cols>
    <col min="1" max="1" width="5.7109375" style="2" customWidth="1"/>
    <col min="2" max="2" width="60.28515625" style="1" customWidth="1"/>
    <col min="3" max="3" width="10" style="2" bestFit="1" customWidth="1"/>
    <col min="4" max="5" width="9.85546875" style="2" bestFit="1" customWidth="1"/>
    <col min="6" max="6" width="5.42578125" style="2" bestFit="1" customWidth="1"/>
    <col min="7" max="7" width="9.140625" style="10" bestFit="1" customWidth="1"/>
    <col min="8" max="8" width="5.28515625" style="2" bestFit="1" customWidth="1"/>
    <col min="9" max="9" width="10.42578125" style="10" bestFit="1" customWidth="1"/>
    <col min="10" max="10" width="7.42578125" style="10" bestFit="1" customWidth="1"/>
    <col min="11" max="11" width="7.42578125" style="46" bestFit="1" customWidth="1"/>
    <col min="12" max="12" width="5.85546875" style="2" bestFit="1" customWidth="1"/>
    <col min="13" max="13" width="7.28515625" style="46" bestFit="1" customWidth="1"/>
    <col min="14" max="14" width="7.42578125" style="1" bestFit="1" customWidth="1"/>
    <col min="15" max="15" width="8.42578125" style="1" bestFit="1" customWidth="1"/>
    <col min="16" max="16" width="7.5703125" style="1" bestFit="1" customWidth="1"/>
    <col min="17" max="18" width="8.140625" style="1" bestFit="1" customWidth="1"/>
    <col min="19" max="19" width="11.28515625" style="1" bestFit="1" customWidth="1"/>
    <col min="20" max="16384" width="9.140625" style="1"/>
  </cols>
  <sheetData>
    <row r="3" spans="1:19" ht="15.75" thickBot="1" x14ac:dyDescent="0.3"/>
    <row r="4" spans="1:19" ht="16.5" thickBot="1" x14ac:dyDescent="0.3">
      <c r="D4" s="1"/>
      <c r="E4" s="1"/>
      <c r="F4" s="1"/>
      <c r="I4" s="43"/>
      <c r="J4" s="1"/>
      <c r="K4" s="1"/>
      <c r="M4" s="253" t="s">
        <v>1199</v>
      </c>
      <c r="N4" s="254"/>
      <c r="O4" s="108">
        <v>75</v>
      </c>
    </row>
    <row r="5" spans="1:19" ht="41.1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285</v>
      </c>
      <c r="L5" s="82" t="s">
        <v>284</v>
      </c>
      <c r="M5" s="81" t="s">
        <v>286</v>
      </c>
      <c r="N5" s="83" t="s">
        <v>871</v>
      </c>
      <c r="O5" s="84" t="s">
        <v>872</v>
      </c>
      <c r="P5" s="84" t="s">
        <v>290</v>
      </c>
      <c r="Q5" s="84" t="s">
        <v>291</v>
      </c>
      <c r="R5" s="84" t="s">
        <v>292</v>
      </c>
      <c r="S5" s="109" t="s">
        <v>1200</v>
      </c>
    </row>
    <row r="6" spans="1:19" x14ac:dyDescent="0.25">
      <c r="A6" s="53"/>
      <c r="B6" s="230"/>
      <c r="C6" s="55"/>
      <c r="D6" s="55"/>
      <c r="E6" s="55"/>
      <c r="F6" s="55"/>
      <c r="G6" s="56"/>
      <c r="H6" s="56"/>
      <c r="I6" s="56"/>
      <c r="J6" s="56"/>
      <c r="K6" s="57"/>
      <c r="L6" s="55"/>
      <c r="M6" s="57"/>
      <c r="N6" s="56"/>
      <c r="O6" s="95"/>
      <c r="P6" s="57"/>
      <c r="Q6" s="57"/>
      <c r="R6" s="91"/>
      <c r="S6" s="5"/>
    </row>
    <row r="7" spans="1:19" ht="15.75" thickBot="1" x14ac:dyDescent="0.3">
      <c r="A7" s="31"/>
      <c r="B7" s="121"/>
      <c r="C7" s="5"/>
      <c r="D7" s="7"/>
      <c r="E7" s="3"/>
      <c r="F7" s="3"/>
      <c r="G7" s="77" t="s">
        <v>1202</v>
      </c>
      <c r="H7" s="5"/>
      <c r="I7" s="78"/>
      <c r="J7" s="9"/>
      <c r="K7" s="4"/>
      <c r="L7" s="5"/>
      <c r="M7" s="80"/>
      <c r="N7" s="78"/>
      <c r="O7" s="78"/>
      <c r="P7" s="4"/>
      <c r="Q7" s="4"/>
      <c r="R7" s="49"/>
      <c r="S7" s="5"/>
    </row>
    <row r="8" spans="1:19" ht="15" customHeight="1" thickBot="1" x14ac:dyDescent="0.3">
      <c r="A8" s="224">
        <v>1</v>
      </c>
      <c r="B8" s="201" t="s">
        <v>2600</v>
      </c>
      <c r="C8" s="197">
        <v>1</v>
      </c>
      <c r="D8" s="7">
        <v>0</v>
      </c>
      <c r="E8" s="3">
        <f t="shared" ref="E8:E11" si="0">C8+(C8*D8)</f>
        <v>1</v>
      </c>
      <c r="F8" s="3"/>
      <c r="G8" s="9"/>
      <c r="H8" s="5"/>
      <c r="I8" s="9"/>
      <c r="J8" s="9"/>
      <c r="K8" s="15"/>
      <c r="L8" s="5"/>
      <c r="M8" s="15"/>
      <c r="N8" s="4"/>
      <c r="O8" s="4"/>
      <c r="P8" s="15"/>
      <c r="Q8" s="15"/>
      <c r="R8" s="93"/>
      <c r="S8" s="5"/>
    </row>
    <row r="9" spans="1:19" x14ac:dyDescent="0.25">
      <c r="A9" s="31"/>
      <c r="B9" s="97" t="s">
        <v>860</v>
      </c>
      <c r="C9" s="5">
        <f>C8</f>
        <v>1</v>
      </c>
      <c r="D9" s="7">
        <v>0</v>
      </c>
      <c r="E9" s="3">
        <f t="shared" si="0"/>
        <v>1</v>
      </c>
      <c r="F9" s="3" t="s">
        <v>867</v>
      </c>
      <c r="G9" s="77">
        <v>404.23</v>
      </c>
      <c r="H9" s="5" t="s">
        <v>0</v>
      </c>
      <c r="I9" s="78">
        <f>IF(H9="C",(G9/100)*E9,IF(H9="M",(G9/1000)*E9,G9*E9))</f>
        <v>4.0423</v>
      </c>
      <c r="J9" s="110">
        <f>$O$4</f>
        <v>75</v>
      </c>
      <c r="K9" s="4">
        <v>23</v>
      </c>
      <c r="L9" s="5" t="s">
        <v>0</v>
      </c>
      <c r="M9" s="80">
        <f t="shared" ref="M9:M11" si="1">IF(L9="C",(K9/100)*E9,IF(L9="M",(K9/1000)*E9,K9*E9))</f>
        <v>0.23</v>
      </c>
      <c r="N9" s="78">
        <f t="shared" ref="N9:N11" si="2">M9*J9</f>
        <v>17.25</v>
      </c>
      <c r="O9" s="78">
        <f t="shared" ref="O9:O11" si="3">N9+I9</f>
        <v>21.292300000000001</v>
      </c>
      <c r="P9" s="4">
        <v>30</v>
      </c>
      <c r="Q9" s="4">
        <v>35</v>
      </c>
      <c r="R9" s="49">
        <v>40</v>
      </c>
      <c r="S9" s="5">
        <v>124314</v>
      </c>
    </row>
    <row r="10" spans="1:19" x14ac:dyDescent="0.25">
      <c r="A10" s="31"/>
      <c r="B10" s="4" t="s">
        <v>864</v>
      </c>
      <c r="C10" s="5">
        <f>C9*2</f>
        <v>2</v>
      </c>
      <c r="D10" s="7">
        <v>0</v>
      </c>
      <c r="E10" s="3">
        <f t="shared" si="0"/>
        <v>2</v>
      </c>
      <c r="F10" s="3" t="s">
        <v>867</v>
      </c>
      <c r="G10" s="77">
        <v>9.19</v>
      </c>
      <c r="H10" s="5" t="s">
        <v>0</v>
      </c>
      <c r="I10" s="78">
        <f t="shared" ref="I10:I11" si="4">IF(H10="C",(G10/100)*E10,IF(H10="M",(G10/1000)*E10,G10*E10))</f>
        <v>0.18379999999999999</v>
      </c>
      <c r="J10" s="110">
        <f t="shared" ref="J10:J11" si="5">$O$4</f>
        <v>75</v>
      </c>
      <c r="K10" s="4">
        <v>6</v>
      </c>
      <c r="L10" s="5" t="s">
        <v>0</v>
      </c>
      <c r="M10" s="80">
        <f t="shared" si="1"/>
        <v>0.12</v>
      </c>
      <c r="N10" s="78">
        <f t="shared" si="2"/>
        <v>9</v>
      </c>
      <c r="O10" s="78">
        <f t="shared" si="3"/>
        <v>9.1837999999999997</v>
      </c>
      <c r="P10" s="4">
        <v>15</v>
      </c>
      <c r="Q10" s="4">
        <v>18.7</v>
      </c>
      <c r="R10" s="49">
        <v>22.5</v>
      </c>
      <c r="S10" s="5">
        <v>139596</v>
      </c>
    </row>
    <row r="11" spans="1:19" x14ac:dyDescent="0.25">
      <c r="A11" s="31"/>
      <c r="B11" s="4" t="s">
        <v>14</v>
      </c>
      <c r="C11" s="5">
        <f>C9*2</f>
        <v>2</v>
      </c>
      <c r="D11" s="7">
        <v>0</v>
      </c>
      <c r="E11" s="3">
        <f t="shared" si="0"/>
        <v>2</v>
      </c>
      <c r="F11" s="3" t="s">
        <v>867</v>
      </c>
      <c r="G11" s="77">
        <v>12.42</v>
      </c>
      <c r="H11" s="5" t="s">
        <v>0</v>
      </c>
      <c r="I11" s="78">
        <f t="shared" si="4"/>
        <v>0.24840000000000001</v>
      </c>
      <c r="J11" s="110">
        <f t="shared" si="5"/>
        <v>75</v>
      </c>
      <c r="K11" s="4">
        <v>3</v>
      </c>
      <c r="L11" s="5" t="s">
        <v>0</v>
      </c>
      <c r="M11" s="80">
        <f t="shared" si="1"/>
        <v>0.06</v>
      </c>
      <c r="N11" s="78">
        <f t="shared" si="2"/>
        <v>4.5</v>
      </c>
      <c r="O11" s="78">
        <f t="shared" si="3"/>
        <v>4.7484000000000002</v>
      </c>
      <c r="P11" s="4">
        <v>3.15</v>
      </c>
      <c r="Q11" s="4">
        <v>3.94</v>
      </c>
      <c r="R11" s="49">
        <v>4.92</v>
      </c>
      <c r="S11" s="5">
        <v>140193</v>
      </c>
    </row>
    <row r="12" spans="1:19" ht="15.75" thickBot="1" x14ac:dyDescent="0.3">
      <c r="A12" s="31"/>
      <c r="B12" s="121"/>
      <c r="C12" s="5"/>
      <c r="D12" s="7"/>
      <c r="E12" s="3"/>
      <c r="F12" s="3"/>
      <c r="G12" s="77" t="s">
        <v>1202</v>
      </c>
      <c r="H12" s="5"/>
      <c r="I12" s="78"/>
      <c r="J12" s="9"/>
      <c r="K12" s="4"/>
      <c r="L12" s="5"/>
      <c r="M12" s="80"/>
      <c r="N12" s="78"/>
      <c r="O12" s="78"/>
      <c r="P12" s="4"/>
      <c r="Q12" s="4"/>
      <c r="R12" s="49"/>
      <c r="S12" s="5"/>
    </row>
    <row r="13" spans="1:19" ht="15.75" thickBot="1" x14ac:dyDescent="0.3">
      <c r="A13" s="224">
        <v>2</v>
      </c>
      <c r="B13" s="201" t="s">
        <v>2601</v>
      </c>
      <c r="C13" s="197">
        <v>1</v>
      </c>
      <c r="D13" s="7">
        <v>0</v>
      </c>
      <c r="E13" s="3">
        <f t="shared" ref="E13:E17" si="6">C13+(C13*D13)</f>
        <v>1</v>
      </c>
      <c r="F13" s="3"/>
      <c r="G13" s="9"/>
      <c r="H13" s="5"/>
      <c r="I13" s="9"/>
      <c r="J13" s="9"/>
      <c r="K13" s="15"/>
      <c r="L13" s="5"/>
      <c r="M13" s="15"/>
      <c r="N13" s="4"/>
      <c r="O13" s="4"/>
      <c r="P13" s="15"/>
      <c r="Q13" s="15"/>
      <c r="R13" s="93"/>
      <c r="S13" s="5"/>
    </row>
    <row r="14" spans="1:19" x14ac:dyDescent="0.25">
      <c r="A14" s="31"/>
      <c r="B14" s="97" t="s">
        <v>860</v>
      </c>
      <c r="C14" s="5">
        <f>C13</f>
        <v>1</v>
      </c>
      <c r="D14" s="7">
        <v>0</v>
      </c>
      <c r="E14" s="3">
        <f t="shared" si="6"/>
        <v>1</v>
      </c>
      <c r="F14" s="3" t="s">
        <v>867</v>
      </c>
      <c r="G14" s="77">
        <v>404.23</v>
      </c>
      <c r="H14" s="5" t="s">
        <v>0</v>
      </c>
      <c r="I14" s="78">
        <f>IF(H14="C",(G14/100)*E14,IF(H14="M",(G14/1000)*E14,G14*E14))</f>
        <v>4.0423</v>
      </c>
      <c r="J14" s="110">
        <f>$O$4</f>
        <v>75</v>
      </c>
      <c r="K14" s="4">
        <v>23</v>
      </c>
      <c r="L14" s="5" t="s">
        <v>0</v>
      </c>
      <c r="M14" s="80">
        <f t="shared" ref="M14:M17" si="7">IF(L14="C",(K14/100)*E14,IF(L14="M",(K14/1000)*E14,K14*E14))</f>
        <v>0.23</v>
      </c>
      <c r="N14" s="78">
        <f t="shared" ref="N14:N17" si="8">M14*J14</f>
        <v>17.25</v>
      </c>
      <c r="O14" s="78">
        <f t="shared" ref="O14:O17" si="9">N14+I14</f>
        <v>21.292300000000001</v>
      </c>
      <c r="P14" s="4">
        <v>30</v>
      </c>
      <c r="Q14" s="4">
        <v>35</v>
      </c>
      <c r="R14" s="49">
        <v>40</v>
      </c>
      <c r="S14" s="5">
        <v>124314</v>
      </c>
    </row>
    <row r="15" spans="1:19" x14ac:dyDescent="0.25">
      <c r="A15" s="31"/>
      <c r="B15" s="4" t="s">
        <v>864</v>
      </c>
      <c r="C15" s="5">
        <f>C14*2</f>
        <v>2</v>
      </c>
      <c r="D15" s="7">
        <v>0</v>
      </c>
      <c r="E15" s="3">
        <f t="shared" si="6"/>
        <v>2</v>
      </c>
      <c r="F15" s="3" t="s">
        <v>867</v>
      </c>
      <c r="G15" s="77">
        <v>9.19</v>
      </c>
      <c r="H15" s="5" t="s">
        <v>0</v>
      </c>
      <c r="I15" s="78">
        <f t="shared" ref="I15:I17" si="10">IF(H15="C",(G15/100)*E15,IF(H15="M",(G15/1000)*E15,G15*E15))</f>
        <v>0.18379999999999999</v>
      </c>
      <c r="J15" s="110">
        <f t="shared" ref="J15:J17" si="11">$O$4</f>
        <v>75</v>
      </c>
      <c r="K15" s="4">
        <v>6</v>
      </c>
      <c r="L15" s="5" t="s">
        <v>0</v>
      </c>
      <c r="M15" s="80">
        <f t="shared" si="7"/>
        <v>0.12</v>
      </c>
      <c r="N15" s="78">
        <f t="shared" si="8"/>
        <v>9</v>
      </c>
      <c r="O15" s="78">
        <f t="shared" si="9"/>
        <v>9.1837999999999997</v>
      </c>
      <c r="P15" s="4">
        <v>15</v>
      </c>
      <c r="Q15" s="4">
        <v>18.7</v>
      </c>
      <c r="R15" s="49">
        <v>22.5</v>
      </c>
      <c r="S15" s="5">
        <v>139596</v>
      </c>
    </row>
    <row r="16" spans="1:19" x14ac:dyDescent="0.25">
      <c r="A16" s="31"/>
      <c r="B16" s="4" t="s">
        <v>14</v>
      </c>
      <c r="C16" s="5">
        <f>C14*2</f>
        <v>2</v>
      </c>
      <c r="D16" s="7">
        <v>0</v>
      </c>
      <c r="E16" s="3">
        <f t="shared" si="6"/>
        <v>2</v>
      </c>
      <c r="F16" s="3" t="s">
        <v>867</v>
      </c>
      <c r="G16" s="77">
        <v>12.42</v>
      </c>
      <c r="H16" s="5" t="s">
        <v>0</v>
      </c>
      <c r="I16" s="78">
        <f t="shared" si="10"/>
        <v>0.24840000000000001</v>
      </c>
      <c r="J16" s="110">
        <f t="shared" si="11"/>
        <v>75</v>
      </c>
      <c r="K16" s="4">
        <v>3</v>
      </c>
      <c r="L16" s="5" t="s">
        <v>0</v>
      </c>
      <c r="M16" s="80">
        <f t="shared" si="7"/>
        <v>0.06</v>
      </c>
      <c r="N16" s="78">
        <f t="shared" si="8"/>
        <v>4.5</v>
      </c>
      <c r="O16" s="78">
        <f t="shared" si="9"/>
        <v>4.7484000000000002</v>
      </c>
      <c r="P16" s="4">
        <v>3.15</v>
      </c>
      <c r="Q16" s="4">
        <v>3.94</v>
      </c>
      <c r="R16" s="49">
        <v>4.92</v>
      </c>
      <c r="S16" s="5">
        <v>140193</v>
      </c>
    </row>
    <row r="17" spans="1:19" x14ac:dyDescent="0.25">
      <c r="A17" s="37"/>
      <c r="B17" s="24" t="s">
        <v>2633</v>
      </c>
      <c r="C17" s="5">
        <f>C14</f>
        <v>1</v>
      </c>
      <c r="D17" s="7">
        <v>0</v>
      </c>
      <c r="E17" s="3">
        <f t="shared" si="6"/>
        <v>1</v>
      </c>
      <c r="F17" s="85" t="s">
        <v>867</v>
      </c>
      <c r="G17" s="77">
        <v>258.01</v>
      </c>
      <c r="H17" s="5" t="s">
        <v>0</v>
      </c>
      <c r="I17" s="78">
        <f t="shared" si="10"/>
        <v>2.5800999999999998</v>
      </c>
      <c r="J17" s="110">
        <f t="shared" si="11"/>
        <v>75</v>
      </c>
      <c r="K17" s="4">
        <v>2.5</v>
      </c>
      <c r="L17" s="5" t="s">
        <v>0</v>
      </c>
      <c r="M17" s="80">
        <f t="shared" si="7"/>
        <v>2.5000000000000001E-2</v>
      </c>
      <c r="N17" s="78">
        <f t="shared" si="8"/>
        <v>1.875</v>
      </c>
      <c r="O17" s="111">
        <f t="shared" si="9"/>
        <v>4.4550999999999998</v>
      </c>
      <c r="P17" s="4">
        <v>15</v>
      </c>
      <c r="Q17" s="4">
        <v>20</v>
      </c>
      <c r="R17" s="4">
        <v>25</v>
      </c>
      <c r="S17" s="49">
        <v>124389</v>
      </c>
    </row>
    <row r="18" spans="1:19" ht="15.75" thickBot="1" x14ac:dyDescent="0.3">
      <c r="A18" s="31"/>
      <c r="B18" s="121"/>
      <c r="C18" s="5"/>
      <c r="D18" s="7"/>
      <c r="E18" s="3"/>
      <c r="F18" s="3"/>
      <c r="G18" s="77" t="s">
        <v>1202</v>
      </c>
      <c r="H18" s="5"/>
      <c r="I18" s="78"/>
      <c r="J18" s="9"/>
      <c r="K18" s="4"/>
      <c r="L18" s="5"/>
      <c r="M18" s="80"/>
      <c r="N18" s="78"/>
      <c r="O18" s="78"/>
      <c r="P18" s="4"/>
      <c r="Q18" s="4"/>
      <c r="R18" s="49"/>
      <c r="S18" s="5"/>
    </row>
    <row r="19" spans="1:19" ht="15.75" thickBot="1" x14ac:dyDescent="0.3">
      <c r="A19" s="224">
        <v>3</v>
      </c>
      <c r="B19" s="201" t="s">
        <v>1253</v>
      </c>
      <c r="C19" s="197">
        <v>1</v>
      </c>
      <c r="D19" s="7">
        <v>0</v>
      </c>
      <c r="E19" s="3">
        <f t="shared" ref="E19:E21" si="12">C19+(C19*D19)</f>
        <v>1</v>
      </c>
      <c r="F19" s="3"/>
      <c r="G19" s="9"/>
      <c r="H19" s="5"/>
      <c r="I19" s="9"/>
      <c r="J19" s="9"/>
      <c r="K19" s="15"/>
      <c r="L19" s="5"/>
      <c r="M19" s="15"/>
      <c r="N19" s="4"/>
      <c r="O19" s="78"/>
      <c r="P19" s="15"/>
      <c r="Q19" s="15"/>
      <c r="R19" s="93"/>
      <c r="S19" s="5"/>
    </row>
    <row r="20" spans="1:19" x14ac:dyDescent="0.25">
      <c r="A20" s="31"/>
      <c r="B20" s="200" t="s">
        <v>1224</v>
      </c>
      <c r="C20" s="151">
        <f>C19</f>
        <v>1</v>
      </c>
      <c r="D20" s="152">
        <v>0</v>
      </c>
      <c r="E20" s="153">
        <f t="shared" si="12"/>
        <v>1</v>
      </c>
      <c r="F20" s="3" t="s">
        <v>867</v>
      </c>
      <c r="G20" s="77">
        <v>299.16000000000003</v>
      </c>
      <c r="H20" s="5" t="s">
        <v>0</v>
      </c>
      <c r="I20" s="78">
        <f t="shared" ref="I20:I21" si="13">IF(H20="C",(G20/100)*E20,IF(H20="M",(G20/1000)*E20,G20*E20))</f>
        <v>2.9916</v>
      </c>
      <c r="J20" s="154">
        <f t="shared" ref="J20:J21" si="14">$O$4</f>
        <v>75</v>
      </c>
      <c r="K20" s="4">
        <v>23</v>
      </c>
      <c r="L20" s="5" t="s">
        <v>0</v>
      </c>
      <c r="M20" s="80">
        <f t="shared" ref="M20:M21" si="15">IF(L20="C",(K20/100)*E20,IF(L20="M",(K20/1000)*E20,K20*E20))</f>
        <v>0.23</v>
      </c>
      <c r="N20" s="78">
        <f t="shared" ref="N20:N21" si="16">M20*J20</f>
        <v>17.25</v>
      </c>
      <c r="O20" s="78">
        <f t="shared" ref="O20:O21" si="17">N20+I20</f>
        <v>20.241599999999998</v>
      </c>
      <c r="P20" s="4">
        <v>30</v>
      </c>
      <c r="Q20" s="4">
        <v>35</v>
      </c>
      <c r="R20" s="49">
        <v>40</v>
      </c>
      <c r="S20" s="5">
        <v>124314</v>
      </c>
    </row>
    <row r="21" spans="1:19" x14ac:dyDescent="0.25">
      <c r="A21" s="31"/>
      <c r="B21" s="17" t="s">
        <v>1225</v>
      </c>
      <c r="C21" s="20">
        <f>C20*2</f>
        <v>2</v>
      </c>
      <c r="D21" s="7">
        <v>0</v>
      </c>
      <c r="E21" s="3">
        <f t="shared" si="12"/>
        <v>2</v>
      </c>
      <c r="F21" s="85" t="s">
        <v>867</v>
      </c>
      <c r="G21" s="77">
        <v>6.25</v>
      </c>
      <c r="H21" s="22" t="s">
        <v>0</v>
      </c>
      <c r="I21" s="78">
        <f t="shared" si="13"/>
        <v>0.125</v>
      </c>
      <c r="J21" s="110">
        <f t="shared" si="14"/>
        <v>75</v>
      </c>
      <c r="K21" s="4">
        <v>2.8</v>
      </c>
      <c r="L21" s="22" t="s">
        <v>0</v>
      </c>
      <c r="M21" s="80">
        <f t="shared" si="15"/>
        <v>5.5999999999999994E-2</v>
      </c>
      <c r="N21" s="78">
        <f t="shared" si="16"/>
        <v>4.1999999999999993</v>
      </c>
      <c r="O21" s="78">
        <f t="shared" si="17"/>
        <v>4.3249999999999993</v>
      </c>
      <c r="P21" s="4">
        <v>3.1</v>
      </c>
      <c r="Q21" s="4">
        <v>3.88</v>
      </c>
      <c r="R21" s="4">
        <v>4.84</v>
      </c>
      <c r="S21" s="5">
        <v>140193</v>
      </c>
    </row>
    <row r="22" spans="1:19" ht="15.75" thickBot="1" x14ac:dyDescent="0.3">
      <c r="A22" s="196"/>
      <c r="B22" s="231"/>
      <c r="C22" s="207"/>
      <c r="D22" s="7"/>
      <c r="E22" s="3"/>
      <c r="F22" s="85"/>
      <c r="G22" s="77"/>
      <c r="H22" s="22"/>
      <c r="I22" s="78"/>
      <c r="J22" s="110"/>
      <c r="K22" s="4"/>
      <c r="L22" s="22"/>
      <c r="M22" s="80"/>
      <c r="N22" s="78"/>
      <c r="O22" s="78"/>
      <c r="P22" s="4"/>
      <c r="Q22" s="4"/>
      <c r="R22" s="134"/>
      <c r="S22" s="5"/>
    </row>
    <row r="23" spans="1:19" ht="15.75" thickBot="1" x14ac:dyDescent="0.3">
      <c r="A23" s="224">
        <v>4</v>
      </c>
      <c r="B23" s="201" t="s">
        <v>1147</v>
      </c>
      <c r="C23" s="197">
        <v>1</v>
      </c>
      <c r="D23" s="7">
        <v>0</v>
      </c>
      <c r="E23" s="3">
        <f t="shared" ref="E23:E26" si="18">C23+(C23*D23)</f>
        <v>1</v>
      </c>
      <c r="F23" s="3"/>
      <c r="G23" s="9"/>
      <c r="H23" s="5"/>
      <c r="I23" s="9"/>
      <c r="J23" s="9"/>
      <c r="K23" s="15"/>
      <c r="L23" s="5"/>
      <c r="M23" s="15"/>
      <c r="N23" s="4"/>
      <c r="O23" s="4"/>
      <c r="P23" s="15"/>
      <c r="Q23" s="15"/>
      <c r="R23" s="93"/>
      <c r="S23" s="5"/>
    </row>
    <row r="24" spans="1:19" x14ac:dyDescent="0.25">
      <c r="A24" s="31"/>
      <c r="B24" s="97" t="s">
        <v>1147</v>
      </c>
      <c r="C24" s="5">
        <f>C23</f>
        <v>1</v>
      </c>
      <c r="D24" s="7">
        <v>0</v>
      </c>
      <c r="E24" s="3">
        <f t="shared" si="18"/>
        <v>1</v>
      </c>
      <c r="F24" s="123" t="s">
        <v>867</v>
      </c>
      <c r="G24" s="77">
        <v>330.07</v>
      </c>
      <c r="H24" s="22" t="s">
        <v>0</v>
      </c>
      <c r="I24" s="78">
        <f>IF(H24="C",(G24/100)*E24,IF(H24="M",(G24/1000)*E24,G24*E24))</f>
        <v>3.3007</v>
      </c>
      <c r="J24" s="110">
        <f>$O$4</f>
        <v>75</v>
      </c>
      <c r="K24" s="4">
        <v>22</v>
      </c>
      <c r="L24" s="22" t="s">
        <v>0</v>
      </c>
      <c r="M24" s="80">
        <f>IF(L24="C",(K24/100)*E24,IF(L24="M",(K24/1000)*E24,K24*E24))</f>
        <v>0.22</v>
      </c>
      <c r="N24" s="78">
        <f>M24*J24</f>
        <v>16.5</v>
      </c>
      <c r="O24" s="111">
        <f>N24+I24</f>
        <v>19.800699999999999</v>
      </c>
      <c r="P24" s="4">
        <v>30</v>
      </c>
      <c r="Q24" s="4">
        <v>35</v>
      </c>
      <c r="R24" s="49">
        <v>40</v>
      </c>
      <c r="S24" s="5">
        <v>124314</v>
      </c>
    </row>
    <row r="25" spans="1:19" x14ac:dyDescent="0.25">
      <c r="A25" s="31"/>
      <c r="B25" s="4" t="s">
        <v>864</v>
      </c>
      <c r="C25" s="5">
        <f>C23*2</f>
        <v>2</v>
      </c>
      <c r="D25" s="7">
        <v>0</v>
      </c>
      <c r="E25" s="3">
        <f t="shared" si="18"/>
        <v>2</v>
      </c>
      <c r="F25" s="3" t="s">
        <v>867</v>
      </c>
      <c r="G25" s="77">
        <v>9.19</v>
      </c>
      <c r="H25" s="5" t="s">
        <v>0</v>
      </c>
      <c r="I25" s="78">
        <f t="shared" ref="I25:I26" si="19">IF(H25="C",(G25/100)*E25,IF(H25="M",(G25/1000)*E25,G25*E25))</f>
        <v>0.18379999999999999</v>
      </c>
      <c r="J25" s="110">
        <f t="shared" ref="J25:J26" si="20">$O$4</f>
        <v>75</v>
      </c>
      <c r="K25" s="4">
        <v>6</v>
      </c>
      <c r="L25" s="5" t="s">
        <v>0</v>
      </c>
      <c r="M25" s="80">
        <f t="shared" ref="M25:M26" si="21">IF(L25="C",(K25/100)*E25,IF(L25="M",(K25/1000)*E25,K25*E25))</f>
        <v>0.12</v>
      </c>
      <c r="N25" s="78">
        <f t="shared" ref="N25:N26" si="22">M25*J25</f>
        <v>9</v>
      </c>
      <c r="O25" s="78">
        <f t="shared" ref="O25:O26" si="23">N25+I25</f>
        <v>9.1837999999999997</v>
      </c>
      <c r="P25" s="4">
        <v>15</v>
      </c>
      <c r="Q25" s="4">
        <v>18.7</v>
      </c>
      <c r="R25" s="49">
        <v>22.5</v>
      </c>
      <c r="S25" s="5">
        <v>139596</v>
      </c>
    </row>
    <row r="26" spans="1:19" x14ac:dyDescent="0.25">
      <c r="A26" s="31"/>
      <c r="B26" s="4" t="s">
        <v>14</v>
      </c>
      <c r="C26" s="5">
        <f>C23*2</f>
        <v>2</v>
      </c>
      <c r="D26" s="7">
        <v>0</v>
      </c>
      <c r="E26" s="3">
        <f t="shared" si="18"/>
        <v>2</v>
      </c>
      <c r="F26" s="3" t="s">
        <v>867</v>
      </c>
      <c r="G26" s="77">
        <v>12.42</v>
      </c>
      <c r="H26" s="5" t="s">
        <v>0</v>
      </c>
      <c r="I26" s="78">
        <f t="shared" si="19"/>
        <v>0.24840000000000001</v>
      </c>
      <c r="J26" s="110">
        <f t="shared" si="20"/>
        <v>75</v>
      </c>
      <c r="K26" s="4">
        <v>3</v>
      </c>
      <c r="L26" s="5" t="s">
        <v>0</v>
      </c>
      <c r="M26" s="80">
        <f t="shared" si="21"/>
        <v>0.06</v>
      </c>
      <c r="N26" s="78">
        <f t="shared" si="22"/>
        <v>4.5</v>
      </c>
      <c r="O26" s="78">
        <f t="shared" si="23"/>
        <v>4.7484000000000002</v>
      </c>
      <c r="P26" s="4">
        <v>3.15</v>
      </c>
      <c r="Q26" s="4">
        <v>3.94</v>
      </c>
      <c r="R26" s="49">
        <v>4.92</v>
      </c>
      <c r="S26" s="5">
        <v>140193</v>
      </c>
    </row>
    <row r="27" spans="1:19" x14ac:dyDescent="0.25">
      <c r="A27" s="31"/>
      <c r="B27" s="4"/>
      <c r="C27" s="5"/>
      <c r="D27" s="7"/>
      <c r="E27" s="3"/>
      <c r="F27" s="3"/>
      <c r="G27" s="77" t="s">
        <v>1202</v>
      </c>
      <c r="H27" s="5"/>
      <c r="I27" s="78"/>
      <c r="J27" s="9"/>
      <c r="K27" s="4"/>
      <c r="L27" s="5"/>
      <c r="M27" s="80"/>
      <c r="N27" s="78"/>
      <c r="O27" s="78"/>
      <c r="P27" s="4"/>
      <c r="Q27" s="4"/>
      <c r="R27" s="49"/>
      <c r="S27" s="5"/>
    </row>
    <row r="28" spans="1:19" x14ac:dyDescent="0.25">
      <c r="A28" s="31">
        <v>3</v>
      </c>
      <c r="B28" s="4" t="s">
        <v>167</v>
      </c>
      <c r="C28" s="5">
        <v>1</v>
      </c>
      <c r="D28" s="7">
        <v>0</v>
      </c>
      <c r="E28" s="3">
        <f t="shared" ref="E28:E35" si="24">C28+(C28*D28)</f>
        <v>1</v>
      </c>
      <c r="F28" s="3"/>
      <c r="G28" s="77" t="s">
        <v>1202</v>
      </c>
      <c r="H28" s="5"/>
      <c r="I28" s="78"/>
      <c r="J28" s="9"/>
      <c r="K28" s="4"/>
      <c r="L28" s="5"/>
      <c r="M28" s="80"/>
      <c r="N28" s="78"/>
      <c r="O28" s="78"/>
      <c r="P28" s="4"/>
      <c r="Q28" s="4"/>
      <c r="R28" s="49"/>
      <c r="S28" s="5"/>
    </row>
    <row r="29" spans="1:19" x14ac:dyDescent="0.25">
      <c r="A29" s="31"/>
      <c r="B29" s="4" t="s">
        <v>1162</v>
      </c>
      <c r="C29" s="5">
        <f>C28*10</f>
        <v>10</v>
      </c>
      <c r="D29" s="7">
        <v>0</v>
      </c>
      <c r="E29" s="3">
        <f t="shared" si="24"/>
        <v>10</v>
      </c>
      <c r="F29" s="3" t="s">
        <v>868</v>
      </c>
      <c r="G29" s="77">
        <v>114.2</v>
      </c>
      <c r="H29" s="5" t="s">
        <v>0</v>
      </c>
      <c r="I29" s="78">
        <f t="shared" ref="I29:I35" si="25">IF(H29="C",(G29/100)*E29,IF(H29="M",(G29/1000)*E29,G29*E29))</f>
        <v>11.420000000000002</v>
      </c>
      <c r="J29" s="110">
        <f>$O$4</f>
        <v>75</v>
      </c>
      <c r="K29" s="4">
        <v>3.2</v>
      </c>
      <c r="L29" s="5" t="s">
        <v>0</v>
      </c>
      <c r="M29" s="80">
        <f t="shared" ref="M29:M35" si="26">IF(L29="C",(K29/100)*E29,IF(L29="M",(K29/1000)*E29,K29*E29))</f>
        <v>0.32</v>
      </c>
      <c r="N29" s="78">
        <f t="shared" ref="N29:N35" si="27">M29*J29</f>
        <v>24</v>
      </c>
      <c r="O29" s="78">
        <f t="shared" ref="O29:O35" si="28">N29+I29</f>
        <v>35.42</v>
      </c>
      <c r="P29" s="4"/>
      <c r="Q29" s="4"/>
      <c r="R29" s="49"/>
      <c r="S29" s="5">
        <v>101004</v>
      </c>
    </row>
    <row r="30" spans="1:19" x14ac:dyDescent="0.25">
      <c r="A30" s="31"/>
      <c r="B30" s="4" t="s">
        <v>1163</v>
      </c>
      <c r="C30" s="5">
        <f>C28*2</f>
        <v>2</v>
      </c>
      <c r="D30" s="7">
        <v>0</v>
      </c>
      <c r="E30" s="3">
        <f t="shared" si="24"/>
        <v>2</v>
      </c>
      <c r="F30" s="3" t="s">
        <v>867</v>
      </c>
      <c r="G30" s="77">
        <v>66.31</v>
      </c>
      <c r="H30" s="5" t="s">
        <v>0</v>
      </c>
      <c r="I30" s="78">
        <f t="shared" si="25"/>
        <v>1.3262</v>
      </c>
      <c r="J30" s="110">
        <f t="shared" ref="J30:J35" si="29">$O$4</f>
        <v>75</v>
      </c>
      <c r="K30" s="4">
        <v>10</v>
      </c>
      <c r="L30" s="5" t="s">
        <v>0</v>
      </c>
      <c r="M30" s="80">
        <f t="shared" si="26"/>
        <v>0.2</v>
      </c>
      <c r="N30" s="78">
        <f t="shared" si="27"/>
        <v>15</v>
      </c>
      <c r="O30" s="78">
        <f t="shared" si="28"/>
        <v>16.3262</v>
      </c>
      <c r="P30" s="4"/>
      <c r="Q30" s="4"/>
      <c r="R30" s="49"/>
      <c r="S30" s="5">
        <v>101181</v>
      </c>
    </row>
    <row r="31" spans="1:19" x14ac:dyDescent="0.25">
      <c r="A31" s="31"/>
      <c r="B31" s="4" t="s">
        <v>1164</v>
      </c>
      <c r="C31" s="5">
        <f>C28</f>
        <v>1</v>
      </c>
      <c r="D31" s="7">
        <v>0</v>
      </c>
      <c r="E31" s="3">
        <f t="shared" si="24"/>
        <v>1</v>
      </c>
      <c r="F31" s="3" t="s">
        <v>867</v>
      </c>
      <c r="G31" s="77">
        <v>57.84</v>
      </c>
      <c r="H31" s="5" t="s">
        <v>0</v>
      </c>
      <c r="I31" s="78">
        <f t="shared" si="25"/>
        <v>0.57840000000000003</v>
      </c>
      <c r="J31" s="110">
        <f t="shared" si="29"/>
        <v>75</v>
      </c>
      <c r="K31" s="4">
        <v>4</v>
      </c>
      <c r="L31" s="5" t="s">
        <v>0</v>
      </c>
      <c r="M31" s="80">
        <f t="shared" si="26"/>
        <v>0.04</v>
      </c>
      <c r="N31" s="78">
        <f t="shared" si="27"/>
        <v>3</v>
      </c>
      <c r="O31" s="78">
        <f t="shared" si="28"/>
        <v>3.5784000000000002</v>
      </c>
      <c r="P31" s="4"/>
      <c r="Q31" s="4"/>
      <c r="R31" s="49"/>
      <c r="S31" s="5">
        <v>101379</v>
      </c>
    </row>
    <row r="32" spans="1:19" x14ac:dyDescent="0.25">
      <c r="A32" s="31"/>
      <c r="B32" s="4" t="s">
        <v>164</v>
      </c>
      <c r="C32" s="5">
        <f>C28*2</f>
        <v>2</v>
      </c>
      <c r="D32" s="7">
        <v>0</v>
      </c>
      <c r="E32" s="3">
        <f t="shared" si="24"/>
        <v>2</v>
      </c>
      <c r="F32" s="3" t="s">
        <v>867</v>
      </c>
      <c r="G32" s="77">
        <v>264.91000000000003</v>
      </c>
      <c r="H32" s="5" t="s">
        <v>0</v>
      </c>
      <c r="I32" s="78">
        <f t="shared" si="25"/>
        <v>5.2982000000000005</v>
      </c>
      <c r="J32" s="110">
        <f t="shared" si="29"/>
        <v>75</v>
      </c>
      <c r="K32" s="4">
        <v>7.2</v>
      </c>
      <c r="L32" s="5" t="s">
        <v>0</v>
      </c>
      <c r="M32" s="80">
        <f t="shared" si="26"/>
        <v>0.14400000000000002</v>
      </c>
      <c r="N32" s="78">
        <f t="shared" si="27"/>
        <v>10.8</v>
      </c>
      <c r="O32" s="78">
        <f t="shared" si="28"/>
        <v>16.098200000000002</v>
      </c>
      <c r="P32" s="4"/>
      <c r="Q32" s="4"/>
      <c r="R32" s="49"/>
      <c r="S32" s="5">
        <v>141768</v>
      </c>
    </row>
    <row r="33" spans="1:19" x14ac:dyDescent="0.25">
      <c r="A33" s="31"/>
      <c r="B33" s="4" t="s">
        <v>165</v>
      </c>
      <c r="C33" s="5">
        <f>C28</f>
        <v>1</v>
      </c>
      <c r="D33" s="7">
        <v>0</v>
      </c>
      <c r="E33" s="3">
        <f t="shared" si="24"/>
        <v>1</v>
      </c>
      <c r="F33" s="3" t="s">
        <v>867</v>
      </c>
      <c r="G33" s="77">
        <v>539.5</v>
      </c>
      <c r="H33" s="5" t="s">
        <v>0</v>
      </c>
      <c r="I33" s="78">
        <f t="shared" si="25"/>
        <v>5.3949999999999996</v>
      </c>
      <c r="J33" s="110">
        <f t="shared" si="29"/>
        <v>75</v>
      </c>
      <c r="K33" s="4">
        <v>23</v>
      </c>
      <c r="L33" s="5" t="s">
        <v>0</v>
      </c>
      <c r="M33" s="80">
        <f t="shared" si="26"/>
        <v>0.23</v>
      </c>
      <c r="N33" s="78">
        <f t="shared" si="27"/>
        <v>17.25</v>
      </c>
      <c r="O33" s="78">
        <f t="shared" si="28"/>
        <v>22.645</v>
      </c>
      <c r="P33" s="4">
        <v>30</v>
      </c>
      <c r="Q33" s="4">
        <v>35</v>
      </c>
      <c r="R33" s="49">
        <v>40</v>
      </c>
      <c r="S33" s="5">
        <v>124323</v>
      </c>
    </row>
    <row r="34" spans="1:19" x14ac:dyDescent="0.25">
      <c r="A34" s="31"/>
      <c r="B34" s="4" t="s">
        <v>2</v>
      </c>
      <c r="C34" s="5">
        <f>C28</f>
        <v>1</v>
      </c>
      <c r="D34" s="7">
        <v>0</v>
      </c>
      <c r="E34" s="3">
        <f t="shared" si="24"/>
        <v>1</v>
      </c>
      <c r="F34" s="3" t="s">
        <v>867</v>
      </c>
      <c r="G34" s="77">
        <v>258.01</v>
      </c>
      <c r="H34" s="5" t="s">
        <v>0</v>
      </c>
      <c r="I34" s="78">
        <f t="shared" si="25"/>
        <v>2.5800999999999998</v>
      </c>
      <c r="J34" s="110">
        <f t="shared" si="29"/>
        <v>75</v>
      </c>
      <c r="K34" s="4">
        <v>2.5</v>
      </c>
      <c r="L34" s="5" t="s">
        <v>0</v>
      </c>
      <c r="M34" s="80">
        <f t="shared" si="26"/>
        <v>2.5000000000000001E-2</v>
      </c>
      <c r="N34" s="78">
        <f t="shared" si="27"/>
        <v>1.875</v>
      </c>
      <c r="O34" s="78">
        <f t="shared" si="28"/>
        <v>4.4550999999999998</v>
      </c>
      <c r="P34" s="4">
        <v>15</v>
      </c>
      <c r="Q34" s="4">
        <v>20</v>
      </c>
      <c r="R34" s="49">
        <v>25</v>
      </c>
      <c r="S34" s="5">
        <v>124389</v>
      </c>
    </row>
    <row r="35" spans="1:19" x14ac:dyDescent="0.25">
      <c r="A35" s="31"/>
      <c r="B35" s="4" t="s">
        <v>166</v>
      </c>
      <c r="C35" s="5">
        <f>C28*4</f>
        <v>4</v>
      </c>
      <c r="D35" s="7">
        <v>0</v>
      </c>
      <c r="E35" s="3">
        <f t="shared" si="24"/>
        <v>4</v>
      </c>
      <c r="F35" s="3" t="s">
        <v>867</v>
      </c>
      <c r="G35" s="77">
        <v>9.2100000000000009</v>
      </c>
      <c r="H35" s="5" t="s">
        <v>0</v>
      </c>
      <c r="I35" s="78">
        <f t="shared" si="25"/>
        <v>0.36840000000000006</v>
      </c>
      <c r="J35" s="110">
        <f t="shared" si="29"/>
        <v>75</v>
      </c>
      <c r="K35" s="4">
        <v>1.5</v>
      </c>
      <c r="L35" s="5" t="s">
        <v>0</v>
      </c>
      <c r="M35" s="80">
        <f t="shared" si="26"/>
        <v>0.06</v>
      </c>
      <c r="N35" s="78">
        <f t="shared" si="27"/>
        <v>4.5</v>
      </c>
      <c r="O35" s="78">
        <f t="shared" si="28"/>
        <v>4.8684000000000003</v>
      </c>
      <c r="P35" s="4">
        <v>3.1</v>
      </c>
      <c r="Q35" s="4">
        <v>3.88</v>
      </c>
      <c r="R35" s="49">
        <v>4.84</v>
      </c>
      <c r="S35" s="5">
        <v>142380</v>
      </c>
    </row>
    <row r="36" spans="1:19" x14ac:dyDescent="0.25">
      <c r="A36" s="31"/>
      <c r="B36" s="4"/>
      <c r="C36" s="5"/>
      <c r="D36" s="7"/>
      <c r="E36" s="3"/>
      <c r="F36" s="3"/>
      <c r="G36" s="77" t="s">
        <v>1202</v>
      </c>
      <c r="H36" s="5"/>
      <c r="I36" s="78"/>
      <c r="J36" s="9"/>
      <c r="K36" s="4"/>
      <c r="L36" s="5"/>
      <c r="M36" s="80"/>
      <c r="N36" s="78"/>
      <c r="O36" s="78"/>
      <c r="P36" s="4"/>
      <c r="Q36" s="4"/>
      <c r="R36" s="49"/>
      <c r="S36" s="5"/>
    </row>
    <row r="37" spans="1:19" x14ac:dyDescent="0.25">
      <c r="A37" s="60">
        <v>4</v>
      </c>
      <c r="B37" s="8" t="s">
        <v>168</v>
      </c>
      <c r="C37" s="5">
        <v>1</v>
      </c>
      <c r="D37" s="7">
        <v>0</v>
      </c>
      <c r="E37" s="3">
        <f t="shared" ref="E37:E44" si="30">C37+(C37*D37)</f>
        <v>1</v>
      </c>
      <c r="F37" s="3"/>
      <c r="G37" s="77" t="s">
        <v>1202</v>
      </c>
      <c r="H37" s="5"/>
      <c r="I37" s="78"/>
      <c r="J37" s="9"/>
      <c r="K37" s="4"/>
      <c r="L37" s="5"/>
      <c r="M37" s="80"/>
      <c r="N37" s="78"/>
      <c r="O37" s="78"/>
      <c r="P37" s="4"/>
      <c r="Q37" s="4"/>
      <c r="R37" s="49"/>
      <c r="S37" s="5"/>
    </row>
    <row r="38" spans="1:19" x14ac:dyDescent="0.25">
      <c r="A38" s="31"/>
      <c r="B38" s="4" t="s">
        <v>1162</v>
      </c>
      <c r="C38" s="5">
        <f>C37*10</f>
        <v>10</v>
      </c>
      <c r="D38" s="7">
        <v>0</v>
      </c>
      <c r="E38" s="3">
        <f t="shared" si="30"/>
        <v>10</v>
      </c>
      <c r="F38" s="3" t="s">
        <v>868</v>
      </c>
      <c r="G38" s="77">
        <v>114.2</v>
      </c>
      <c r="H38" s="5" t="s">
        <v>0</v>
      </c>
      <c r="I38" s="78">
        <f t="shared" ref="I38:I44" si="31">IF(H38="C",(G38/100)*E38,IF(H38="M",(G38/1000)*E38,G38*E38))</f>
        <v>11.420000000000002</v>
      </c>
      <c r="J38" s="110">
        <f t="shared" ref="J38:J44" si="32">$O$4</f>
        <v>75</v>
      </c>
      <c r="K38" s="4">
        <v>3.2</v>
      </c>
      <c r="L38" s="5" t="s">
        <v>0</v>
      </c>
      <c r="M38" s="80">
        <f t="shared" ref="M38:M44" si="33">IF(L38="C",(K38/100)*E38,IF(L38="M",(K38/1000)*E38,K38*E38))</f>
        <v>0.32</v>
      </c>
      <c r="N38" s="78">
        <f t="shared" ref="N38:N44" si="34">M38*J38</f>
        <v>24</v>
      </c>
      <c r="O38" s="78">
        <f t="shared" ref="O38:O44" si="35">N38+I38</f>
        <v>35.42</v>
      </c>
      <c r="P38" s="4"/>
      <c r="Q38" s="4"/>
      <c r="R38" s="49"/>
      <c r="S38" s="5">
        <v>101004</v>
      </c>
    </row>
    <row r="39" spans="1:19" x14ac:dyDescent="0.25">
      <c r="A39" s="31"/>
      <c r="B39" s="4" t="s">
        <v>1163</v>
      </c>
      <c r="C39" s="5">
        <f>C37*2</f>
        <v>2</v>
      </c>
      <c r="D39" s="7">
        <v>0</v>
      </c>
      <c r="E39" s="3">
        <f t="shared" si="30"/>
        <v>2</v>
      </c>
      <c r="F39" s="3" t="s">
        <v>867</v>
      </c>
      <c r="G39" s="77">
        <v>66.31</v>
      </c>
      <c r="H39" s="5" t="s">
        <v>0</v>
      </c>
      <c r="I39" s="78">
        <f t="shared" si="31"/>
        <v>1.3262</v>
      </c>
      <c r="J39" s="110">
        <f t="shared" si="32"/>
        <v>75</v>
      </c>
      <c r="K39" s="4">
        <v>10</v>
      </c>
      <c r="L39" s="5" t="s">
        <v>0</v>
      </c>
      <c r="M39" s="80">
        <f t="shared" si="33"/>
        <v>0.2</v>
      </c>
      <c r="N39" s="78">
        <f t="shared" si="34"/>
        <v>15</v>
      </c>
      <c r="O39" s="78">
        <f t="shared" si="35"/>
        <v>16.3262</v>
      </c>
      <c r="P39" s="4"/>
      <c r="Q39" s="4"/>
      <c r="R39" s="49"/>
      <c r="S39" s="5">
        <v>101181</v>
      </c>
    </row>
    <row r="40" spans="1:19" x14ac:dyDescent="0.25">
      <c r="A40" s="31"/>
      <c r="B40" s="4" t="s">
        <v>1164</v>
      </c>
      <c r="C40" s="5">
        <f>C37</f>
        <v>1</v>
      </c>
      <c r="D40" s="7">
        <v>0</v>
      </c>
      <c r="E40" s="3">
        <f t="shared" si="30"/>
        <v>1</v>
      </c>
      <c r="F40" s="3" t="s">
        <v>867</v>
      </c>
      <c r="G40" s="77">
        <v>57.84</v>
      </c>
      <c r="H40" s="5" t="s">
        <v>0</v>
      </c>
      <c r="I40" s="78">
        <f t="shared" si="31"/>
        <v>0.57840000000000003</v>
      </c>
      <c r="J40" s="110">
        <f t="shared" si="32"/>
        <v>75</v>
      </c>
      <c r="K40" s="4">
        <v>4</v>
      </c>
      <c r="L40" s="5" t="s">
        <v>0</v>
      </c>
      <c r="M40" s="80">
        <f t="shared" si="33"/>
        <v>0.04</v>
      </c>
      <c r="N40" s="78">
        <f t="shared" si="34"/>
        <v>3</v>
      </c>
      <c r="O40" s="78">
        <f t="shared" si="35"/>
        <v>3.5784000000000002</v>
      </c>
      <c r="P40" s="4"/>
      <c r="Q40" s="4"/>
      <c r="R40" s="49"/>
      <c r="S40" s="5">
        <v>101379</v>
      </c>
    </row>
    <row r="41" spans="1:19" x14ac:dyDescent="0.25">
      <c r="A41" s="31"/>
      <c r="B41" s="4" t="s">
        <v>164</v>
      </c>
      <c r="C41" s="5">
        <f>C37*2</f>
        <v>2</v>
      </c>
      <c r="D41" s="7">
        <v>0</v>
      </c>
      <c r="E41" s="3">
        <f t="shared" si="30"/>
        <v>2</v>
      </c>
      <c r="F41" s="3" t="s">
        <v>867</v>
      </c>
      <c r="G41" s="77">
        <v>264.91000000000003</v>
      </c>
      <c r="H41" s="5" t="s">
        <v>0</v>
      </c>
      <c r="I41" s="78">
        <f t="shared" si="31"/>
        <v>5.2982000000000005</v>
      </c>
      <c r="J41" s="110">
        <f t="shared" si="32"/>
        <v>75</v>
      </c>
      <c r="K41" s="4">
        <v>7.2</v>
      </c>
      <c r="L41" s="5" t="s">
        <v>0</v>
      </c>
      <c r="M41" s="80">
        <f t="shared" si="33"/>
        <v>0.14400000000000002</v>
      </c>
      <c r="N41" s="78">
        <f t="shared" si="34"/>
        <v>10.8</v>
      </c>
      <c r="O41" s="78">
        <f t="shared" si="35"/>
        <v>16.098200000000002</v>
      </c>
      <c r="P41" s="4"/>
      <c r="Q41" s="4"/>
      <c r="R41" s="49"/>
      <c r="S41" s="5">
        <v>141768</v>
      </c>
    </row>
    <row r="42" spans="1:19" x14ac:dyDescent="0.25">
      <c r="A42" s="31"/>
      <c r="B42" s="4" t="s">
        <v>165</v>
      </c>
      <c r="C42" s="5">
        <f>C37</f>
        <v>1</v>
      </c>
      <c r="D42" s="7">
        <v>0</v>
      </c>
      <c r="E42" s="3">
        <f t="shared" si="30"/>
        <v>1</v>
      </c>
      <c r="F42" s="3" t="s">
        <v>867</v>
      </c>
      <c r="G42" s="77">
        <v>539.5</v>
      </c>
      <c r="H42" s="5" t="s">
        <v>0</v>
      </c>
      <c r="I42" s="78">
        <f t="shared" si="31"/>
        <v>5.3949999999999996</v>
      </c>
      <c r="J42" s="110">
        <f t="shared" si="32"/>
        <v>75</v>
      </c>
      <c r="K42" s="4">
        <v>23</v>
      </c>
      <c r="L42" s="5" t="s">
        <v>0</v>
      </c>
      <c r="M42" s="80">
        <f t="shared" si="33"/>
        <v>0.23</v>
      </c>
      <c r="N42" s="78">
        <f t="shared" si="34"/>
        <v>17.25</v>
      </c>
      <c r="O42" s="78">
        <f t="shared" si="35"/>
        <v>22.645</v>
      </c>
      <c r="P42" s="4">
        <v>30</v>
      </c>
      <c r="Q42" s="4">
        <v>35</v>
      </c>
      <c r="R42" s="49">
        <v>40</v>
      </c>
      <c r="S42" s="5">
        <v>124323</v>
      </c>
    </row>
    <row r="43" spans="1:19" x14ac:dyDescent="0.25">
      <c r="A43" s="31"/>
      <c r="B43" s="4" t="s">
        <v>11</v>
      </c>
      <c r="C43" s="5">
        <f>C37</f>
        <v>1</v>
      </c>
      <c r="D43" s="7">
        <v>0</v>
      </c>
      <c r="E43" s="3">
        <f t="shared" si="30"/>
        <v>1</v>
      </c>
      <c r="F43" s="3" t="s">
        <v>867</v>
      </c>
      <c r="G43" s="77">
        <v>344.33</v>
      </c>
      <c r="H43" s="5" t="s">
        <v>0</v>
      </c>
      <c r="I43" s="78">
        <f t="shared" si="31"/>
        <v>3.4432999999999998</v>
      </c>
      <c r="J43" s="110">
        <f t="shared" si="32"/>
        <v>75</v>
      </c>
      <c r="K43" s="4">
        <v>2.5</v>
      </c>
      <c r="L43" s="5" t="s">
        <v>0</v>
      </c>
      <c r="M43" s="80">
        <f t="shared" si="33"/>
        <v>2.5000000000000001E-2</v>
      </c>
      <c r="N43" s="78">
        <f t="shared" si="34"/>
        <v>1.875</v>
      </c>
      <c r="O43" s="78">
        <f t="shared" si="35"/>
        <v>5.3182999999999998</v>
      </c>
      <c r="P43" s="4">
        <v>15</v>
      </c>
      <c r="Q43" s="4">
        <v>20</v>
      </c>
      <c r="R43" s="49">
        <v>25</v>
      </c>
      <c r="S43" s="5">
        <v>124401</v>
      </c>
    </row>
    <row r="44" spans="1:19" x14ac:dyDescent="0.25">
      <c r="A44" s="31"/>
      <c r="B44" s="4" t="s">
        <v>166</v>
      </c>
      <c r="C44" s="5">
        <f>C37*4</f>
        <v>4</v>
      </c>
      <c r="D44" s="7">
        <v>0</v>
      </c>
      <c r="E44" s="3">
        <f t="shared" si="30"/>
        <v>4</v>
      </c>
      <c r="F44" s="3" t="s">
        <v>867</v>
      </c>
      <c r="G44" s="77">
        <v>9.2100000000000009</v>
      </c>
      <c r="H44" s="5" t="s">
        <v>0</v>
      </c>
      <c r="I44" s="78">
        <f t="shared" si="31"/>
        <v>0.36840000000000006</v>
      </c>
      <c r="J44" s="110">
        <f t="shared" si="32"/>
        <v>75</v>
      </c>
      <c r="K44" s="4">
        <v>1.5</v>
      </c>
      <c r="L44" s="5" t="s">
        <v>0</v>
      </c>
      <c r="M44" s="80">
        <f t="shared" si="33"/>
        <v>0.06</v>
      </c>
      <c r="N44" s="78">
        <f t="shared" si="34"/>
        <v>4.5</v>
      </c>
      <c r="O44" s="78">
        <f t="shared" si="35"/>
        <v>4.8684000000000003</v>
      </c>
      <c r="P44" s="4">
        <v>3.1</v>
      </c>
      <c r="Q44" s="4">
        <v>3.88</v>
      </c>
      <c r="R44" s="49">
        <v>4.84</v>
      </c>
      <c r="S44" s="5">
        <v>142380</v>
      </c>
    </row>
    <row r="45" spans="1:19" x14ac:dyDescent="0.25">
      <c r="A45" s="31"/>
      <c r="B45" s="4"/>
      <c r="C45" s="5"/>
      <c r="D45" s="7"/>
      <c r="E45" s="3"/>
      <c r="F45" s="3"/>
      <c r="G45" s="77" t="s">
        <v>1202</v>
      </c>
      <c r="H45" s="5"/>
      <c r="I45" s="78"/>
      <c r="J45" s="9"/>
      <c r="K45" s="4"/>
      <c r="L45" s="5"/>
      <c r="M45" s="80"/>
      <c r="N45" s="78"/>
      <c r="O45" s="78"/>
      <c r="P45" s="4"/>
      <c r="Q45" s="4"/>
      <c r="R45" s="49"/>
      <c r="S45" s="5"/>
    </row>
    <row r="46" spans="1:19" ht="15" customHeight="1" x14ac:dyDescent="0.25">
      <c r="A46" s="60">
        <v>4</v>
      </c>
      <c r="B46" s="8" t="s">
        <v>287</v>
      </c>
      <c r="C46" s="5">
        <v>1</v>
      </c>
      <c r="D46" s="7">
        <v>0</v>
      </c>
      <c r="E46" s="3">
        <f t="shared" ref="E46:E53" si="36">C46+(C46*D46)</f>
        <v>1</v>
      </c>
      <c r="F46" s="3"/>
      <c r="G46" s="77" t="s">
        <v>1202</v>
      </c>
      <c r="H46" s="5"/>
      <c r="I46" s="78"/>
      <c r="J46" s="9"/>
      <c r="K46" s="4"/>
      <c r="L46" s="5"/>
      <c r="M46" s="80"/>
      <c r="N46" s="78"/>
      <c r="O46" s="78"/>
      <c r="P46" s="4"/>
      <c r="Q46" s="4"/>
      <c r="R46" s="49"/>
      <c r="S46" s="5"/>
    </row>
    <row r="47" spans="1:19" x14ac:dyDescent="0.25">
      <c r="A47" s="31"/>
      <c r="B47" s="4" t="s">
        <v>1165</v>
      </c>
      <c r="C47" s="5">
        <f>C46*10</f>
        <v>10</v>
      </c>
      <c r="D47" s="7">
        <v>0</v>
      </c>
      <c r="E47" s="3">
        <f t="shared" si="36"/>
        <v>10</v>
      </c>
      <c r="F47" s="3" t="s">
        <v>868</v>
      </c>
      <c r="G47" s="77">
        <v>195.47</v>
      </c>
      <c r="H47" s="5" t="s">
        <v>0</v>
      </c>
      <c r="I47" s="78">
        <f t="shared" ref="I47:I53" si="37">IF(H47="C",(G47/100)*E47,IF(H47="M",(G47/1000)*E47,G47*E47))</f>
        <v>19.546999999999997</v>
      </c>
      <c r="J47" s="110">
        <f t="shared" ref="J47:J53" si="38">$O$4</f>
        <v>75</v>
      </c>
      <c r="K47" s="4">
        <v>4.05</v>
      </c>
      <c r="L47" s="5" t="s">
        <v>0</v>
      </c>
      <c r="M47" s="80">
        <f t="shared" ref="M47:M53" si="39">IF(L47="C",(K47/100)*E47,IF(L47="M",(K47/1000)*E47,K47*E47))</f>
        <v>0.40500000000000003</v>
      </c>
      <c r="N47" s="78">
        <f t="shared" ref="N47:N53" si="40">M47*J47</f>
        <v>30.375000000000004</v>
      </c>
      <c r="O47" s="78">
        <f t="shared" ref="O47:O53" si="41">N47+I47</f>
        <v>49.921999999999997</v>
      </c>
      <c r="P47" s="4"/>
      <c r="Q47" s="4"/>
      <c r="R47" s="49"/>
      <c r="S47" s="5">
        <v>101007</v>
      </c>
    </row>
    <row r="48" spans="1:19" x14ac:dyDescent="0.25">
      <c r="A48" s="31"/>
      <c r="B48" s="4" t="s">
        <v>1166</v>
      </c>
      <c r="C48" s="5">
        <f>C46*2</f>
        <v>2</v>
      </c>
      <c r="D48" s="7">
        <v>0</v>
      </c>
      <c r="E48" s="3">
        <f t="shared" si="36"/>
        <v>2</v>
      </c>
      <c r="F48" s="3" t="s">
        <v>867</v>
      </c>
      <c r="G48" s="77">
        <v>94.36</v>
      </c>
      <c r="H48" s="5" t="s">
        <v>0</v>
      </c>
      <c r="I48" s="78">
        <f t="shared" si="37"/>
        <v>1.8872</v>
      </c>
      <c r="J48" s="110">
        <f t="shared" si="38"/>
        <v>75</v>
      </c>
      <c r="K48" s="4">
        <v>12</v>
      </c>
      <c r="L48" s="5" t="s">
        <v>0</v>
      </c>
      <c r="M48" s="80">
        <f t="shared" si="39"/>
        <v>0.24</v>
      </c>
      <c r="N48" s="78">
        <f t="shared" si="40"/>
        <v>18</v>
      </c>
      <c r="O48" s="78">
        <f t="shared" si="41"/>
        <v>19.8872</v>
      </c>
      <c r="P48" s="4"/>
      <c r="Q48" s="4"/>
      <c r="R48" s="49"/>
      <c r="S48" s="5">
        <v>101184</v>
      </c>
    </row>
    <row r="49" spans="1:19" x14ac:dyDescent="0.25">
      <c r="A49" s="31"/>
      <c r="B49" s="4" t="s">
        <v>1167</v>
      </c>
      <c r="C49" s="5">
        <f>C46</f>
        <v>1</v>
      </c>
      <c r="D49" s="7">
        <v>0</v>
      </c>
      <c r="E49" s="3">
        <f t="shared" si="36"/>
        <v>1</v>
      </c>
      <c r="F49" s="3" t="s">
        <v>867</v>
      </c>
      <c r="G49" s="77">
        <v>77.260000000000005</v>
      </c>
      <c r="H49" s="5" t="s">
        <v>0</v>
      </c>
      <c r="I49" s="78">
        <f t="shared" si="37"/>
        <v>0.77260000000000006</v>
      </c>
      <c r="J49" s="110">
        <f t="shared" si="38"/>
        <v>75</v>
      </c>
      <c r="K49" s="4">
        <v>5</v>
      </c>
      <c r="L49" s="5" t="s">
        <v>0</v>
      </c>
      <c r="M49" s="80">
        <f t="shared" si="39"/>
        <v>0.05</v>
      </c>
      <c r="N49" s="78">
        <f t="shared" si="40"/>
        <v>3.75</v>
      </c>
      <c r="O49" s="78">
        <f t="shared" si="41"/>
        <v>4.5225999999999997</v>
      </c>
      <c r="P49" s="4"/>
      <c r="Q49" s="4"/>
      <c r="R49" s="49"/>
      <c r="S49" s="5">
        <v>101382</v>
      </c>
    </row>
    <row r="50" spans="1:19" x14ac:dyDescent="0.25">
      <c r="A50" s="31"/>
      <c r="B50" s="4" t="s">
        <v>1171</v>
      </c>
      <c r="C50" s="5">
        <f>C46*2</f>
        <v>2</v>
      </c>
      <c r="D50" s="7">
        <v>0</v>
      </c>
      <c r="E50" s="3">
        <f t="shared" si="36"/>
        <v>2</v>
      </c>
      <c r="F50" s="3" t="s">
        <v>867</v>
      </c>
      <c r="G50" s="77">
        <v>37.85</v>
      </c>
      <c r="H50" s="5" t="s">
        <v>0</v>
      </c>
      <c r="I50" s="78">
        <f t="shared" si="37"/>
        <v>0.75700000000000001</v>
      </c>
      <c r="J50" s="110">
        <f t="shared" si="38"/>
        <v>75</v>
      </c>
      <c r="K50" s="4">
        <v>5.9</v>
      </c>
      <c r="L50" s="5" t="s">
        <v>0</v>
      </c>
      <c r="M50" s="80">
        <f t="shared" si="39"/>
        <v>0.11800000000000001</v>
      </c>
      <c r="N50" s="78">
        <f t="shared" si="40"/>
        <v>8.8500000000000014</v>
      </c>
      <c r="O50" s="78">
        <f t="shared" si="41"/>
        <v>9.6070000000000011</v>
      </c>
      <c r="P50" s="4"/>
      <c r="Q50" s="4"/>
      <c r="R50" s="49"/>
      <c r="S50" s="5">
        <v>101682</v>
      </c>
    </row>
    <row r="51" spans="1:19" x14ac:dyDescent="0.25">
      <c r="A51" s="31"/>
      <c r="B51" s="4" t="s">
        <v>860</v>
      </c>
      <c r="C51" s="5">
        <f>C46</f>
        <v>1</v>
      </c>
      <c r="D51" s="7">
        <v>0</v>
      </c>
      <c r="E51" s="3">
        <f t="shared" si="36"/>
        <v>1</v>
      </c>
      <c r="F51" s="3" t="s">
        <v>867</v>
      </c>
      <c r="G51" s="77">
        <v>404.23</v>
      </c>
      <c r="H51" s="5" t="s">
        <v>0</v>
      </c>
      <c r="I51" s="78">
        <f t="shared" si="37"/>
        <v>4.0423</v>
      </c>
      <c r="J51" s="110">
        <f t="shared" si="38"/>
        <v>75</v>
      </c>
      <c r="K51" s="4">
        <v>23</v>
      </c>
      <c r="L51" s="5" t="s">
        <v>0</v>
      </c>
      <c r="M51" s="80">
        <f t="shared" si="39"/>
        <v>0.23</v>
      </c>
      <c r="N51" s="78">
        <f t="shared" si="40"/>
        <v>17.25</v>
      </c>
      <c r="O51" s="78">
        <f t="shared" si="41"/>
        <v>21.292300000000001</v>
      </c>
      <c r="P51" s="4">
        <v>30</v>
      </c>
      <c r="Q51" s="4">
        <v>35</v>
      </c>
      <c r="R51" s="49">
        <v>40</v>
      </c>
      <c r="S51" s="5">
        <v>124314</v>
      </c>
    </row>
    <row r="52" spans="1:19" x14ac:dyDescent="0.25">
      <c r="A52" s="31"/>
      <c r="B52" s="4" t="s">
        <v>864</v>
      </c>
      <c r="C52" s="5">
        <f>C46*5</f>
        <v>5</v>
      </c>
      <c r="D52" s="7">
        <v>0</v>
      </c>
      <c r="E52" s="3">
        <f t="shared" si="36"/>
        <v>5</v>
      </c>
      <c r="F52" s="3" t="s">
        <v>867</v>
      </c>
      <c r="G52" s="77">
        <v>9.19</v>
      </c>
      <c r="H52" s="5" t="s">
        <v>0</v>
      </c>
      <c r="I52" s="78">
        <f t="shared" si="37"/>
        <v>0.45949999999999996</v>
      </c>
      <c r="J52" s="110">
        <f t="shared" si="38"/>
        <v>75</v>
      </c>
      <c r="K52" s="4">
        <v>6</v>
      </c>
      <c r="L52" s="5" t="s">
        <v>0</v>
      </c>
      <c r="M52" s="80">
        <f t="shared" si="39"/>
        <v>0.3</v>
      </c>
      <c r="N52" s="78">
        <f t="shared" si="40"/>
        <v>22.5</v>
      </c>
      <c r="O52" s="78">
        <f t="shared" si="41"/>
        <v>22.959499999999998</v>
      </c>
      <c r="P52" s="4">
        <v>15</v>
      </c>
      <c r="Q52" s="4">
        <v>18.7</v>
      </c>
      <c r="R52" s="49">
        <v>22.5</v>
      </c>
      <c r="S52" s="5">
        <v>139596</v>
      </c>
    </row>
    <row r="53" spans="1:19" x14ac:dyDescent="0.25">
      <c r="A53" s="31"/>
      <c r="B53" s="4" t="s">
        <v>14</v>
      </c>
      <c r="C53" s="5">
        <f>C46*5</f>
        <v>5</v>
      </c>
      <c r="D53" s="7">
        <v>0</v>
      </c>
      <c r="E53" s="3">
        <f t="shared" si="36"/>
        <v>5</v>
      </c>
      <c r="F53" s="3" t="s">
        <v>867</v>
      </c>
      <c r="G53" s="77">
        <v>12.42</v>
      </c>
      <c r="H53" s="5" t="s">
        <v>0</v>
      </c>
      <c r="I53" s="78">
        <f t="shared" si="37"/>
        <v>0.621</v>
      </c>
      <c r="J53" s="110">
        <f t="shared" si="38"/>
        <v>75</v>
      </c>
      <c r="K53" s="4">
        <v>3</v>
      </c>
      <c r="L53" s="5" t="s">
        <v>0</v>
      </c>
      <c r="M53" s="80">
        <f t="shared" si="39"/>
        <v>0.15</v>
      </c>
      <c r="N53" s="78">
        <f t="shared" si="40"/>
        <v>11.25</v>
      </c>
      <c r="O53" s="78">
        <f t="shared" si="41"/>
        <v>11.871</v>
      </c>
      <c r="P53" s="4">
        <v>3.15</v>
      </c>
      <c r="Q53" s="4">
        <v>3.94</v>
      </c>
      <c r="R53" s="49">
        <v>4.92</v>
      </c>
      <c r="S53" s="5">
        <v>140193</v>
      </c>
    </row>
    <row r="54" spans="1:19" x14ac:dyDescent="0.25">
      <c r="A54" s="31"/>
      <c r="B54" s="4"/>
      <c r="C54" s="5"/>
      <c r="D54" s="7"/>
      <c r="E54" s="3"/>
      <c r="F54" s="3"/>
      <c r="G54" s="77" t="s">
        <v>1202</v>
      </c>
      <c r="H54" s="5"/>
      <c r="I54" s="78"/>
      <c r="J54" s="9"/>
      <c r="K54" s="4"/>
      <c r="L54" s="5"/>
      <c r="M54" s="80"/>
      <c r="N54" s="78"/>
      <c r="O54" s="78"/>
      <c r="P54" s="4"/>
      <c r="Q54" s="4"/>
      <c r="R54" s="49"/>
      <c r="S54" s="5"/>
    </row>
    <row r="55" spans="1:19" x14ac:dyDescent="0.25">
      <c r="A55" s="31">
        <v>5</v>
      </c>
      <c r="B55" s="4" t="s">
        <v>169</v>
      </c>
      <c r="C55" s="5">
        <v>1</v>
      </c>
      <c r="D55" s="7">
        <v>0</v>
      </c>
      <c r="E55" s="3">
        <f t="shared" ref="E55:E62" si="42">C55+(C55*D55)</f>
        <v>1</v>
      </c>
      <c r="F55" s="3"/>
      <c r="G55" s="77" t="s">
        <v>1202</v>
      </c>
      <c r="H55" s="5"/>
      <c r="I55" s="78"/>
      <c r="J55" s="9"/>
      <c r="K55" s="4"/>
      <c r="L55" s="5"/>
      <c r="M55" s="80"/>
      <c r="N55" s="78"/>
      <c r="O55" s="78"/>
      <c r="P55" s="4"/>
      <c r="Q55" s="4"/>
      <c r="R55" s="49"/>
      <c r="S55" s="5"/>
    </row>
    <row r="56" spans="1:19" x14ac:dyDescent="0.25">
      <c r="A56" s="31"/>
      <c r="B56" s="4" t="s">
        <v>1165</v>
      </c>
      <c r="C56" s="5">
        <f>C55*10</f>
        <v>10</v>
      </c>
      <c r="D56" s="7">
        <v>0</v>
      </c>
      <c r="E56" s="3">
        <f t="shared" si="42"/>
        <v>10</v>
      </c>
      <c r="F56" s="3" t="s">
        <v>868</v>
      </c>
      <c r="G56" s="77">
        <v>195.47</v>
      </c>
      <c r="H56" s="5" t="s">
        <v>0</v>
      </c>
      <c r="I56" s="78">
        <f t="shared" ref="I56:I62" si="43">IF(H56="C",(G56/100)*E56,IF(H56="M",(G56/1000)*E56,G56*E56))</f>
        <v>19.546999999999997</v>
      </c>
      <c r="J56" s="110">
        <f t="shared" ref="J56" si="44">$O$4</f>
        <v>75</v>
      </c>
      <c r="K56" s="4">
        <v>4.05</v>
      </c>
      <c r="L56" s="5" t="s">
        <v>0</v>
      </c>
      <c r="M56" s="80">
        <f t="shared" ref="M56:M62" si="45">IF(L56="C",(K56/100)*E56,IF(L56="M",(K56/1000)*E56,K56*E56))</f>
        <v>0.40500000000000003</v>
      </c>
      <c r="N56" s="78">
        <f t="shared" ref="N56:N62" si="46">M56*J56</f>
        <v>30.375000000000004</v>
      </c>
      <c r="O56" s="78">
        <f t="shared" ref="O56:O62" si="47">N56+I56</f>
        <v>49.921999999999997</v>
      </c>
      <c r="P56" s="4"/>
      <c r="Q56" s="4"/>
      <c r="R56" s="49"/>
      <c r="S56" s="5">
        <v>101007</v>
      </c>
    </row>
    <row r="57" spans="1:19" x14ac:dyDescent="0.25">
      <c r="A57" s="31"/>
      <c r="B57" s="4" t="s">
        <v>1166</v>
      </c>
      <c r="C57" s="5">
        <f>C55*2</f>
        <v>2</v>
      </c>
      <c r="D57" s="7">
        <v>0</v>
      </c>
      <c r="E57" s="3">
        <f t="shared" si="42"/>
        <v>2</v>
      </c>
      <c r="F57" s="3" t="s">
        <v>867</v>
      </c>
      <c r="G57" s="77">
        <v>94.36</v>
      </c>
      <c r="H57" s="5" t="s">
        <v>0</v>
      </c>
      <c r="I57" s="78">
        <f t="shared" si="43"/>
        <v>1.8872</v>
      </c>
      <c r="J57" s="110">
        <f t="shared" ref="J57:J62" si="48">$O$4</f>
        <v>75</v>
      </c>
      <c r="K57" s="4">
        <v>12</v>
      </c>
      <c r="L57" s="5" t="s">
        <v>0</v>
      </c>
      <c r="M57" s="80">
        <f t="shared" si="45"/>
        <v>0.24</v>
      </c>
      <c r="N57" s="78">
        <f t="shared" si="46"/>
        <v>18</v>
      </c>
      <c r="O57" s="78">
        <f t="shared" si="47"/>
        <v>19.8872</v>
      </c>
      <c r="P57" s="4"/>
      <c r="Q57" s="4"/>
      <c r="R57" s="49"/>
      <c r="S57" s="5">
        <v>101184</v>
      </c>
    </row>
    <row r="58" spans="1:19" x14ac:dyDescent="0.25">
      <c r="A58" s="31"/>
      <c r="B58" s="4" t="s">
        <v>1167</v>
      </c>
      <c r="C58" s="5">
        <f>C55</f>
        <v>1</v>
      </c>
      <c r="D58" s="7">
        <v>0</v>
      </c>
      <c r="E58" s="3">
        <f t="shared" si="42"/>
        <v>1</v>
      </c>
      <c r="F58" s="3" t="s">
        <v>867</v>
      </c>
      <c r="G58" s="77">
        <v>77.260000000000005</v>
      </c>
      <c r="H58" s="5" t="s">
        <v>0</v>
      </c>
      <c r="I58" s="78">
        <f t="shared" si="43"/>
        <v>0.77260000000000006</v>
      </c>
      <c r="J58" s="110">
        <f t="shared" si="48"/>
        <v>75</v>
      </c>
      <c r="K58" s="4">
        <v>5</v>
      </c>
      <c r="L58" s="5" t="s">
        <v>0</v>
      </c>
      <c r="M58" s="80">
        <f t="shared" si="45"/>
        <v>0.05</v>
      </c>
      <c r="N58" s="78">
        <f t="shared" si="46"/>
        <v>3.75</v>
      </c>
      <c r="O58" s="78">
        <f t="shared" si="47"/>
        <v>4.5225999999999997</v>
      </c>
      <c r="P58" s="4"/>
      <c r="Q58" s="4"/>
      <c r="R58" s="49"/>
      <c r="S58" s="5">
        <v>101382</v>
      </c>
    </row>
    <row r="59" spans="1:19" x14ac:dyDescent="0.25">
      <c r="A59" s="31"/>
      <c r="B59" s="4" t="s">
        <v>170</v>
      </c>
      <c r="C59" s="5">
        <f>C55*2</f>
        <v>2</v>
      </c>
      <c r="D59" s="7">
        <v>0</v>
      </c>
      <c r="E59" s="3">
        <f t="shared" si="42"/>
        <v>2</v>
      </c>
      <c r="F59" s="3" t="s">
        <v>867</v>
      </c>
      <c r="G59" s="77">
        <v>310.87</v>
      </c>
      <c r="H59" s="5" t="s">
        <v>0</v>
      </c>
      <c r="I59" s="78">
        <f t="shared" si="43"/>
        <v>6.2174000000000005</v>
      </c>
      <c r="J59" s="110">
        <f t="shared" si="48"/>
        <v>75</v>
      </c>
      <c r="K59" s="4">
        <v>7.9</v>
      </c>
      <c r="L59" s="5" t="s">
        <v>0</v>
      </c>
      <c r="M59" s="80">
        <f t="shared" si="45"/>
        <v>0.158</v>
      </c>
      <c r="N59" s="78">
        <f t="shared" si="46"/>
        <v>11.85</v>
      </c>
      <c r="O59" s="78">
        <f t="shared" si="47"/>
        <v>18.067399999999999</v>
      </c>
      <c r="P59" s="4"/>
      <c r="Q59" s="4"/>
      <c r="R59" s="49"/>
      <c r="S59" s="5">
        <v>141771</v>
      </c>
    </row>
    <row r="60" spans="1:19" x14ac:dyDescent="0.25">
      <c r="A60" s="31"/>
      <c r="B60" s="4" t="s">
        <v>165</v>
      </c>
      <c r="C60" s="5">
        <f>C55</f>
        <v>1</v>
      </c>
      <c r="D60" s="7">
        <v>0</v>
      </c>
      <c r="E60" s="3">
        <f t="shared" si="42"/>
        <v>1</v>
      </c>
      <c r="F60" s="3" t="s">
        <v>867</v>
      </c>
      <c r="G60" s="77">
        <v>539.5</v>
      </c>
      <c r="H60" s="5" t="s">
        <v>0</v>
      </c>
      <c r="I60" s="78">
        <f t="shared" si="43"/>
        <v>5.3949999999999996</v>
      </c>
      <c r="J60" s="110">
        <f t="shared" si="48"/>
        <v>75</v>
      </c>
      <c r="K60" s="4">
        <v>23</v>
      </c>
      <c r="L60" s="5" t="s">
        <v>0</v>
      </c>
      <c r="M60" s="80">
        <f t="shared" si="45"/>
        <v>0.23</v>
      </c>
      <c r="N60" s="78">
        <f t="shared" si="46"/>
        <v>17.25</v>
      </c>
      <c r="O60" s="78">
        <f t="shared" si="47"/>
        <v>22.645</v>
      </c>
      <c r="P60" s="4">
        <v>30</v>
      </c>
      <c r="Q60" s="4">
        <v>35</v>
      </c>
      <c r="R60" s="49">
        <v>40</v>
      </c>
      <c r="S60" s="5">
        <v>124323</v>
      </c>
    </row>
    <row r="61" spans="1:19" x14ac:dyDescent="0.25">
      <c r="A61" s="31"/>
      <c r="B61" s="4" t="s">
        <v>2</v>
      </c>
      <c r="C61" s="5">
        <f>C55</f>
        <v>1</v>
      </c>
      <c r="D61" s="7">
        <v>0</v>
      </c>
      <c r="E61" s="3">
        <f t="shared" si="42"/>
        <v>1</v>
      </c>
      <c r="F61" s="3" t="s">
        <v>867</v>
      </c>
      <c r="G61" s="77">
        <v>258.01</v>
      </c>
      <c r="H61" s="5" t="s">
        <v>0</v>
      </c>
      <c r="I61" s="78">
        <f t="shared" si="43"/>
        <v>2.5800999999999998</v>
      </c>
      <c r="J61" s="110">
        <f t="shared" si="48"/>
        <v>75</v>
      </c>
      <c r="K61" s="4">
        <v>2.5</v>
      </c>
      <c r="L61" s="5" t="s">
        <v>0</v>
      </c>
      <c r="M61" s="80">
        <f t="shared" si="45"/>
        <v>2.5000000000000001E-2</v>
      </c>
      <c r="N61" s="78">
        <f t="shared" si="46"/>
        <v>1.875</v>
      </c>
      <c r="O61" s="78">
        <f t="shared" si="47"/>
        <v>4.4550999999999998</v>
      </c>
      <c r="P61" s="4">
        <v>15</v>
      </c>
      <c r="Q61" s="4">
        <v>20</v>
      </c>
      <c r="R61" s="49">
        <v>25</v>
      </c>
      <c r="S61" s="5">
        <v>124389</v>
      </c>
    </row>
    <row r="62" spans="1:19" x14ac:dyDescent="0.25">
      <c r="A62" s="31"/>
      <c r="B62" s="4" t="s">
        <v>166</v>
      </c>
      <c r="C62" s="5">
        <f>C55*4</f>
        <v>4</v>
      </c>
      <c r="D62" s="7">
        <v>0</v>
      </c>
      <c r="E62" s="3">
        <f t="shared" si="42"/>
        <v>4</v>
      </c>
      <c r="F62" s="3" t="s">
        <v>867</v>
      </c>
      <c r="G62" s="77">
        <v>9.2100000000000009</v>
      </c>
      <c r="H62" s="5" t="s">
        <v>0</v>
      </c>
      <c r="I62" s="78">
        <f t="shared" si="43"/>
        <v>0.36840000000000006</v>
      </c>
      <c r="J62" s="110">
        <f t="shared" si="48"/>
        <v>75</v>
      </c>
      <c r="K62" s="4">
        <v>1.5</v>
      </c>
      <c r="L62" s="5" t="s">
        <v>0</v>
      </c>
      <c r="M62" s="80">
        <f t="shared" si="45"/>
        <v>0.06</v>
      </c>
      <c r="N62" s="78">
        <f t="shared" si="46"/>
        <v>4.5</v>
      </c>
      <c r="O62" s="78">
        <f t="shared" si="47"/>
        <v>4.8684000000000003</v>
      </c>
      <c r="P62" s="4">
        <v>3.1</v>
      </c>
      <c r="Q62" s="4">
        <v>3.88</v>
      </c>
      <c r="R62" s="49">
        <v>4.84</v>
      </c>
      <c r="S62" s="5">
        <v>142380</v>
      </c>
    </row>
    <row r="63" spans="1:19" x14ac:dyDescent="0.25">
      <c r="A63" s="31"/>
      <c r="B63" s="4"/>
      <c r="C63" s="5"/>
      <c r="D63" s="7"/>
      <c r="E63" s="3"/>
      <c r="F63" s="3"/>
      <c r="G63" s="77" t="s">
        <v>1202</v>
      </c>
      <c r="H63" s="5"/>
      <c r="I63" s="78"/>
      <c r="J63" s="9"/>
      <c r="K63" s="4"/>
      <c r="L63" s="5"/>
      <c r="M63" s="80"/>
      <c r="N63" s="78"/>
      <c r="O63" s="78"/>
      <c r="P63" s="4"/>
      <c r="Q63" s="4"/>
      <c r="R63" s="49"/>
      <c r="S63" s="5"/>
    </row>
    <row r="64" spans="1:19" x14ac:dyDescent="0.25">
      <c r="A64" s="31">
        <v>6</v>
      </c>
      <c r="B64" s="4" t="s">
        <v>171</v>
      </c>
      <c r="C64" s="5">
        <v>1</v>
      </c>
      <c r="D64" s="7">
        <v>0</v>
      </c>
      <c r="E64" s="3">
        <f t="shared" ref="E64:E71" si="49">C64+(C64*D64)</f>
        <v>1</v>
      </c>
      <c r="F64" s="3"/>
      <c r="G64" s="77" t="s">
        <v>1202</v>
      </c>
      <c r="H64" s="5"/>
      <c r="I64" s="78"/>
      <c r="J64" s="9"/>
      <c r="K64" s="4"/>
      <c r="L64" s="5"/>
      <c r="M64" s="80"/>
      <c r="N64" s="78"/>
      <c r="O64" s="78"/>
      <c r="P64" s="4"/>
      <c r="Q64" s="4"/>
      <c r="R64" s="49"/>
      <c r="S64" s="5"/>
    </row>
    <row r="65" spans="1:19" x14ac:dyDescent="0.25">
      <c r="A65" s="31"/>
      <c r="B65" s="4" t="s">
        <v>1165</v>
      </c>
      <c r="C65" s="5">
        <f>C64*10</f>
        <v>10</v>
      </c>
      <c r="D65" s="7">
        <v>0</v>
      </c>
      <c r="E65" s="3">
        <f t="shared" si="49"/>
        <v>10</v>
      </c>
      <c r="F65" s="3" t="s">
        <v>868</v>
      </c>
      <c r="G65" s="77">
        <v>195.47</v>
      </c>
      <c r="H65" s="5" t="s">
        <v>0</v>
      </c>
      <c r="I65" s="78">
        <f t="shared" ref="I65:I71" si="50">IF(H65="C",(G65/100)*E65,IF(H65="M",(G65/1000)*E65,G65*E65))</f>
        <v>19.546999999999997</v>
      </c>
      <c r="J65" s="110">
        <f t="shared" ref="J65:J71" si="51">$O$4</f>
        <v>75</v>
      </c>
      <c r="K65" s="4">
        <v>4.05</v>
      </c>
      <c r="L65" s="5" t="s">
        <v>0</v>
      </c>
      <c r="M65" s="80">
        <f t="shared" ref="M65:M71" si="52">IF(L65="C",(K65/100)*E65,IF(L65="M",(K65/1000)*E65,K65*E65))</f>
        <v>0.40500000000000003</v>
      </c>
      <c r="N65" s="78">
        <f t="shared" ref="N65:N71" si="53">M65*J65</f>
        <v>30.375000000000004</v>
      </c>
      <c r="O65" s="78">
        <f t="shared" ref="O65:O71" si="54">N65+I65</f>
        <v>49.921999999999997</v>
      </c>
      <c r="P65" s="4"/>
      <c r="Q65" s="4"/>
      <c r="R65" s="49"/>
      <c r="S65" s="5">
        <v>101007</v>
      </c>
    </row>
    <row r="66" spans="1:19" x14ac:dyDescent="0.25">
      <c r="A66" s="31"/>
      <c r="B66" s="4" t="s">
        <v>1166</v>
      </c>
      <c r="C66" s="5">
        <f>C64*2</f>
        <v>2</v>
      </c>
      <c r="D66" s="7">
        <v>0</v>
      </c>
      <c r="E66" s="3">
        <f t="shared" si="49"/>
        <v>2</v>
      </c>
      <c r="F66" s="3" t="s">
        <v>867</v>
      </c>
      <c r="G66" s="77">
        <v>94.36</v>
      </c>
      <c r="H66" s="5" t="s">
        <v>0</v>
      </c>
      <c r="I66" s="78">
        <f t="shared" si="50"/>
        <v>1.8872</v>
      </c>
      <c r="J66" s="110">
        <f t="shared" si="51"/>
        <v>75</v>
      </c>
      <c r="K66" s="4">
        <v>12</v>
      </c>
      <c r="L66" s="5" t="s">
        <v>0</v>
      </c>
      <c r="M66" s="80">
        <f t="shared" si="52"/>
        <v>0.24</v>
      </c>
      <c r="N66" s="78">
        <f t="shared" si="53"/>
        <v>18</v>
      </c>
      <c r="O66" s="78">
        <f t="shared" si="54"/>
        <v>19.8872</v>
      </c>
      <c r="P66" s="4"/>
      <c r="Q66" s="4"/>
      <c r="R66" s="49"/>
      <c r="S66" s="5">
        <v>101184</v>
      </c>
    </row>
    <row r="67" spans="1:19" x14ac:dyDescent="0.25">
      <c r="A67" s="31"/>
      <c r="B67" s="4" t="s">
        <v>1167</v>
      </c>
      <c r="C67" s="5">
        <f>C64</f>
        <v>1</v>
      </c>
      <c r="D67" s="7">
        <v>0</v>
      </c>
      <c r="E67" s="3">
        <f t="shared" si="49"/>
        <v>1</v>
      </c>
      <c r="F67" s="3" t="s">
        <v>867</v>
      </c>
      <c r="G67" s="77">
        <v>77.260000000000005</v>
      </c>
      <c r="H67" s="5" t="s">
        <v>0</v>
      </c>
      <c r="I67" s="78">
        <f t="shared" si="50"/>
        <v>0.77260000000000006</v>
      </c>
      <c r="J67" s="110">
        <f t="shared" si="51"/>
        <v>75</v>
      </c>
      <c r="K67" s="4">
        <v>5</v>
      </c>
      <c r="L67" s="5" t="s">
        <v>0</v>
      </c>
      <c r="M67" s="80">
        <f t="shared" si="52"/>
        <v>0.05</v>
      </c>
      <c r="N67" s="78">
        <f t="shared" si="53"/>
        <v>3.75</v>
      </c>
      <c r="O67" s="78">
        <f t="shared" si="54"/>
        <v>4.5225999999999997</v>
      </c>
      <c r="P67" s="4"/>
      <c r="Q67" s="4"/>
      <c r="R67" s="49"/>
      <c r="S67" s="5">
        <v>101382</v>
      </c>
    </row>
    <row r="68" spans="1:19" x14ac:dyDescent="0.25">
      <c r="A68" s="31"/>
      <c r="B68" s="4" t="s">
        <v>170</v>
      </c>
      <c r="C68" s="5">
        <f>C64*2</f>
        <v>2</v>
      </c>
      <c r="D68" s="7">
        <v>0</v>
      </c>
      <c r="E68" s="3">
        <f t="shared" si="49"/>
        <v>2</v>
      </c>
      <c r="F68" s="3" t="s">
        <v>867</v>
      </c>
      <c r="G68" s="77">
        <v>310.87</v>
      </c>
      <c r="H68" s="5" t="s">
        <v>0</v>
      </c>
      <c r="I68" s="78">
        <f t="shared" si="50"/>
        <v>6.2174000000000005</v>
      </c>
      <c r="J68" s="110">
        <f t="shared" si="51"/>
        <v>75</v>
      </c>
      <c r="K68" s="4">
        <v>7.9</v>
      </c>
      <c r="L68" s="5" t="s">
        <v>0</v>
      </c>
      <c r="M68" s="80">
        <f t="shared" si="52"/>
        <v>0.158</v>
      </c>
      <c r="N68" s="78">
        <f t="shared" si="53"/>
        <v>11.85</v>
      </c>
      <c r="O68" s="78">
        <f t="shared" si="54"/>
        <v>18.067399999999999</v>
      </c>
      <c r="P68" s="4"/>
      <c r="Q68" s="4"/>
      <c r="R68" s="49"/>
      <c r="S68" s="5">
        <v>141771</v>
      </c>
    </row>
    <row r="69" spans="1:19" x14ac:dyDescent="0.25">
      <c r="A69" s="31"/>
      <c r="B69" s="4" t="s">
        <v>165</v>
      </c>
      <c r="C69" s="5">
        <f>C64</f>
        <v>1</v>
      </c>
      <c r="D69" s="7">
        <v>0</v>
      </c>
      <c r="E69" s="3">
        <f t="shared" si="49"/>
        <v>1</v>
      </c>
      <c r="F69" s="3" t="s">
        <v>867</v>
      </c>
      <c r="G69" s="77">
        <v>539.5</v>
      </c>
      <c r="H69" s="5" t="s">
        <v>0</v>
      </c>
      <c r="I69" s="78">
        <f t="shared" si="50"/>
        <v>5.3949999999999996</v>
      </c>
      <c r="J69" s="110">
        <f t="shared" si="51"/>
        <v>75</v>
      </c>
      <c r="K69" s="4">
        <v>23</v>
      </c>
      <c r="L69" s="5" t="s">
        <v>0</v>
      </c>
      <c r="M69" s="80">
        <f t="shared" si="52"/>
        <v>0.23</v>
      </c>
      <c r="N69" s="78">
        <f t="shared" si="53"/>
        <v>17.25</v>
      </c>
      <c r="O69" s="78">
        <f t="shared" si="54"/>
        <v>22.645</v>
      </c>
      <c r="P69" s="4">
        <v>30</v>
      </c>
      <c r="Q69" s="4">
        <v>35</v>
      </c>
      <c r="R69" s="49">
        <v>40</v>
      </c>
      <c r="S69" s="5">
        <v>124323</v>
      </c>
    </row>
    <row r="70" spans="1:19" x14ac:dyDescent="0.25">
      <c r="A70" s="31"/>
      <c r="B70" s="4" t="s">
        <v>11</v>
      </c>
      <c r="C70" s="5">
        <f>C64</f>
        <v>1</v>
      </c>
      <c r="D70" s="7">
        <v>0</v>
      </c>
      <c r="E70" s="3">
        <f t="shared" si="49"/>
        <v>1</v>
      </c>
      <c r="F70" s="3" t="s">
        <v>867</v>
      </c>
      <c r="G70" s="77">
        <v>344.33</v>
      </c>
      <c r="H70" s="5" t="s">
        <v>0</v>
      </c>
      <c r="I70" s="78">
        <f t="shared" si="50"/>
        <v>3.4432999999999998</v>
      </c>
      <c r="J70" s="110">
        <f t="shared" si="51"/>
        <v>75</v>
      </c>
      <c r="K70" s="4">
        <v>2.5</v>
      </c>
      <c r="L70" s="5" t="s">
        <v>0</v>
      </c>
      <c r="M70" s="80">
        <f t="shared" si="52"/>
        <v>2.5000000000000001E-2</v>
      </c>
      <c r="N70" s="78">
        <f t="shared" si="53"/>
        <v>1.875</v>
      </c>
      <c r="O70" s="78">
        <f t="shared" si="54"/>
        <v>5.3182999999999998</v>
      </c>
      <c r="P70" s="4">
        <v>15</v>
      </c>
      <c r="Q70" s="4">
        <v>20</v>
      </c>
      <c r="R70" s="49">
        <v>25</v>
      </c>
      <c r="S70" s="5">
        <v>124401</v>
      </c>
    </row>
    <row r="71" spans="1:19" x14ac:dyDescent="0.25">
      <c r="A71" s="31"/>
      <c r="B71" s="4" t="s">
        <v>166</v>
      </c>
      <c r="C71" s="5">
        <f>C64*4</f>
        <v>4</v>
      </c>
      <c r="D71" s="7">
        <v>0</v>
      </c>
      <c r="E71" s="3">
        <f t="shared" si="49"/>
        <v>4</v>
      </c>
      <c r="F71" s="3" t="s">
        <v>867</v>
      </c>
      <c r="G71" s="77">
        <v>9.2100000000000009</v>
      </c>
      <c r="H71" s="5" t="s">
        <v>0</v>
      </c>
      <c r="I71" s="78">
        <f t="shared" si="50"/>
        <v>0.36840000000000006</v>
      </c>
      <c r="J71" s="110">
        <f t="shared" si="51"/>
        <v>75</v>
      </c>
      <c r="K71" s="4">
        <v>1.5</v>
      </c>
      <c r="L71" s="5" t="s">
        <v>0</v>
      </c>
      <c r="M71" s="80">
        <f t="shared" si="52"/>
        <v>0.06</v>
      </c>
      <c r="N71" s="78">
        <f t="shared" si="53"/>
        <v>4.5</v>
      </c>
      <c r="O71" s="78">
        <f t="shared" si="54"/>
        <v>4.8684000000000003</v>
      </c>
      <c r="P71" s="4">
        <v>3.1</v>
      </c>
      <c r="Q71" s="4">
        <v>3.88</v>
      </c>
      <c r="R71" s="49">
        <v>4.84</v>
      </c>
      <c r="S71" s="5">
        <v>142380</v>
      </c>
    </row>
    <row r="72" spans="1:19" x14ac:dyDescent="0.25">
      <c r="A72" s="31"/>
      <c r="B72" s="4"/>
      <c r="C72" s="5"/>
      <c r="D72" s="5"/>
      <c r="E72" s="5"/>
      <c r="F72" s="5"/>
      <c r="G72" s="77" t="s">
        <v>1202</v>
      </c>
      <c r="H72" s="5"/>
      <c r="I72" s="78"/>
      <c r="J72" s="9"/>
      <c r="K72" s="4"/>
      <c r="L72" s="5"/>
      <c r="M72" s="80"/>
      <c r="N72" s="78"/>
      <c r="O72" s="78"/>
      <c r="P72" s="4"/>
      <c r="Q72" s="4"/>
      <c r="R72" s="49"/>
      <c r="S72" s="5"/>
    </row>
    <row r="73" spans="1:19" x14ac:dyDescent="0.25">
      <c r="A73" s="31"/>
      <c r="B73" s="4"/>
      <c r="C73" s="5"/>
      <c r="D73" s="5"/>
      <c r="E73" s="5"/>
      <c r="F73" s="5"/>
      <c r="G73" s="77" t="s">
        <v>1202</v>
      </c>
      <c r="H73" s="5"/>
      <c r="I73" s="78"/>
      <c r="J73" s="9"/>
      <c r="K73" s="4"/>
      <c r="L73" s="5"/>
      <c r="M73" s="80"/>
      <c r="N73" s="78"/>
      <c r="O73" s="78"/>
      <c r="P73" s="4"/>
      <c r="Q73" s="4"/>
      <c r="R73" s="49"/>
      <c r="S73" s="5"/>
    </row>
    <row r="74" spans="1:19" x14ac:dyDescent="0.25">
      <c r="A74" s="31"/>
      <c r="B74" s="59" t="s">
        <v>175</v>
      </c>
      <c r="C74" s="5"/>
      <c r="D74" s="5"/>
      <c r="E74" s="5"/>
      <c r="F74" s="5"/>
      <c r="G74" s="77" t="s">
        <v>1202</v>
      </c>
      <c r="H74" s="5"/>
      <c r="I74" s="78"/>
      <c r="J74" s="9"/>
      <c r="K74" s="4"/>
      <c r="L74" s="5"/>
      <c r="M74" s="80"/>
      <c r="N74" s="78"/>
      <c r="O74" s="78"/>
      <c r="P74" s="4"/>
      <c r="Q74" s="4"/>
      <c r="R74" s="49"/>
      <c r="S74" s="5"/>
    </row>
    <row r="75" spans="1:19" x14ac:dyDescent="0.25">
      <c r="A75" s="31"/>
      <c r="B75" s="4"/>
      <c r="C75" s="5"/>
      <c r="D75" s="5"/>
      <c r="E75" s="5"/>
      <c r="F75" s="5"/>
      <c r="G75" s="77" t="s">
        <v>1202</v>
      </c>
      <c r="H75" s="5"/>
      <c r="I75" s="78"/>
      <c r="J75" s="9"/>
      <c r="K75" s="4"/>
      <c r="L75" s="5"/>
      <c r="M75" s="80"/>
      <c r="N75" s="78"/>
      <c r="O75" s="78"/>
      <c r="P75" s="4"/>
      <c r="Q75" s="4"/>
      <c r="R75" s="49"/>
      <c r="S75" s="5"/>
    </row>
    <row r="76" spans="1:19" x14ac:dyDescent="0.25">
      <c r="A76" s="31">
        <v>1</v>
      </c>
      <c r="B76" s="4" t="s">
        <v>173</v>
      </c>
      <c r="C76" s="5">
        <v>1</v>
      </c>
      <c r="D76" s="7">
        <v>0</v>
      </c>
      <c r="E76" s="3">
        <f>C76+(C76*D76)</f>
        <v>1</v>
      </c>
      <c r="F76" s="3" t="s">
        <v>867</v>
      </c>
      <c r="G76" s="77">
        <v>0</v>
      </c>
      <c r="H76" s="5" t="s">
        <v>1</v>
      </c>
      <c r="I76" s="78">
        <f>IF(H76="C",(G76/100)*E76,IF(H76="M",(G76/1000)*E76,G76*E76))</f>
        <v>0</v>
      </c>
      <c r="J76" s="110">
        <f t="shared" ref="J76:J78" si="55">$O$4</f>
        <v>75</v>
      </c>
      <c r="K76" s="4">
        <v>1.1000000000000001</v>
      </c>
      <c r="L76" s="5" t="s">
        <v>1</v>
      </c>
      <c r="M76" s="80">
        <f>IF(L76="C",(K76/100)*E76,IF(L76="M",(K76/1000)*E76,K76*E76))</f>
        <v>1.1000000000000001</v>
      </c>
      <c r="N76" s="78">
        <f>M76*J76</f>
        <v>82.5</v>
      </c>
      <c r="O76" s="78">
        <f>N76+I76</f>
        <v>82.5</v>
      </c>
      <c r="P76" s="4"/>
      <c r="Q76" s="4"/>
      <c r="R76" s="49"/>
      <c r="S76" s="5">
        <v>139335</v>
      </c>
    </row>
    <row r="77" spans="1:19" x14ac:dyDescent="0.25">
      <c r="A77" s="31"/>
      <c r="B77" s="4" t="s">
        <v>1161</v>
      </c>
      <c r="C77" s="5">
        <f>C76*4</f>
        <v>4</v>
      </c>
      <c r="D77" s="7">
        <v>0</v>
      </c>
      <c r="E77" s="3">
        <f>C77+(C77*D77)</f>
        <v>4</v>
      </c>
      <c r="F77" s="3" t="s">
        <v>867</v>
      </c>
      <c r="G77" s="77">
        <v>0</v>
      </c>
      <c r="H77" s="5" t="s">
        <v>0</v>
      </c>
      <c r="I77" s="78">
        <f>IF(H77="C",(G77/100)*E77,IF(H77="M",(G77/1000)*E77,G77*E77))</f>
        <v>0</v>
      </c>
      <c r="J77" s="110">
        <f t="shared" si="55"/>
        <v>75</v>
      </c>
      <c r="K77" s="4">
        <v>8</v>
      </c>
      <c r="L77" s="5" t="s">
        <v>0</v>
      </c>
      <c r="M77" s="80">
        <f>IF(L77="C",(K77/100)*E77,IF(L77="M",(K77/1000)*E77,K77*E77))</f>
        <v>0.32</v>
      </c>
      <c r="N77" s="78">
        <f>M77*J77</f>
        <v>24</v>
      </c>
      <c r="O77" s="78">
        <f>N77+I77</f>
        <v>24</v>
      </c>
      <c r="P77" s="4"/>
      <c r="Q77" s="4"/>
      <c r="R77" s="49"/>
      <c r="S77" s="5">
        <v>139605</v>
      </c>
    </row>
    <row r="78" spans="1:19" x14ac:dyDescent="0.25">
      <c r="A78" s="31"/>
      <c r="B78" s="4" t="s">
        <v>172</v>
      </c>
      <c r="C78" s="5">
        <f>C76*4</f>
        <v>4</v>
      </c>
      <c r="D78" s="7">
        <v>0</v>
      </c>
      <c r="E78" s="3">
        <f>C78+(C78*D78)</f>
        <v>4</v>
      </c>
      <c r="F78" s="3" t="s">
        <v>867</v>
      </c>
      <c r="G78" s="77">
        <v>9.24</v>
      </c>
      <c r="H78" s="5" t="s">
        <v>0</v>
      </c>
      <c r="I78" s="78">
        <f>IF(H78="C",(G78/100)*E78,IF(H78="M",(G78/1000)*E78,G78*E78))</f>
        <v>0.36959999999999998</v>
      </c>
      <c r="J78" s="110">
        <f t="shared" si="55"/>
        <v>75</v>
      </c>
      <c r="K78" s="4">
        <v>3.8</v>
      </c>
      <c r="L78" s="5" t="s">
        <v>0</v>
      </c>
      <c r="M78" s="80">
        <f>IF(L78="C",(K78/100)*E78,IF(L78="M",(K78/1000)*E78,K78*E78))</f>
        <v>0.152</v>
      </c>
      <c r="N78" s="78">
        <f>M78*J78</f>
        <v>11.4</v>
      </c>
      <c r="O78" s="78">
        <f>N78+I78</f>
        <v>11.769600000000001</v>
      </c>
      <c r="P78" s="4"/>
      <c r="Q78" s="4"/>
      <c r="R78" s="49"/>
      <c r="S78" s="5">
        <v>140352</v>
      </c>
    </row>
    <row r="79" spans="1:19" x14ac:dyDescent="0.25">
      <c r="A79" s="31"/>
      <c r="B79" s="4"/>
      <c r="C79" s="5"/>
      <c r="D79" s="5"/>
      <c r="E79" s="5"/>
      <c r="F79" s="3"/>
      <c r="G79" s="77" t="s">
        <v>1202</v>
      </c>
      <c r="H79" s="5"/>
      <c r="I79" s="78"/>
      <c r="J79" s="9"/>
      <c r="K79" s="4"/>
      <c r="L79" s="5"/>
      <c r="M79" s="80"/>
      <c r="N79" s="78"/>
      <c r="O79" s="78"/>
      <c r="P79" s="4"/>
      <c r="Q79" s="4"/>
      <c r="R79" s="49"/>
      <c r="S79" s="5"/>
    </row>
    <row r="80" spans="1:19" x14ac:dyDescent="0.25">
      <c r="A80" s="31">
        <v>2</v>
      </c>
      <c r="B80" s="4" t="s">
        <v>174</v>
      </c>
      <c r="C80" s="5">
        <v>1</v>
      </c>
      <c r="D80" s="7">
        <v>0</v>
      </c>
      <c r="E80" s="3">
        <f>C80+(C80*D80)</f>
        <v>1</v>
      </c>
      <c r="F80" s="3" t="s">
        <v>867</v>
      </c>
      <c r="G80" s="77">
        <v>0</v>
      </c>
      <c r="H80" s="5" t="s">
        <v>1</v>
      </c>
      <c r="I80" s="78">
        <f>IF(H80="C",(G80/100)*E80,IF(H80="M",(G80/1000)*E80,G80*E80))</f>
        <v>0</v>
      </c>
      <c r="J80" s="110">
        <f t="shared" ref="J80:J82" si="56">$O$4</f>
        <v>75</v>
      </c>
      <c r="K80" s="4">
        <v>1.65</v>
      </c>
      <c r="L80" s="5" t="s">
        <v>1</v>
      </c>
      <c r="M80" s="80">
        <f>IF(L80="C",(K80/100)*E80,IF(L80="M",(K80/1000)*E80,K80*E80))</f>
        <v>1.65</v>
      </c>
      <c r="N80" s="78">
        <f>M80*J80</f>
        <v>123.75</v>
      </c>
      <c r="O80" s="78">
        <f>N80+I80</f>
        <v>123.75</v>
      </c>
      <c r="P80" s="4"/>
      <c r="Q80" s="4"/>
      <c r="R80" s="49"/>
      <c r="S80" s="5">
        <v>139338</v>
      </c>
    </row>
    <row r="81" spans="1:19" x14ac:dyDescent="0.25">
      <c r="A81" s="31"/>
      <c r="B81" s="4" t="s">
        <v>1161</v>
      </c>
      <c r="C81" s="5">
        <f>C80*6</f>
        <v>6</v>
      </c>
      <c r="D81" s="7">
        <v>0</v>
      </c>
      <c r="E81" s="3">
        <f>C81+(C81*D81)</f>
        <v>6</v>
      </c>
      <c r="F81" s="3" t="s">
        <v>867</v>
      </c>
      <c r="G81" s="77">
        <v>0</v>
      </c>
      <c r="H81" s="5" t="s">
        <v>0</v>
      </c>
      <c r="I81" s="78">
        <f>IF(H81="C",(G81/100)*E81,IF(H81="M",(G81/1000)*E81,G81*E81))</f>
        <v>0</v>
      </c>
      <c r="J81" s="110">
        <f t="shared" si="56"/>
        <v>75</v>
      </c>
      <c r="K81" s="4">
        <v>8</v>
      </c>
      <c r="L81" s="5" t="s">
        <v>0</v>
      </c>
      <c r="M81" s="80">
        <f>IF(L81="C",(K81/100)*E81,IF(L81="M",(K81/1000)*E81,K81*E81))</f>
        <v>0.48</v>
      </c>
      <c r="N81" s="78">
        <f>M81*J81</f>
        <v>36</v>
      </c>
      <c r="O81" s="78">
        <f>N81+I81</f>
        <v>36</v>
      </c>
      <c r="P81" s="4">
        <v>18</v>
      </c>
      <c r="Q81" s="4">
        <v>22.5</v>
      </c>
      <c r="R81" s="49">
        <v>27</v>
      </c>
      <c r="S81" s="5">
        <v>139605</v>
      </c>
    </row>
    <row r="82" spans="1:19" x14ac:dyDescent="0.25">
      <c r="A82" s="31"/>
      <c r="B82" s="4" t="s">
        <v>172</v>
      </c>
      <c r="C82" s="5">
        <f>C80*6</f>
        <v>6</v>
      </c>
      <c r="D82" s="7">
        <v>0</v>
      </c>
      <c r="E82" s="3">
        <f>C82+(C82*D82)</f>
        <v>6</v>
      </c>
      <c r="F82" s="3" t="s">
        <v>867</v>
      </c>
      <c r="G82" s="77">
        <v>9.24</v>
      </c>
      <c r="H82" s="5" t="s">
        <v>0</v>
      </c>
      <c r="I82" s="78">
        <f>IF(H82="C",(G82/100)*E82,IF(H82="M",(G82/1000)*E82,G82*E82))</f>
        <v>0.5544</v>
      </c>
      <c r="J82" s="110">
        <f t="shared" si="56"/>
        <v>75</v>
      </c>
      <c r="K82" s="4">
        <v>3.8</v>
      </c>
      <c r="L82" s="5" t="s">
        <v>0</v>
      </c>
      <c r="M82" s="80">
        <f>IF(L82="C",(K82/100)*E82,IF(L82="M",(K82/1000)*E82,K82*E82))</f>
        <v>0.22799999999999998</v>
      </c>
      <c r="N82" s="78">
        <f>M82*J82</f>
        <v>17.099999999999998</v>
      </c>
      <c r="O82" s="78">
        <f>N82+I82</f>
        <v>17.654399999999999</v>
      </c>
      <c r="P82" s="4">
        <v>0.7</v>
      </c>
      <c r="Q82" s="4">
        <v>0.88</v>
      </c>
      <c r="R82" s="49">
        <v>1.0900000000000001</v>
      </c>
      <c r="S82" s="5">
        <v>140352</v>
      </c>
    </row>
    <row r="83" spans="1:19" ht="15.75" thickBot="1" x14ac:dyDescent="0.3">
      <c r="A83" s="33"/>
      <c r="B83" s="28"/>
      <c r="C83" s="29"/>
      <c r="D83" s="61"/>
      <c r="E83" s="62"/>
      <c r="F83" s="62"/>
      <c r="G83" s="34"/>
      <c r="H83" s="29"/>
      <c r="I83" s="34"/>
      <c r="J83" s="34"/>
      <c r="K83" s="45"/>
      <c r="L83" s="29"/>
      <c r="M83" s="45"/>
      <c r="N83" s="28"/>
      <c r="O83" s="28"/>
      <c r="P83" s="28"/>
      <c r="Q83" s="28"/>
      <c r="R83" s="52"/>
      <c r="S83" s="5"/>
    </row>
  </sheetData>
  <mergeCells count="1">
    <mergeCell ref="M4:N4"/>
  </mergeCells>
  <pageMargins left="0.7" right="0.7" top="0.75" bottom="0.75" header="0.3" footer="0.3"/>
  <pageSetup scale="44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96"/>
  <sheetViews>
    <sheetView view="pageBreakPreview" topLeftCell="A204" zoomScale="90" zoomScaleNormal="85" zoomScaleSheetLayoutView="90" workbookViewId="0">
      <selection activeCell="A218" sqref="A218:XFD218"/>
    </sheetView>
  </sheetViews>
  <sheetFormatPr defaultColWidth="9.140625" defaultRowHeight="15" x14ac:dyDescent="0.25"/>
  <cols>
    <col min="1" max="1" width="4.42578125" style="2" bestFit="1" customWidth="1"/>
    <col min="2" max="2" width="55.7109375" style="1" bestFit="1" customWidth="1"/>
    <col min="3" max="3" width="10.7109375" style="2" customWidth="1"/>
    <col min="4" max="5" width="10.7109375" style="1" customWidth="1"/>
    <col min="6" max="6" width="5.85546875" style="1" bestFit="1" customWidth="1"/>
    <col min="7" max="7" width="11.85546875" style="10" bestFit="1" customWidth="1"/>
    <col min="8" max="8" width="5.85546875" style="2" bestFit="1" customWidth="1"/>
    <col min="9" max="9" width="12.7109375" style="1" customWidth="1"/>
    <col min="10" max="10" width="7.42578125" style="1" bestFit="1" customWidth="1"/>
    <col min="11" max="11" width="7.42578125" style="184" bestFit="1" customWidth="1"/>
    <col min="12" max="12" width="5.85546875" style="2" bestFit="1" customWidth="1"/>
    <col min="13" max="13" width="7.42578125" style="1" bestFit="1" customWidth="1"/>
    <col min="14" max="14" width="8.140625" style="1" bestFit="1" customWidth="1"/>
    <col min="15" max="15" width="9.140625" style="1" bestFit="1" customWidth="1"/>
    <col min="16" max="16" width="11.42578125" style="1" bestFit="1" customWidth="1"/>
    <col min="17" max="16384" width="9.140625" style="1"/>
  </cols>
  <sheetData>
    <row r="1" spans="1:18" x14ac:dyDescent="0.25">
      <c r="I1" s="43"/>
      <c r="K1" s="170"/>
      <c r="N1" s="43"/>
      <c r="O1" s="43"/>
    </row>
    <row r="2" spans="1:18" x14ac:dyDescent="0.25">
      <c r="I2" s="43"/>
      <c r="K2" s="170"/>
      <c r="N2" s="43"/>
      <c r="O2" s="43"/>
    </row>
    <row r="3" spans="1:18" ht="15.75" thickBot="1" x14ac:dyDescent="0.3">
      <c r="I3" s="43"/>
      <c r="K3" s="170"/>
      <c r="N3" s="43"/>
      <c r="O3" s="43"/>
    </row>
    <row r="4" spans="1:18" ht="16.5" thickBot="1" x14ac:dyDescent="0.3">
      <c r="I4" s="43"/>
      <c r="K4" s="170"/>
      <c r="M4" s="253" t="s">
        <v>1199</v>
      </c>
      <c r="N4" s="254"/>
      <c r="O4" s="108">
        <v>75</v>
      </c>
    </row>
    <row r="5" spans="1:18" ht="42.75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180" t="s">
        <v>285</v>
      </c>
      <c r="L5" s="82" t="s">
        <v>284</v>
      </c>
      <c r="M5" s="81" t="s">
        <v>286</v>
      </c>
      <c r="N5" s="83" t="s">
        <v>871</v>
      </c>
      <c r="O5" s="84" t="s">
        <v>872</v>
      </c>
      <c r="P5" s="109" t="s">
        <v>1200</v>
      </c>
      <c r="Q5" s="109"/>
      <c r="R5" s="109"/>
    </row>
    <row r="6" spans="1:18" ht="15.75" thickBot="1" x14ac:dyDescent="0.3">
      <c r="A6" s="31"/>
      <c r="B6" s="4"/>
      <c r="C6" s="5"/>
      <c r="D6" s="4"/>
      <c r="E6" s="4"/>
      <c r="F6" s="4"/>
      <c r="G6" s="9"/>
      <c r="H6" s="5"/>
      <c r="I6" s="4"/>
      <c r="J6" s="4"/>
      <c r="K6" s="181"/>
      <c r="L6" s="5"/>
      <c r="M6" s="4"/>
      <c r="N6" s="4"/>
      <c r="O6" s="49"/>
      <c r="P6" s="124"/>
      <c r="Q6" s="97"/>
      <c r="R6" s="100"/>
    </row>
    <row r="7" spans="1:18" ht="15.75" thickBot="1" x14ac:dyDescent="0.3">
      <c r="A7" s="31"/>
      <c r="B7" s="120" t="s">
        <v>30</v>
      </c>
      <c r="C7" s="5"/>
      <c r="D7" s="4"/>
      <c r="E7" s="4"/>
      <c r="F7" s="4"/>
      <c r="G7" s="9"/>
      <c r="H7" s="5"/>
      <c r="I7" s="4"/>
      <c r="J7" s="4"/>
      <c r="K7" s="181"/>
      <c r="L7" s="5"/>
      <c r="M7" s="4"/>
      <c r="N7" s="4"/>
      <c r="O7" s="49"/>
      <c r="P7" s="125"/>
      <c r="Q7" s="4"/>
      <c r="R7" s="49"/>
    </row>
    <row r="8" spans="1:18" x14ac:dyDescent="0.25">
      <c r="A8" s="31">
        <v>1</v>
      </c>
      <c r="B8" s="4" t="s">
        <v>31</v>
      </c>
      <c r="C8" s="5">
        <v>1</v>
      </c>
      <c r="D8" s="7">
        <v>0</v>
      </c>
      <c r="E8" s="3">
        <f>C8+(C8*D8)</f>
        <v>1</v>
      </c>
      <c r="F8" s="3" t="s">
        <v>867</v>
      </c>
      <c r="G8" s="77">
        <v>1400</v>
      </c>
      <c r="H8" s="5" t="s">
        <v>1</v>
      </c>
      <c r="I8" s="78">
        <f t="shared" ref="I8:I14" si="0">IF(H8="C",(G8/100)*E8,IF(H8="M",(G8/1000)*E8,G8*E8))</f>
        <v>1400</v>
      </c>
      <c r="J8" s="110">
        <f>$O$4</f>
        <v>75</v>
      </c>
      <c r="K8" s="182">
        <v>7.6</v>
      </c>
      <c r="L8" s="5" t="s">
        <v>1</v>
      </c>
      <c r="M8" s="80">
        <f>IF(L8="C",(K8/100)*E8,IF(L8="M",(K8/1000)*E8,K8*E8))</f>
        <v>7.6</v>
      </c>
      <c r="N8" s="78">
        <f>M8*J8</f>
        <v>570</v>
      </c>
      <c r="O8" s="111">
        <f>N8+I8</f>
        <v>1970</v>
      </c>
      <c r="P8" s="125">
        <v>152760</v>
      </c>
      <c r="Q8" s="4"/>
      <c r="R8" s="49"/>
    </row>
    <row r="9" spans="1:18" x14ac:dyDescent="0.25">
      <c r="A9" s="31"/>
      <c r="B9" s="4" t="s">
        <v>863</v>
      </c>
      <c r="C9" s="5">
        <f>C8*4</f>
        <v>4</v>
      </c>
      <c r="D9" s="7">
        <v>0</v>
      </c>
      <c r="E9" s="3">
        <f t="shared" ref="E9:E72" si="1">C9+(C9*D9)</f>
        <v>4</v>
      </c>
      <c r="F9" s="3" t="s">
        <v>868</v>
      </c>
      <c r="G9" s="77">
        <v>126.15</v>
      </c>
      <c r="H9" s="5" t="s">
        <v>0</v>
      </c>
      <c r="I9" s="78">
        <f t="shared" si="0"/>
        <v>5.0460000000000003</v>
      </c>
      <c r="J9" s="110">
        <f t="shared" ref="J9:J14" si="2">$O$4</f>
        <v>75</v>
      </c>
      <c r="K9" s="182">
        <v>3</v>
      </c>
      <c r="L9" s="5" t="s">
        <v>0</v>
      </c>
      <c r="M9" s="80">
        <f>IF(L9="C",(K9/100)*E9,IF(L9="M",(K9/1000)*E9,K9*E9))</f>
        <v>0.12</v>
      </c>
      <c r="N9" s="78">
        <f>M9*J9</f>
        <v>9</v>
      </c>
      <c r="O9" s="111">
        <f>N9+I9</f>
        <v>14.045999999999999</v>
      </c>
      <c r="P9" s="125">
        <v>107976</v>
      </c>
      <c r="Q9" s="4"/>
      <c r="R9" s="49"/>
    </row>
    <row r="10" spans="1:18" x14ac:dyDescent="0.25">
      <c r="A10" s="31"/>
      <c r="B10" s="4" t="s">
        <v>865</v>
      </c>
      <c r="C10" s="5">
        <f>C8*4</f>
        <v>4</v>
      </c>
      <c r="D10" s="7">
        <v>0</v>
      </c>
      <c r="E10" s="3">
        <f t="shared" si="1"/>
        <v>4</v>
      </c>
      <c r="F10" s="3" t="s">
        <v>868</v>
      </c>
      <c r="G10" s="77">
        <v>170.22</v>
      </c>
      <c r="H10" s="5" t="s">
        <v>0</v>
      </c>
      <c r="I10" s="78">
        <f t="shared" si="0"/>
        <v>6.8087999999999997</v>
      </c>
      <c r="J10" s="110">
        <f t="shared" si="2"/>
        <v>75</v>
      </c>
      <c r="K10" s="182">
        <v>3.9</v>
      </c>
      <c r="L10" s="5" t="s">
        <v>0</v>
      </c>
      <c r="M10" s="80">
        <f t="shared" ref="M10:M73" si="3">IF(L10="C",(K10/100)*E10,IF(L10="M",(K10/1000)*E10,K10*E10))</f>
        <v>0.156</v>
      </c>
      <c r="N10" s="78">
        <f t="shared" ref="N10:N73" si="4">M10*J10</f>
        <v>11.7</v>
      </c>
      <c r="O10" s="111">
        <f t="shared" ref="O10:O73" si="5">N10+I10</f>
        <v>18.508800000000001</v>
      </c>
      <c r="P10" s="125">
        <v>107979</v>
      </c>
      <c r="Q10" s="4"/>
      <c r="R10" s="49"/>
    </row>
    <row r="11" spans="1:18" x14ac:dyDescent="0.25">
      <c r="A11" s="31"/>
      <c r="B11" s="4" t="s">
        <v>862</v>
      </c>
      <c r="C11" s="5">
        <f>C8</f>
        <v>1</v>
      </c>
      <c r="D11" s="7">
        <v>0</v>
      </c>
      <c r="E11" s="3">
        <f t="shared" si="1"/>
        <v>1</v>
      </c>
      <c r="F11" s="3" t="s">
        <v>867</v>
      </c>
      <c r="G11" s="77">
        <v>102.77</v>
      </c>
      <c r="H11" s="5" t="s">
        <v>0</v>
      </c>
      <c r="I11" s="78">
        <f t="shared" si="0"/>
        <v>1.0277000000000001</v>
      </c>
      <c r="J11" s="110">
        <f t="shared" si="2"/>
        <v>75</v>
      </c>
      <c r="K11" s="182">
        <v>10</v>
      </c>
      <c r="L11" s="5" t="s">
        <v>0</v>
      </c>
      <c r="M11" s="80">
        <f t="shared" si="3"/>
        <v>0.1</v>
      </c>
      <c r="N11" s="78">
        <f t="shared" si="4"/>
        <v>7.5</v>
      </c>
      <c r="O11" s="111">
        <f t="shared" si="5"/>
        <v>8.5276999999999994</v>
      </c>
      <c r="P11" s="125">
        <v>107649</v>
      </c>
      <c r="Q11" s="4"/>
      <c r="R11" s="49"/>
    </row>
    <row r="12" spans="1:18" x14ac:dyDescent="0.25">
      <c r="A12" s="31"/>
      <c r="B12" s="4" t="s">
        <v>866</v>
      </c>
      <c r="C12" s="5">
        <f>C8</f>
        <v>1</v>
      </c>
      <c r="D12" s="7">
        <v>0</v>
      </c>
      <c r="E12" s="3">
        <f t="shared" si="1"/>
        <v>1</v>
      </c>
      <c r="F12" s="3" t="s">
        <v>867</v>
      </c>
      <c r="G12" s="77">
        <v>196.27</v>
      </c>
      <c r="H12" s="5" t="s">
        <v>0</v>
      </c>
      <c r="I12" s="78">
        <f t="shared" si="0"/>
        <v>1.9627000000000001</v>
      </c>
      <c r="J12" s="110">
        <f t="shared" si="2"/>
        <v>75</v>
      </c>
      <c r="K12" s="182">
        <v>10</v>
      </c>
      <c r="L12" s="5" t="s">
        <v>0</v>
      </c>
      <c r="M12" s="80">
        <f t="shared" si="3"/>
        <v>0.1</v>
      </c>
      <c r="N12" s="78">
        <f t="shared" si="4"/>
        <v>7.5</v>
      </c>
      <c r="O12" s="111">
        <f t="shared" si="5"/>
        <v>9.4626999999999999</v>
      </c>
      <c r="P12" s="125">
        <v>107652</v>
      </c>
      <c r="Q12" s="4"/>
      <c r="R12" s="49"/>
    </row>
    <row r="13" spans="1:18" x14ac:dyDescent="0.25">
      <c r="A13" s="31"/>
      <c r="B13" s="4" t="s">
        <v>29</v>
      </c>
      <c r="C13" s="5">
        <f>C8*7</f>
        <v>7</v>
      </c>
      <c r="D13" s="7">
        <v>0</v>
      </c>
      <c r="E13" s="3">
        <f t="shared" si="1"/>
        <v>7</v>
      </c>
      <c r="F13" s="3" t="s">
        <v>867</v>
      </c>
      <c r="G13" s="77">
        <v>0</v>
      </c>
      <c r="H13" s="5" t="s">
        <v>0</v>
      </c>
      <c r="I13" s="78">
        <f t="shared" si="0"/>
        <v>0</v>
      </c>
      <c r="J13" s="110">
        <f t="shared" si="2"/>
        <v>75</v>
      </c>
      <c r="K13" s="182">
        <v>7</v>
      </c>
      <c r="L13" s="5" t="s">
        <v>0</v>
      </c>
      <c r="M13" s="80">
        <f t="shared" si="3"/>
        <v>0.49000000000000005</v>
      </c>
      <c r="N13" s="78">
        <f t="shared" si="4"/>
        <v>36.75</v>
      </c>
      <c r="O13" s="111">
        <f t="shared" si="5"/>
        <v>36.75</v>
      </c>
      <c r="P13" s="125">
        <v>123318</v>
      </c>
      <c r="Q13" s="4"/>
      <c r="R13" s="49"/>
    </row>
    <row r="14" spans="1:18" x14ac:dyDescent="0.25">
      <c r="A14" s="31"/>
      <c r="B14" s="4" t="s">
        <v>28</v>
      </c>
      <c r="C14" s="5">
        <f>C8*4</f>
        <v>4</v>
      </c>
      <c r="D14" s="7">
        <v>0</v>
      </c>
      <c r="E14" s="3">
        <f t="shared" si="1"/>
        <v>4</v>
      </c>
      <c r="F14" s="3" t="s">
        <v>867</v>
      </c>
      <c r="G14" s="77">
        <v>38.9</v>
      </c>
      <c r="H14" s="5" t="s">
        <v>0</v>
      </c>
      <c r="I14" s="78">
        <f t="shared" si="0"/>
        <v>1.556</v>
      </c>
      <c r="J14" s="110">
        <f t="shared" si="2"/>
        <v>75</v>
      </c>
      <c r="K14" s="182">
        <v>8</v>
      </c>
      <c r="L14" s="5" t="s">
        <v>0</v>
      </c>
      <c r="M14" s="80">
        <f t="shared" si="3"/>
        <v>0.32</v>
      </c>
      <c r="N14" s="78">
        <f t="shared" si="4"/>
        <v>24</v>
      </c>
      <c r="O14" s="111">
        <f t="shared" si="5"/>
        <v>25.556000000000001</v>
      </c>
      <c r="P14" s="125">
        <v>139626</v>
      </c>
      <c r="Q14" s="4"/>
      <c r="R14" s="49"/>
    </row>
    <row r="15" spans="1:18" ht="15.75" thickBot="1" x14ac:dyDescent="0.3">
      <c r="A15" s="31"/>
      <c r="B15" s="4"/>
      <c r="C15" s="5"/>
      <c r="D15" s="7"/>
      <c r="E15" s="3"/>
      <c r="F15" s="3"/>
      <c r="G15" s="77" t="s">
        <v>1202</v>
      </c>
      <c r="H15" s="5"/>
      <c r="I15" s="78"/>
      <c r="J15" s="4"/>
      <c r="K15" s="182"/>
      <c r="L15" s="5"/>
      <c r="M15" s="80"/>
      <c r="N15" s="78"/>
      <c r="O15" s="111"/>
      <c r="P15" s="125"/>
      <c r="Q15" s="4"/>
      <c r="R15" s="49"/>
    </row>
    <row r="16" spans="1:18" ht="15.75" thickBot="1" x14ac:dyDescent="0.3">
      <c r="A16" s="31"/>
      <c r="B16" s="120" t="s">
        <v>32</v>
      </c>
      <c r="C16" s="5"/>
      <c r="D16" s="7"/>
      <c r="E16" s="3"/>
      <c r="F16" s="3"/>
      <c r="G16" s="77" t="s">
        <v>1202</v>
      </c>
      <c r="H16" s="5"/>
      <c r="I16" s="78"/>
      <c r="J16" s="4"/>
      <c r="K16" s="182"/>
      <c r="L16" s="5"/>
      <c r="M16" s="80"/>
      <c r="N16" s="78"/>
      <c r="O16" s="111"/>
      <c r="P16" s="125"/>
      <c r="Q16" s="4"/>
      <c r="R16" s="49"/>
    </row>
    <row r="17" spans="1:18" x14ac:dyDescent="0.25">
      <c r="A17" s="31">
        <v>1</v>
      </c>
      <c r="B17" s="4" t="s">
        <v>34</v>
      </c>
      <c r="C17" s="5">
        <v>1</v>
      </c>
      <c r="D17" s="7">
        <v>0</v>
      </c>
      <c r="E17" s="3">
        <f>C17+(C17*D17)</f>
        <v>1</v>
      </c>
      <c r="F17" s="3" t="s">
        <v>867</v>
      </c>
      <c r="G17" s="77">
        <v>2900</v>
      </c>
      <c r="H17" s="5" t="s">
        <v>1</v>
      </c>
      <c r="I17" s="78">
        <f t="shared" ref="I17:I22" si="6">IF(H17="C",(G17/100)*E17,IF(H17="M",(G17/1000)*E17,G17*E17))</f>
        <v>2900</v>
      </c>
      <c r="J17" s="110">
        <f t="shared" ref="J17:J22" si="7">$O$4</f>
        <v>75</v>
      </c>
      <c r="K17" s="182">
        <v>10</v>
      </c>
      <c r="L17" s="5" t="s">
        <v>1</v>
      </c>
      <c r="M17" s="80">
        <f>IF(L17="C",(K17/100)*E17,IF(L17="M",(K17/1000)*E17,K17*E17))</f>
        <v>10</v>
      </c>
      <c r="N17" s="78">
        <f>M17*J17</f>
        <v>750</v>
      </c>
      <c r="O17" s="111">
        <f>N17+I17</f>
        <v>3650</v>
      </c>
      <c r="P17" s="125">
        <v>152763</v>
      </c>
      <c r="Q17" s="4"/>
      <c r="R17" s="49"/>
    </row>
    <row r="18" spans="1:18" x14ac:dyDescent="0.25">
      <c r="A18" s="31"/>
      <c r="B18" s="4" t="s">
        <v>865</v>
      </c>
      <c r="C18" s="5">
        <f>C17*8</f>
        <v>8</v>
      </c>
      <c r="D18" s="7">
        <v>0</v>
      </c>
      <c r="E18" s="3">
        <f t="shared" si="1"/>
        <v>8</v>
      </c>
      <c r="F18" s="3" t="s">
        <v>868</v>
      </c>
      <c r="G18" s="77">
        <v>170.22</v>
      </c>
      <c r="H18" s="5" t="s">
        <v>0</v>
      </c>
      <c r="I18" s="78">
        <f t="shared" si="6"/>
        <v>13.617599999999999</v>
      </c>
      <c r="J18" s="110">
        <f t="shared" si="7"/>
        <v>75</v>
      </c>
      <c r="K18" s="182">
        <v>3.9</v>
      </c>
      <c r="L18" s="5" t="s">
        <v>0</v>
      </c>
      <c r="M18" s="80">
        <f t="shared" si="3"/>
        <v>0.312</v>
      </c>
      <c r="N18" s="78">
        <f t="shared" si="4"/>
        <v>23.4</v>
      </c>
      <c r="O18" s="111">
        <f t="shared" si="5"/>
        <v>37.017600000000002</v>
      </c>
      <c r="P18" s="125">
        <v>107979</v>
      </c>
      <c r="Q18" s="4"/>
      <c r="R18" s="49"/>
    </row>
    <row r="19" spans="1:18" x14ac:dyDescent="0.25">
      <c r="A19" s="31"/>
      <c r="B19" s="4" t="s">
        <v>866</v>
      </c>
      <c r="C19" s="5">
        <f>C17*4</f>
        <v>4</v>
      </c>
      <c r="D19" s="7">
        <v>0</v>
      </c>
      <c r="E19" s="3">
        <f t="shared" si="1"/>
        <v>4</v>
      </c>
      <c r="F19" s="3" t="s">
        <v>867</v>
      </c>
      <c r="G19" s="77">
        <v>196.27</v>
      </c>
      <c r="H19" s="5" t="s">
        <v>0</v>
      </c>
      <c r="I19" s="78">
        <f t="shared" si="6"/>
        <v>7.8508000000000004</v>
      </c>
      <c r="J19" s="110">
        <f t="shared" si="7"/>
        <v>75</v>
      </c>
      <c r="K19" s="182">
        <v>10</v>
      </c>
      <c r="L19" s="5" t="s">
        <v>0</v>
      </c>
      <c r="M19" s="80">
        <f t="shared" si="3"/>
        <v>0.4</v>
      </c>
      <c r="N19" s="78">
        <f t="shared" si="4"/>
        <v>30</v>
      </c>
      <c r="O19" s="111">
        <f t="shared" si="5"/>
        <v>37.8508</v>
      </c>
      <c r="P19" s="125">
        <v>107652</v>
      </c>
      <c r="Q19" s="4"/>
      <c r="R19" s="49"/>
    </row>
    <row r="20" spans="1:18" x14ac:dyDescent="0.25">
      <c r="A20" s="31"/>
      <c r="B20" s="4" t="s">
        <v>29</v>
      </c>
      <c r="C20" s="5">
        <f>C17*3</f>
        <v>3</v>
      </c>
      <c r="D20" s="7">
        <v>0</v>
      </c>
      <c r="E20" s="3">
        <f t="shared" si="1"/>
        <v>3</v>
      </c>
      <c r="F20" s="3" t="s">
        <v>867</v>
      </c>
      <c r="G20" s="77">
        <v>0</v>
      </c>
      <c r="H20" s="5" t="s">
        <v>0</v>
      </c>
      <c r="I20" s="78">
        <f t="shared" si="6"/>
        <v>0</v>
      </c>
      <c r="J20" s="110">
        <f t="shared" si="7"/>
        <v>75</v>
      </c>
      <c r="K20" s="182">
        <v>7</v>
      </c>
      <c r="L20" s="5" t="s">
        <v>0</v>
      </c>
      <c r="M20" s="80">
        <f t="shared" si="3"/>
        <v>0.21000000000000002</v>
      </c>
      <c r="N20" s="78">
        <f t="shared" si="4"/>
        <v>15.750000000000002</v>
      </c>
      <c r="O20" s="111">
        <f t="shared" si="5"/>
        <v>15.750000000000002</v>
      </c>
      <c r="P20" s="125">
        <v>123318</v>
      </c>
      <c r="Q20" s="4"/>
      <c r="R20" s="49"/>
    </row>
    <row r="21" spans="1:18" x14ac:dyDescent="0.25">
      <c r="A21" s="31"/>
      <c r="B21" s="4" t="s">
        <v>33</v>
      </c>
      <c r="C21" s="5">
        <f>C17*4</f>
        <v>4</v>
      </c>
      <c r="D21" s="7">
        <v>0</v>
      </c>
      <c r="E21" s="3">
        <f t="shared" si="1"/>
        <v>4</v>
      </c>
      <c r="F21" s="3" t="s">
        <v>867</v>
      </c>
      <c r="G21" s="77">
        <v>0</v>
      </c>
      <c r="H21" s="5" t="s">
        <v>0</v>
      </c>
      <c r="I21" s="78">
        <f t="shared" si="6"/>
        <v>0</v>
      </c>
      <c r="J21" s="110">
        <f t="shared" si="7"/>
        <v>75</v>
      </c>
      <c r="K21" s="182">
        <v>8</v>
      </c>
      <c r="L21" s="5" t="s">
        <v>0</v>
      </c>
      <c r="M21" s="80">
        <f t="shared" si="3"/>
        <v>0.32</v>
      </c>
      <c r="N21" s="78">
        <f t="shared" si="4"/>
        <v>24</v>
      </c>
      <c r="O21" s="111">
        <f t="shared" si="5"/>
        <v>24</v>
      </c>
      <c r="P21" s="125">
        <v>123321</v>
      </c>
      <c r="Q21" s="4"/>
      <c r="R21" s="49"/>
    </row>
    <row r="22" spans="1:18" x14ac:dyDescent="0.25">
      <c r="A22" s="31"/>
      <c r="B22" s="4" t="s">
        <v>28</v>
      </c>
      <c r="C22" s="5">
        <f>C17*4</f>
        <v>4</v>
      </c>
      <c r="D22" s="7">
        <v>0</v>
      </c>
      <c r="E22" s="3">
        <f t="shared" si="1"/>
        <v>4</v>
      </c>
      <c r="F22" s="3" t="s">
        <v>867</v>
      </c>
      <c r="G22" s="77">
        <v>38.9</v>
      </c>
      <c r="H22" s="5" t="s">
        <v>0</v>
      </c>
      <c r="I22" s="78">
        <f t="shared" si="6"/>
        <v>1.556</v>
      </c>
      <c r="J22" s="110">
        <f t="shared" si="7"/>
        <v>75</v>
      </c>
      <c r="K22" s="182">
        <v>8</v>
      </c>
      <c r="L22" s="5" t="s">
        <v>0</v>
      </c>
      <c r="M22" s="80">
        <f t="shared" si="3"/>
        <v>0.32</v>
      </c>
      <c r="N22" s="78">
        <f t="shared" si="4"/>
        <v>24</v>
      </c>
      <c r="O22" s="111">
        <f t="shared" si="5"/>
        <v>25.556000000000001</v>
      </c>
      <c r="P22" s="125">
        <v>139626</v>
      </c>
      <c r="Q22" s="4"/>
      <c r="R22" s="49"/>
    </row>
    <row r="23" spans="1:18" ht="15.75" thickBot="1" x14ac:dyDescent="0.3">
      <c r="A23" s="31"/>
      <c r="B23" s="4"/>
      <c r="C23" s="5"/>
      <c r="D23" s="7"/>
      <c r="E23" s="3"/>
      <c r="F23" s="3"/>
      <c r="G23" s="77" t="s">
        <v>1202</v>
      </c>
      <c r="H23" s="5"/>
      <c r="I23" s="78"/>
      <c r="J23" s="4"/>
      <c r="K23" s="182"/>
      <c r="L23" s="5"/>
      <c r="M23" s="80"/>
      <c r="N23" s="78"/>
      <c r="O23" s="111"/>
      <c r="P23" s="125"/>
      <c r="Q23" s="4"/>
      <c r="R23" s="49"/>
    </row>
    <row r="24" spans="1:18" ht="15.75" thickBot="1" x14ac:dyDescent="0.3">
      <c r="A24" s="31"/>
      <c r="B24" s="120" t="s">
        <v>35</v>
      </c>
      <c r="C24" s="5"/>
      <c r="D24" s="7"/>
      <c r="E24" s="3"/>
      <c r="F24" s="3"/>
      <c r="G24" s="77" t="s">
        <v>1202</v>
      </c>
      <c r="H24" s="5"/>
      <c r="I24" s="78"/>
      <c r="J24" s="4"/>
      <c r="K24" s="182"/>
      <c r="L24" s="5"/>
      <c r="M24" s="80"/>
      <c r="N24" s="78"/>
      <c r="O24" s="111"/>
      <c r="P24" s="125"/>
      <c r="Q24" s="4"/>
      <c r="R24" s="49"/>
    </row>
    <row r="25" spans="1:18" x14ac:dyDescent="0.25">
      <c r="A25" s="31">
        <v>1</v>
      </c>
      <c r="B25" s="4" t="s">
        <v>42</v>
      </c>
      <c r="C25" s="5">
        <v>1</v>
      </c>
      <c r="D25" s="7">
        <v>0</v>
      </c>
      <c r="E25" s="3">
        <f>C25+(C25*D25)</f>
        <v>1</v>
      </c>
      <c r="F25" s="3" t="s">
        <v>867</v>
      </c>
      <c r="G25" s="77">
        <v>4500</v>
      </c>
      <c r="H25" s="5" t="s">
        <v>1</v>
      </c>
      <c r="I25" s="78">
        <f t="shared" ref="I25:I34" si="8">IF(H25="C",(G25/100)*E25,IF(H25="M",(G25/1000)*E25,G25*E25))</f>
        <v>4500</v>
      </c>
      <c r="J25" s="110">
        <f t="shared" ref="J25" si="9">$O$4</f>
        <v>75</v>
      </c>
      <c r="K25" s="182">
        <v>14.8</v>
      </c>
      <c r="L25" s="5" t="s">
        <v>1</v>
      </c>
      <c r="M25" s="80">
        <f>IF(L25="C",(K25/100)*E25,IF(L25="M",(K25/1000)*E25,K25*E25))</f>
        <v>14.8</v>
      </c>
      <c r="N25" s="78">
        <f>M25*J25</f>
        <v>1110</v>
      </c>
      <c r="O25" s="111">
        <f>N25+I25</f>
        <v>5610</v>
      </c>
      <c r="P25" s="125">
        <v>152766</v>
      </c>
      <c r="Q25" s="4"/>
      <c r="R25" s="49"/>
    </row>
    <row r="26" spans="1:18" x14ac:dyDescent="0.25">
      <c r="A26" s="31"/>
      <c r="B26" s="4" t="s">
        <v>865</v>
      </c>
      <c r="C26" s="5">
        <f>C25*4</f>
        <v>4</v>
      </c>
      <c r="D26" s="7">
        <v>0</v>
      </c>
      <c r="E26" s="3">
        <f t="shared" si="1"/>
        <v>4</v>
      </c>
      <c r="F26" s="3" t="s">
        <v>868</v>
      </c>
      <c r="G26" s="77">
        <v>170.22</v>
      </c>
      <c r="H26" s="5" t="s">
        <v>0</v>
      </c>
      <c r="I26" s="78">
        <f t="shared" si="8"/>
        <v>6.8087999999999997</v>
      </c>
      <c r="J26" s="110">
        <f t="shared" ref="J26:J34" si="10">$O$4</f>
        <v>75</v>
      </c>
      <c r="K26" s="182">
        <v>3.9</v>
      </c>
      <c r="L26" s="5" t="s">
        <v>0</v>
      </c>
      <c r="M26" s="80">
        <f t="shared" si="3"/>
        <v>0.156</v>
      </c>
      <c r="N26" s="78">
        <f t="shared" si="4"/>
        <v>11.7</v>
      </c>
      <c r="O26" s="111">
        <f t="shared" si="5"/>
        <v>18.508800000000001</v>
      </c>
      <c r="P26" s="125">
        <v>107979</v>
      </c>
      <c r="Q26" s="4"/>
      <c r="R26" s="49"/>
    </row>
    <row r="27" spans="1:18" x14ac:dyDescent="0.25">
      <c r="A27" s="31"/>
      <c r="B27" s="4" t="s">
        <v>36</v>
      </c>
      <c r="C27" s="5">
        <f>C25*4</f>
        <v>4</v>
      </c>
      <c r="D27" s="7">
        <v>0</v>
      </c>
      <c r="E27" s="3">
        <f t="shared" si="1"/>
        <v>4</v>
      </c>
      <c r="F27" s="3" t="s">
        <v>868</v>
      </c>
      <c r="G27" s="77">
        <v>408.82</v>
      </c>
      <c r="H27" s="5" t="s">
        <v>0</v>
      </c>
      <c r="I27" s="78">
        <f t="shared" si="8"/>
        <v>16.352799999999998</v>
      </c>
      <c r="J27" s="110">
        <f t="shared" si="10"/>
        <v>75</v>
      </c>
      <c r="K27" s="182">
        <v>7.8</v>
      </c>
      <c r="L27" s="5" t="s">
        <v>0</v>
      </c>
      <c r="M27" s="80">
        <f t="shared" si="3"/>
        <v>0.312</v>
      </c>
      <c r="N27" s="78">
        <f t="shared" si="4"/>
        <v>23.4</v>
      </c>
      <c r="O27" s="111">
        <f t="shared" si="5"/>
        <v>39.752799999999993</v>
      </c>
      <c r="P27" s="125">
        <v>107985</v>
      </c>
      <c r="Q27" s="4"/>
      <c r="R27" s="49"/>
    </row>
    <row r="28" spans="1:18" x14ac:dyDescent="0.25">
      <c r="A28" s="31"/>
      <c r="B28" s="4" t="s">
        <v>866</v>
      </c>
      <c r="C28" s="5">
        <f>C25</f>
        <v>1</v>
      </c>
      <c r="D28" s="7">
        <v>0</v>
      </c>
      <c r="E28" s="3">
        <f t="shared" si="1"/>
        <v>1</v>
      </c>
      <c r="F28" s="3" t="s">
        <v>867</v>
      </c>
      <c r="G28" s="77">
        <v>196.27</v>
      </c>
      <c r="H28" s="5" t="s">
        <v>0</v>
      </c>
      <c r="I28" s="78">
        <f t="shared" si="8"/>
        <v>1.9627000000000001</v>
      </c>
      <c r="J28" s="110">
        <f t="shared" si="10"/>
        <v>75</v>
      </c>
      <c r="K28" s="182">
        <v>10</v>
      </c>
      <c r="L28" s="5" t="s">
        <v>0</v>
      </c>
      <c r="M28" s="80">
        <f t="shared" si="3"/>
        <v>0.1</v>
      </c>
      <c r="N28" s="78">
        <f t="shared" si="4"/>
        <v>7.5</v>
      </c>
      <c r="O28" s="111">
        <f t="shared" si="5"/>
        <v>9.4626999999999999</v>
      </c>
      <c r="P28" s="125">
        <v>107652</v>
      </c>
      <c r="Q28" s="4"/>
      <c r="R28" s="49"/>
    </row>
    <row r="29" spans="1:18" x14ac:dyDescent="0.25">
      <c r="A29" s="31"/>
      <c r="B29" s="4" t="s">
        <v>37</v>
      </c>
      <c r="C29" s="5">
        <f>C25</f>
        <v>1</v>
      </c>
      <c r="D29" s="7">
        <v>0</v>
      </c>
      <c r="E29" s="3">
        <f t="shared" si="1"/>
        <v>1</v>
      </c>
      <c r="F29" s="3" t="s">
        <v>867</v>
      </c>
      <c r="G29" s="77">
        <v>892.06</v>
      </c>
      <c r="H29" s="5" t="s">
        <v>0</v>
      </c>
      <c r="I29" s="78">
        <f t="shared" si="8"/>
        <v>8.9206000000000003</v>
      </c>
      <c r="J29" s="110">
        <f t="shared" si="10"/>
        <v>75</v>
      </c>
      <c r="K29" s="182">
        <v>15</v>
      </c>
      <c r="L29" s="5" t="s">
        <v>0</v>
      </c>
      <c r="M29" s="80">
        <f t="shared" si="3"/>
        <v>0.15</v>
      </c>
      <c r="N29" s="78">
        <f t="shared" si="4"/>
        <v>11.25</v>
      </c>
      <c r="O29" s="111">
        <f t="shared" si="5"/>
        <v>20.1706</v>
      </c>
      <c r="P29" s="125">
        <v>107658</v>
      </c>
      <c r="Q29" s="4"/>
      <c r="R29" s="49"/>
    </row>
    <row r="30" spans="1:18" x14ac:dyDescent="0.25">
      <c r="A30" s="31"/>
      <c r="B30" s="4" t="s">
        <v>38</v>
      </c>
      <c r="C30" s="5">
        <f>C25*20</f>
        <v>20</v>
      </c>
      <c r="D30" s="7">
        <v>0</v>
      </c>
      <c r="E30" s="3">
        <f t="shared" si="1"/>
        <v>20</v>
      </c>
      <c r="F30" s="3" t="s">
        <v>867</v>
      </c>
      <c r="G30" s="77">
        <v>810.5</v>
      </c>
      <c r="H30" s="5" t="s">
        <v>26</v>
      </c>
      <c r="I30" s="78">
        <f t="shared" si="8"/>
        <v>16.21</v>
      </c>
      <c r="J30" s="110">
        <f t="shared" si="10"/>
        <v>75</v>
      </c>
      <c r="K30" s="182">
        <v>10.199999999999999</v>
      </c>
      <c r="L30" s="5" t="s">
        <v>26</v>
      </c>
      <c r="M30" s="80">
        <f t="shared" si="3"/>
        <v>0.20399999999999999</v>
      </c>
      <c r="N30" s="78">
        <f t="shared" si="4"/>
        <v>15.299999999999999</v>
      </c>
      <c r="O30" s="111">
        <f t="shared" si="5"/>
        <v>31.509999999999998</v>
      </c>
      <c r="P30" s="125">
        <v>109260</v>
      </c>
      <c r="Q30" s="4"/>
      <c r="R30" s="49"/>
    </row>
    <row r="31" spans="1:18" x14ac:dyDescent="0.25">
      <c r="A31" s="31"/>
      <c r="B31" s="4" t="s">
        <v>39</v>
      </c>
      <c r="C31" s="5">
        <f>C25*3</f>
        <v>3</v>
      </c>
      <c r="D31" s="7">
        <v>0</v>
      </c>
      <c r="E31" s="3">
        <f t="shared" si="1"/>
        <v>3</v>
      </c>
      <c r="F31" s="3" t="s">
        <v>867</v>
      </c>
      <c r="G31" s="77">
        <v>234</v>
      </c>
      <c r="H31" s="5" t="s">
        <v>0</v>
      </c>
      <c r="I31" s="78">
        <f t="shared" si="8"/>
        <v>7.02</v>
      </c>
      <c r="J31" s="110">
        <f t="shared" si="10"/>
        <v>75</v>
      </c>
      <c r="K31" s="182">
        <v>10</v>
      </c>
      <c r="L31" s="5" t="s">
        <v>0</v>
      </c>
      <c r="M31" s="80">
        <f t="shared" si="3"/>
        <v>0.30000000000000004</v>
      </c>
      <c r="N31" s="78">
        <f t="shared" si="4"/>
        <v>22.500000000000004</v>
      </c>
      <c r="O31" s="111">
        <f t="shared" si="5"/>
        <v>29.520000000000003</v>
      </c>
      <c r="P31" s="125">
        <v>122601</v>
      </c>
      <c r="Q31" s="4"/>
      <c r="R31" s="49"/>
    </row>
    <row r="32" spans="1:18" x14ac:dyDescent="0.25">
      <c r="A32" s="31"/>
      <c r="B32" s="4" t="s">
        <v>40</v>
      </c>
      <c r="C32" s="5">
        <f>C25*4</f>
        <v>4</v>
      </c>
      <c r="D32" s="7">
        <v>0</v>
      </c>
      <c r="E32" s="3">
        <f t="shared" si="1"/>
        <v>4</v>
      </c>
      <c r="F32" s="3" t="s">
        <v>867</v>
      </c>
      <c r="G32" s="77">
        <v>516.44000000000005</v>
      </c>
      <c r="H32" s="5" t="s">
        <v>0</v>
      </c>
      <c r="I32" s="78">
        <f t="shared" si="8"/>
        <v>20.657600000000002</v>
      </c>
      <c r="J32" s="110">
        <f t="shared" si="10"/>
        <v>75</v>
      </c>
      <c r="K32" s="182">
        <v>17</v>
      </c>
      <c r="L32" s="5" t="s">
        <v>0</v>
      </c>
      <c r="M32" s="80">
        <f t="shared" si="3"/>
        <v>0.68</v>
      </c>
      <c r="N32" s="78">
        <f t="shared" si="4"/>
        <v>51.000000000000007</v>
      </c>
      <c r="O32" s="111">
        <f t="shared" si="5"/>
        <v>71.657600000000002</v>
      </c>
      <c r="P32" s="125">
        <v>122610</v>
      </c>
      <c r="Q32" s="4"/>
      <c r="R32" s="49"/>
    </row>
    <row r="33" spans="1:18" x14ac:dyDescent="0.25">
      <c r="A33" s="31"/>
      <c r="B33" s="4" t="s">
        <v>41</v>
      </c>
      <c r="C33" s="5">
        <f>C25</f>
        <v>1</v>
      </c>
      <c r="D33" s="7">
        <v>0</v>
      </c>
      <c r="E33" s="3">
        <f t="shared" si="1"/>
        <v>1</v>
      </c>
      <c r="F33" s="3" t="s">
        <v>867</v>
      </c>
      <c r="G33" s="77">
        <v>48.37</v>
      </c>
      <c r="H33" s="5" t="s">
        <v>1</v>
      </c>
      <c r="I33" s="78">
        <f t="shared" si="8"/>
        <v>48.37</v>
      </c>
      <c r="J33" s="110">
        <f t="shared" si="10"/>
        <v>75</v>
      </c>
      <c r="K33" s="182">
        <v>0.25</v>
      </c>
      <c r="L33" s="5" t="s">
        <v>1</v>
      </c>
      <c r="M33" s="80">
        <f t="shared" si="3"/>
        <v>0.25</v>
      </c>
      <c r="N33" s="78">
        <f t="shared" si="4"/>
        <v>18.75</v>
      </c>
      <c r="O33" s="111">
        <f t="shared" si="5"/>
        <v>67.12</v>
      </c>
      <c r="P33" s="125">
        <v>157980</v>
      </c>
      <c r="Q33" s="4"/>
      <c r="R33" s="49"/>
    </row>
    <row r="34" spans="1:18" x14ac:dyDescent="0.25">
      <c r="A34" s="31"/>
      <c r="B34" s="4" t="s">
        <v>28</v>
      </c>
      <c r="C34" s="5">
        <f>C25*4</f>
        <v>4</v>
      </c>
      <c r="D34" s="7">
        <v>0</v>
      </c>
      <c r="E34" s="3">
        <f t="shared" si="1"/>
        <v>4</v>
      </c>
      <c r="F34" s="3" t="s">
        <v>867</v>
      </c>
      <c r="G34" s="77">
        <v>38.9</v>
      </c>
      <c r="H34" s="5" t="s">
        <v>0</v>
      </c>
      <c r="I34" s="78">
        <f t="shared" si="8"/>
        <v>1.556</v>
      </c>
      <c r="J34" s="110">
        <f t="shared" si="10"/>
        <v>75</v>
      </c>
      <c r="K34" s="182">
        <v>8</v>
      </c>
      <c r="L34" s="5" t="s">
        <v>0</v>
      </c>
      <c r="M34" s="80">
        <f t="shared" si="3"/>
        <v>0.32</v>
      </c>
      <c r="N34" s="78">
        <f t="shared" si="4"/>
        <v>24</v>
      </c>
      <c r="O34" s="111">
        <f t="shared" si="5"/>
        <v>25.556000000000001</v>
      </c>
      <c r="P34" s="125">
        <v>139626</v>
      </c>
      <c r="Q34" s="4"/>
      <c r="R34" s="49"/>
    </row>
    <row r="35" spans="1:18" ht="15.75" thickBot="1" x14ac:dyDescent="0.3">
      <c r="A35" s="31"/>
      <c r="B35" s="4"/>
      <c r="C35" s="5"/>
      <c r="D35" s="7"/>
      <c r="E35" s="3"/>
      <c r="F35" s="3"/>
      <c r="G35" s="77" t="s">
        <v>1202</v>
      </c>
      <c r="H35" s="5"/>
      <c r="I35" s="78"/>
      <c r="J35" s="4"/>
      <c r="K35" s="182"/>
      <c r="L35" s="5"/>
      <c r="M35" s="80"/>
      <c r="N35" s="78"/>
      <c r="O35" s="111"/>
      <c r="P35" s="125"/>
      <c r="Q35" s="4"/>
      <c r="R35" s="49"/>
    </row>
    <row r="36" spans="1:18" ht="15.75" thickBot="1" x14ac:dyDescent="0.3">
      <c r="A36" s="31"/>
      <c r="B36" s="120" t="s">
        <v>43</v>
      </c>
      <c r="C36" s="5"/>
      <c r="D36" s="7"/>
      <c r="E36" s="3"/>
      <c r="F36" s="3"/>
      <c r="G36" s="77" t="s">
        <v>1202</v>
      </c>
      <c r="H36" s="5"/>
      <c r="I36" s="78"/>
      <c r="J36" s="4"/>
      <c r="K36" s="182"/>
      <c r="L36" s="5"/>
      <c r="M36" s="80"/>
      <c r="N36" s="78"/>
      <c r="O36" s="111"/>
      <c r="P36" s="125"/>
      <c r="Q36" s="4"/>
      <c r="R36" s="49"/>
    </row>
    <row r="37" spans="1:18" x14ac:dyDescent="0.25">
      <c r="A37" s="31">
        <v>1</v>
      </c>
      <c r="B37" s="4" t="s">
        <v>47</v>
      </c>
      <c r="C37" s="5">
        <v>1</v>
      </c>
      <c r="D37" s="7">
        <v>0</v>
      </c>
      <c r="E37" s="3">
        <f>C37+(C37*D37)</f>
        <v>1</v>
      </c>
      <c r="F37" s="3" t="s">
        <v>867</v>
      </c>
      <c r="G37" s="77">
        <v>4749</v>
      </c>
      <c r="H37" s="5" t="s">
        <v>1</v>
      </c>
      <c r="I37" s="78">
        <f t="shared" ref="I37:I45" si="11">IF(H37="C",(G37/100)*E37,IF(H37="M",(G37/1000)*E37,G37*E37))</f>
        <v>4749</v>
      </c>
      <c r="J37" s="110">
        <f t="shared" ref="J37:J45" si="12">$O$4</f>
        <v>75</v>
      </c>
      <c r="K37" s="182">
        <v>16.2</v>
      </c>
      <c r="L37" s="5" t="s">
        <v>1</v>
      </c>
      <c r="M37" s="80">
        <f>IF(L37="C",(K37/100)*E37,IF(L37="M",(K37/1000)*E37,K37*E37))</f>
        <v>16.2</v>
      </c>
      <c r="N37" s="78">
        <f>M37*J37</f>
        <v>1215</v>
      </c>
      <c r="O37" s="111">
        <f>N37+I37</f>
        <v>5964</v>
      </c>
      <c r="P37" s="125">
        <v>152769</v>
      </c>
      <c r="Q37" s="4"/>
      <c r="R37" s="49"/>
    </row>
    <row r="38" spans="1:18" x14ac:dyDescent="0.25">
      <c r="A38" s="31"/>
      <c r="B38" s="4" t="s">
        <v>1186</v>
      </c>
      <c r="C38" s="5">
        <f>C37*4</f>
        <v>4</v>
      </c>
      <c r="D38" s="7">
        <v>0</v>
      </c>
      <c r="E38" s="3">
        <f t="shared" si="1"/>
        <v>4</v>
      </c>
      <c r="F38" s="3" t="s">
        <v>868</v>
      </c>
      <c r="G38" s="77">
        <v>310.02</v>
      </c>
      <c r="H38" s="5" t="s">
        <v>0</v>
      </c>
      <c r="I38" s="78">
        <f t="shared" si="11"/>
        <v>12.400799999999998</v>
      </c>
      <c r="J38" s="110">
        <f t="shared" si="12"/>
        <v>75</v>
      </c>
      <c r="K38" s="182">
        <v>4.95</v>
      </c>
      <c r="L38" s="5" t="s">
        <v>0</v>
      </c>
      <c r="M38" s="80">
        <f t="shared" si="3"/>
        <v>0.19800000000000001</v>
      </c>
      <c r="N38" s="78">
        <f t="shared" si="4"/>
        <v>14.850000000000001</v>
      </c>
      <c r="O38" s="111">
        <f t="shared" si="5"/>
        <v>27.250799999999998</v>
      </c>
      <c r="P38" s="125">
        <v>107982</v>
      </c>
      <c r="Q38" s="4"/>
      <c r="R38" s="49"/>
    </row>
    <row r="39" spans="1:18" x14ac:dyDescent="0.25">
      <c r="A39" s="31"/>
      <c r="B39" s="4" t="s">
        <v>44</v>
      </c>
      <c r="C39" s="5">
        <f>C37*4</f>
        <v>4</v>
      </c>
      <c r="D39" s="7">
        <v>0</v>
      </c>
      <c r="E39" s="3">
        <f t="shared" si="1"/>
        <v>4</v>
      </c>
      <c r="F39" s="3" t="s">
        <v>868</v>
      </c>
      <c r="G39" s="77">
        <v>653.51</v>
      </c>
      <c r="H39" s="5" t="s">
        <v>0</v>
      </c>
      <c r="I39" s="78">
        <f t="shared" si="11"/>
        <v>26.1404</v>
      </c>
      <c r="J39" s="110">
        <f t="shared" si="12"/>
        <v>75</v>
      </c>
      <c r="K39" s="182">
        <v>9.9</v>
      </c>
      <c r="L39" s="5" t="s">
        <v>0</v>
      </c>
      <c r="M39" s="80">
        <f t="shared" si="3"/>
        <v>0.39600000000000002</v>
      </c>
      <c r="N39" s="78">
        <f t="shared" si="4"/>
        <v>29.700000000000003</v>
      </c>
      <c r="O39" s="111">
        <f t="shared" si="5"/>
        <v>55.840400000000002</v>
      </c>
      <c r="P39" s="125">
        <v>107988</v>
      </c>
      <c r="Q39" s="4"/>
      <c r="R39" s="49"/>
    </row>
    <row r="40" spans="1:18" x14ac:dyDescent="0.25">
      <c r="A40" s="31"/>
      <c r="B40" s="4" t="s">
        <v>1168</v>
      </c>
      <c r="C40" s="5">
        <f>C37</f>
        <v>1</v>
      </c>
      <c r="D40" s="7">
        <v>0</v>
      </c>
      <c r="E40" s="3">
        <f t="shared" si="1"/>
        <v>1</v>
      </c>
      <c r="F40" s="3" t="s">
        <v>867</v>
      </c>
      <c r="G40" s="77">
        <v>411.66</v>
      </c>
      <c r="H40" s="5" t="s">
        <v>0</v>
      </c>
      <c r="I40" s="78">
        <f t="shared" si="11"/>
        <v>4.1166</v>
      </c>
      <c r="J40" s="110">
        <f t="shared" si="12"/>
        <v>75</v>
      </c>
      <c r="K40" s="182">
        <v>11</v>
      </c>
      <c r="L40" s="5" t="s">
        <v>0</v>
      </c>
      <c r="M40" s="80">
        <f t="shared" si="3"/>
        <v>0.11</v>
      </c>
      <c r="N40" s="78">
        <f t="shared" si="4"/>
        <v>8.25</v>
      </c>
      <c r="O40" s="111">
        <f t="shared" si="5"/>
        <v>12.3666</v>
      </c>
      <c r="P40" s="125">
        <v>107655</v>
      </c>
      <c r="Q40" s="4"/>
      <c r="R40" s="49"/>
    </row>
    <row r="41" spans="1:18" x14ac:dyDescent="0.25">
      <c r="A41" s="31"/>
      <c r="B41" s="4" t="s">
        <v>38</v>
      </c>
      <c r="C41" s="5">
        <f>C37*20</f>
        <v>20</v>
      </c>
      <c r="D41" s="7">
        <v>0</v>
      </c>
      <c r="E41" s="3">
        <f t="shared" si="1"/>
        <v>20</v>
      </c>
      <c r="F41" s="3" t="s">
        <v>867</v>
      </c>
      <c r="G41" s="77">
        <v>810.5</v>
      </c>
      <c r="H41" s="5" t="s">
        <v>26</v>
      </c>
      <c r="I41" s="78">
        <f t="shared" si="11"/>
        <v>16.21</v>
      </c>
      <c r="J41" s="110">
        <f t="shared" si="12"/>
        <v>75</v>
      </c>
      <c r="K41" s="182">
        <v>10.199999999999999</v>
      </c>
      <c r="L41" s="5" t="s">
        <v>26</v>
      </c>
      <c r="M41" s="80">
        <f t="shared" si="3"/>
        <v>0.20399999999999999</v>
      </c>
      <c r="N41" s="78">
        <f t="shared" si="4"/>
        <v>15.299999999999999</v>
      </c>
      <c r="O41" s="111">
        <f t="shared" si="5"/>
        <v>31.509999999999998</v>
      </c>
      <c r="P41" s="125">
        <v>109260</v>
      </c>
      <c r="Q41" s="4"/>
      <c r="R41" s="49"/>
    </row>
    <row r="42" spans="1:18" x14ac:dyDescent="0.25">
      <c r="A42" s="31"/>
      <c r="B42" s="4" t="s">
        <v>45</v>
      </c>
      <c r="C42" s="5">
        <f>C37*3</f>
        <v>3</v>
      </c>
      <c r="D42" s="7">
        <v>0</v>
      </c>
      <c r="E42" s="3">
        <f t="shared" si="1"/>
        <v>3</v>
      </c>
      <c r="F42" s="3" t="s">
        <v>867</v>
      </c>
      <c r="G42" s="77">
        <v>303.77</v>
      </c>
      <c r="H42" s="5" t="s">
        <v>0</v>
      </c>
      <c r="I42" s="78">
        <f t="shared" si="11"/>
        <v>9.1130999999999993</v>
      </c>
      <c r="J42" s="110">
        <f t="shared" si="12"/>
        <v>75</v>
      </c>
      <c r="K42" s="182">
        <v>15</v>
      </c>
      <c r="L42" s="5" t="s">
        <v>0</v>
      </c>
      <c r="M42" s="80">
        <f t="shared" si="3"/>
        <v>0.44999999999999996</v>
      </c>
      <c r="N42" s="78">
        <f t="shared" si="4"/>
        <v>33.75</v>
      </c>
      <c r="O42" s="111">
        <f t="shared" si="5"/>
        <v>42.863100000000003</v>
      </c>
      <c r="P42" s="125">
        <v>122607</v>
      </c>
      <c r="Q42" s="4"/>
      <c r="R42" s="49"/>
    </row>
    <row r="43" spans="1:18" x14ac:dyDescent="0.25">
      <c r="A43" s="31"/>
      <c r="B43" s="4" t="s">
        <v>46</v>
      </c>
      <c r="C43" s="5">
        <f>C37*4</f>
        <v>4</v>
      </c>
      <c r="D43" s="7">
        <v>0</v>
      </c>
      <c r="E43" s="3">
        <f t="shared" si="1"/>
        <v>4</v>
      </c>
      <c r="F43" s="3" t="s">
        <v>867</v>
      </c>
      <c r="G43" s="77">
        <v>704.31</v>
      </c>
      <c r="H43" s="5" t="s">
        <v>0</v>
      </c>
      <c r="I43" s="78">
        <f t="shared" si="11"/>
        <v>28.172399999999996</v>
      </c>
      <c r="J43" s="110">
        <f t="shared" si="12"/>
        <v>75</v>
      </c>
      <c r="K43" s="182">
        <v>20</v>
      </c>
      <c r="L43" s="5" t="s">
        <v>0</v>
      </c>
      <c r="M43" s="80">
        <f t="shared" si="3"/>
        <v>0.8</v>
      </c>
      <c r="N43" s="78">
        <f t="shared" si="4"/>
        <v>60</v>
      </c>
      <c r="O43" s="111">
        <f t="shared" si="5"/>
        <v>88.172399999999996</v>
      </c>
      <c r="P43" s="125">
        <v>122613</v>
      </c>
      <c r="Q43" s="4"/>
      <c r="R43" s="49"/>
    </row>
    <row r="44" spans="1:18" x14ac:dyDescent="0.25">
      <c r="A44" s="31"/>
      <c r="B44" s="4" t="s">
        <v>41</v>
      </c>
      <c r="C44" s="5">
        <f>C37</f>
        <v>1</v>
      </c>
      <c r="D44" s="7">
        <v>0</v>
      </c>
      <c r="E44" s="3">
        <f t="shared" si="1"/>
        <v>1</v>
      </c>
      <c r="F44" s="3" t="s">
        <v>867</v>
      </c>
      <c r="G44" s="77">
        <v>48.37</v>
      </c>
      <c r="H44" s="5" t="s">
        <v>1</v>
      </c>
      <c r="I44" s="78">
        <f t="shared" si="11"/>
        <v>48.37</v>
      </c>
      <c r="J44" s="110">
        <f t="shared" si="12"/>
        <v>75</v>
      </c>
      <c r="K44" s="182">
        <v>0.25</v>
      </c>
      <c r="L44" s="5" t="s">
        <v>1</v>
      </c>
      <c r="M44" s="80">
        <f t="shared" si="3"/>
        <v>0.25</v>
      </c>
      <c r="N44" s="78">
        <f t="shared" si="4"/>
        <v>18.75</v>
      </c>
      <c r="O44" s="111">
        <f t="shared" si="5"/>
        <v>67.12</v>
      </c>
      <c r="P44" s="125">
        <v>157980</v>
      </c>
      <c r="Q44" s="4"/>
      <c r="R44" s="49"/>
    </row>
    <row r="45" spans="1:18" x14ac:dyDescent="0.25">
      <c r="A45" s="31"/>
      <c r="B45" s="4" t="s">
        <v>28</v>
      </c>
      <c r="C45" s="5">
        <f>C37*4</f>
        <v>4</v>
      </c>
      <c r="D45" s="7">
        <v>0</v>
      </c>
      <c r="E45" s="3">
        <f t="shared" si="1"/>
        <v>4</v>
      </c>
      <c r="F45" s="3" t="s">
        <v>867</v>
      </c>
      <c r="G45" s="77">
        <v>38.9</v>
      </c>
      <c r="H45" s="5" t="s">
        <v>0</v>
      </c>
      <c r="I45" s="78">
        <f t="shared" si="11"/>
        <v>1.556</v>
      </c>
      <c r="J45" s="110">
        <f t="shared" si="12"/>
        <v>75</v>
      </c>
      <c r="K45" s="182">
        <v>8</v>
      </c>
      <c r="L45" s="5" t="s">
        <v>0</v>
      </c>
      <c r="M45" s="80">
        <f t="shared" si="3"/>
        <v>0.32</v>
      </c>
      <c r="N45" s="78">
        <f t="shared" si="4"/>
        <v>24</v>
      </c>
      <c r="O45" s="111">
        <f t="shared" si="5"/>
        <v>25.556000000000001</v>
      </c>
      <c r="P45" s="125">
        <v>139626</v>
      </c>
      <c r="Q45" s="4"/>
      <c r="R45" s="49"/>
    </row>
    <row r="46" spans="1:18" ht="15.75" thickBot="1" x14ac:dyDescent="0.3">
      <c r="A46" s="31"/>
      <c r="B46" s="4"/>
      <c r="C46" s="5"/>
      <c r="D46" s="7"/>
      <c r="E46" s="3"/>
      <c r="F46" s="3"/>
      <c r="G46" s="77" t="s">
        <v>1202</v>
      </c>
      <c r="H46" s="5"/>
      <c r="I46" s="78"/>
      <c r="J46" s="4"/>
      <c r="K46" s="182"/>
      <c r="L46" s="5"/>
      <c r="M46" s="80"/>
      <c r="N46" s="78"/>
      <c r="O46" s="111"/>
      <c r="P46" s="125"/>
      <c r="Q46" s="4"/>
      <c r="R46" s="49"/>
    </row>
    <row r="47" spans="1:18" ht="15.75" thickBot="1" x14ac:dyDescent="0.3">
      <c r="A47" s="31"/>
      <c r="B47" s="120" t="s">
        <v>48</v>
      </c>
      <c r="C47" s="5"/>
      <c r="D47" s="7"/>
      <c r="E47" s="3"/>
      <c r="F47" s="3"/>
      <c r="G47" s="77" t="s">
        <v>1202</v>
      </c>
      <c r="H47" s="5"/>
      <c r="I47" s="78"/>
      <c r="J47" s="4"/>
      <c r="K47" s="182"/>
      <c r="L47" s="5"/>
      <c r="M47" s="80"/>
      <c r="N47" s="78"/>
      <c r="O47" s="111"/>
      <c r="P47" s="125"/>
      <c r="Q47" s="4"/>
      <c r="R47" s="49"/>
    </row>
    <row r="48" spans="1:18" x14ac:dyDescent="0.25">
      <c r="A48" s="31">
        <v>1</v>
      </c>
      <c r="B48" s="4" t="s">
        <v>52</v>
      </c>
      <c r="C48" s="5">
        <v>1</v>
      </c>
      <c r="D48" s="7">
        <v>0</v>
      </c>
      <c r="E48" s="3">
        <f>C48+(C48*D48)</f>
        <v>1</v>
      </c>
      <c r="F48" s="3" t="s">
        <v>867</v>
      </c>
      <c r="G48" s="77">
        <v>5500</v>
      </c>
      <c r="H48" s="5" t="s">
        <v>1</v>
      </c>
      <c r="I48" s="78">
        <f t="shared" ref="I48:I57" si="13">IF(H48="C",(G48/100)*E48,IF(H48="M",(G48/1000)*E48,G48*E48))</f>
        <v>5500</v>
      </c>
      <c r="J48" s="110">
        <f t="shared" ref="J48:J57" si="14">$O$4</f>
        <v>75</v>
      </c>
      <c r="K48" s="182">
        <v>16.5</v>
      </c>
      <c r="L48" s="5" t="s">
        <v>1</v>
      </c>
      <c r="M48" s="80">
        <f>IF(L48="C",(K48/100)*E48,IF(L48="M",(K48/1000)*E48,K48*E48))</f>
        <v>16.5</v>
      </c>
      <c r="N48" s="78">
        <f>M48*J48</f>
        <v>1237.5</v>
      </c>
      <c r="O48" s="111">
        <f>N48+I48</f>
        <v>6737.5</v>
      </c>
      <c r="P48" s="125">
        <v>152772</v>
      </c>
      <c r="Q48" s="4"/>
      <c r="R48" s="49"/>
    </row>
    <row r="49" spans="1:18" x14ac:dyDescent="0.25">
      <c r="A49" s="31"/>
      <c r="B49" s="4" t="s">
        <v>36</v>
      </c>
      <c r="C49" s="5">
        <f>C48*4</f>
        <v>4</v>
      </c>
      <c r="D49" s="7">
        <v>0</v>
      </c>
      <c r="E49" s="3">
        <f t="shared" si="1"/>
        <v>4</v>
      </c>
      <c r="F49" s="3" t="s">
        <v>868</v>
      </c>
      <c r="G49" s="77">
        <v>408.82</v>
      </c>
      <c r="H49" s="5" t="s">
        <v>0</v>
      </c>
      <c r="I49" s="78">
        <f t="shared" si="13"/>
        <v>16.352799999999998</v>
      </c>
      <c r="J49" s="110">
        <f t="shared" si="14"/>
        <v>75</v>
      </c>
      <c r="K49" s="182">
        <v>7.8</v>
      </c>
      <c r="L49" s="5" t="s">
        <v>0</v>
      </c>
      <c r="M49" s="80">
        <f t="shared" si="3"/>
        <v>0.312</v>
      </c>
      <c r="N49" s="78">
        <f t="shared" si="4"/>
        <v>23.4</v>
      </c>
      <c r="O49" s="111">
        <f t="shared" si="5"/>
        <v>39.752799999999993</v>
      </c>
      <c r="P49" s="125">
        <v>107985</v>
      </c>
      <c r="Q49" s="4"/>
      <c r="R49" s="49"/>
    </row>
    <row r="50" spans="1:18" x14ac:dyDescent="0.25">
      <c r="A50" s="31"/>
      <c r="B50" s="4" t="s">
        <v>49</v>
      </c>
      <c r="C50" s="5">
        <f>C48*4</f>
        <v>4</v>
      </c>
      <c r="D50" s="7">
        <v>0</v>
      </c>
      <c r="E50" s="3">
        <f t="shared" si="1"/>
        <v>4</v>
      </c>
      <c r="F50" s="3" t="s">
        <v>868</v>
      </c>
      <c r="G50" s="77">
        <v>972.66</v>
      </c>
      <c r="H50" s="5" t="s">
        <v>0</v>
      </c>
      <c r="I50" s="78">
        <f t="shared" si="13"/>
        <v>38.906399999999998</v>
      </c>
      <c r="J50" s="110">
        <f t="shared" si="14"/>
        <v>75</v>
      </c>
      <c r="K50" s="182">
        <v>15.8</v>
      </c>
      <c r="L50" s="5" t="s">
        <v>0</v>
      </c>
      <c r="M50" s="80">
        <f t="shared" si="3"/>
        <v>0.63200000000000001</v>
      </c>
      <c r="N50" s="78">
        <f t="shared" si="4"/>
        <v>47.4</v>
      </c>
      <c r="O50" s="111">
        <f t="shared" si="5"/>
        <v>86.306399999999996</v>
      </c>
      <c r="P50" s="125">
        <v>107994</v>
      </c>
      <c r="Q50" s="4"/>
      <c r="R50" s="49"/>
    </row>
    <row r="51" spans="1:18" x14ac:dyDescent="0.25">
      <c r="A51" s="31"/>
      <c r="B51" s="4" t="s">
        <v>37</v>
      </c>
      <c r="C51" s="5">
        <f>C48</f>
        <v>1</v>
      </c>
      <c r="D51" s="7">
        <v>0</v>
      </c>
      <c r="E51" s="3">
        <f t="shared" si="1"/>
        <v>1</v>
      </c>
      <c r="F51" s="3" t="s">
        <v>867</v>
      </c>
      <c r="G51" s="77">
        <v>892.06</v>
      </c>
      <c r="H51" s="5" t="s">
        <v>0</v>
      </c>
      <c r="I51" s="78">
        <f t="shared" si="13"/>
        <v>8.9206000000000003</v>
      </c>
      <c r="J51" s="110">
        <f t="shared" si="14"/>
        <v>75</v>
      </c>
      <c r="K51" s="182">
        <v>15</v>
      </c>
      <c r="L51" s="5" t="s">
        <v>0</v>
      </c>
      <c r="M51" s="80">
        <f t="shared" si="3"/>
        <v>0.15</v>
      </c>
      <c r="N51" s="78">
        <f t="shared" si="4"/>
        <v>11.25</v>
      </c>
      <c r="O51" s="111">
        <f t="shared" si="5"/>
        <v>20.1706</v>
      </c>
      <c r="P51" s="125">
        <v>107658</v>
      </c>
      <c r="Q51" s="4"/>
      <c r="R51" s="49"/>
    </row>
    <row r="52" spans="1:18" x14ac:dyDescent="0.25">
      <c r="A52" s="31"/>
      <c r="B52" s="4" t="s">
        <v>50</v>
      </c>
      <c r="C52" s="5">
        <f>C48</f>
        <v>1</v>
      </c>
      <c r="D52" s="7">
        <v>0</v>
      </c>
      <c r="E52" s="3">
        <f t="shared" si="1"/>
        <v>1</v>
      </c>
      <c r="F52" s="3" t="s">
        <v>867</v>
      </c>
      <c r="G52" s="77">
        <v>2949.96</v>
      </c>
      <c r="H52" s="5" t="s">
        <v>0</v>
      </c>
      <c r="I52" s="78">
        <f t="shared" si="13"/>
        <v>29.499600000000001</v>
      </c>
      <c r="J52" s="110">
        <f t="shared" si="14"/>
        <v>75</v>
      </c>
      <c r="K52" s="182">
        <v>28</v>
      </c>
      <c r="L52" s="5" t="s">
        <v>0</v>
      </c>
      <c r="M52" s="80">
        <f t="shared" si="3"/>
        <v>0.28000000000000003</v>
      </c>
      <c r="N52" s="78">
        <f t="shared" si="4"/>
        <v>21.000000000000004</v>
      </c>
      <c r="O52" s="111">
        <f t="shared" si="5"/>
        <v>50.499600000000001</v>
      </c>
      <c r="P52" s="125">
        <v>107667</v>
      </c>
      <c r="Q52" s="4"/>
      <c r="R52" s="49"/>
    </row>
    <row r="53" spans="1:18" x14ac:dyDescent="0.25">
      <c r="A53" s="31"/>
      <c r="B53" s="4" t="s">
        <v>38</v>
      </c>
      <c r="C53" s="5">
        <f>C48*20</f>
        <v>20</v>
      </c>
      <c r="D53" s="7">
        <v>0</v>
      </c>
      <c r="E53" s="3">
        <f t="shared" si="1"/>
        <v>20</v>
      </c>
      <c r="F53" s="3" t="s">
        <v>867</v>
      </c>
      <c r="G53" s="77">
        <v>810.5</v>
      </c>
      <c r="H53" s="5" t="s">
        <v>26</v>
      </c>
      <c r="I53" s="78">
        <f t="shared" si="13"/>
        <v>16.21</v>
      </c>
      <c r="J53" s="110">
        <f t="shared" si="14"/>
        <v>75</v>
      </c>
      <c r="K53" s="182">
        <v>10.199999999999999</v>
      </c>
      <c r="L53" s="5" t="s">
        <v>26</v>
      </c>
      <c r="M53" s="80">
        <f t="shared" si="3"/>
        <v>0.20399999999999999</v>
      </c>
      <c r="N53" s="78">
        <f t="shared" si="4"/>
        <v>15.299999999999999</v>
      </c>
      <c r="O53" s="111">
        <f t="shared" si="5"/>
        <v>31.509999999999998</v>
      </c>
      <c r="P53" s="125">
        <v>109260</v>
      </c>
      <c r="Q53" s="4"/>
      <c r="R53" s="49"/>
    </row>
    <row r="54" spans="1:18" x14ac:dyDescent="0.25">
      <c r="A54" s="31"/>
      <c r="B54" s="4" t="s">
        <v>40</v>
      </c>
      <c r="C54" s="5">
        <f>C48*3</f>
        <v>3</v>
      </c>
      <c r="D54" s="7">
        <v>0</v>
      </c>
      <c r="E54" s="3">
        <f t="shared" si="1"/>
        <v>3</v>
      </c>
      <c r="F54" s="3" t="s">
        <v>867</v>
      </c>
      <c r="G54" s="77">
        <v>516.44000000000005</v>
      </c>
      <c r="H54" s="5" t="s">
        <v>0</v>
      </c>
      <c r="I54" s="78">
        <f t="shared" si="13"/>
        <v>15.493200000000002</v>
      </c>
      <c r="J54" s="110">
        <f t="shared" si="14"/>
        <v>75</v>
      </c>
      <c r="K54" s="182">
        <v>17</v>
      </c>
      <c r="L54" s="5" t="s">
        <v>0</v>
      </c>
      <c r="M54" s="80">
        <f t="shared" si="3"/>
        <v>0.51</v>
      </c>
      <c r="N54" s="78">
        <f t="shared" si="4"/>
        <v>38.25</v>
      </c>
      <c r="O54" s="111">
        <f t="shared" si="5"/>
        <v>53.743200000000002</v>
      </c>
      <c r="P54" s="125">
        <v>122610</v>
      </c>
      <c r="Q54" s="4"/>
      <c r="R54" s="49"/>
    </row>
    <row r="55" spans="1:18" x14ac:dyDescent="0.25">
      <c r="A55" s="31"/>
      <c r="B55" s="4" t="s">
        <v>51</v>
      </c>
      <c r="C55" s="5">
        <f>C48*4</f>
        <v>4</v>
      </c>
      <c r="D55" s="7">
        <v>0</v>
      </c>
      <c r="E55" s="3">
        <f t="shared" si="1"/>
        <v>4</v>
      </c>
      <c r="F55" s="3" t="s">
        <v>867</v>
      </c>
      <c r="G55" s="77">
        <v>986.22</v>
      </c>
      <c r="H55" s="5" t="s">
        <v>0</v>
      </c>
      <c r="I55" s="78">
        <f t="shared" si="13"/>
        <v>39.448799999999999</v>
      </c>
      <c r="J55" s="110">
        <f t="shared" si="14"/>
        <v>75</v>
      </c>
      <c r="K55" s="182">
        <v>30</v>
      </c>
      <c r="L55" s="5" t="s">
        <v>0</v>
      </c>
      <c r="M55" s="80">
        <f t="shared" si="3"/>
        <v>1.2</v>
      </c>
      <c r="N55" s="78">
        <f t="shared" si="4"/>
        <v>90</v>
      </c>
      <c r="O55" s="111">
        <f t="shared" si="5"/>
        <v>129.44880000000001</v>
      </c>
      <c r="P55" s="125">
        <v>122625</v>
      </c>
      <c r="Q55" s="4"/>
      <c r="R55" s="49"/>
    </row>
    <row r="56" spans="1:18" x14ac:dyDescent="0.25">
      <c r="A56" s="31"/>
      <c r="B56" s="4" t="s">
        <v>41</v>
      </c>
      <c r="C56" s="5">
        <f>C48</f>
        <v>1</v>
      </c>
      <c r="D56" s="7">
        <v>0</v>
      </c>
      <c r="E56" s="3">
        <f t="shared" si="1"/>
        <v>1</v>
      </c>
      <c r="F56" s="3" t="s">
        <v>867</v>
      </c>
      <c r="G56" s="77">
        <v>48.37</v>
      </c>
      <c r="H56" s="5" t="s">
        <v>1</v>
      </c>
      <c r="I56" s="78">
        <f t="shared" si="13"/>
        <v>48.37</v>
      </c>
      <c r="J56" s="110">
        <f t="shared" si="14"/>
        <v>75</v>
      </c>
      <c r="K56" s="182">
        <v>0.25</v>
      </c>
      <c r="L56" s="5" t="s">
        <v>1</v>
      </c>
      <c r="M56" s="80">
        <f t="shared" si="3"/>
        <v>0.25</v>
      </c>
      <c r="N56" s="78">
        <f t="shared" si="4"/>
        <v>18.75</v>
      </c>
      <c r="O56" s="111">
        <f t="shared" si="5"/>
        <v>67.12</v>
      </c>
      <c r="P56" s="125">
        <v>157980</v>
      </c>
      <c r="Q56" s="4"/>
      <c r="R56" s="49"/>
    </row>
    <row r="57" spans="1:18" x14ac:dyDescent="0.25">
      <c r="A57" s="31"/>
      <c r="B57" s="4" t="s">
        <v>28</v>
      </c>
      <c r="C57" s="5">
        <f>C48*4</f>
        <v>4</v>
      </c>
      <c r="D57" s="7">
        <v>0</v>
      </c>
      <c r="E57" s="3">
        <f t="shared" si="1"/>
        <v>4</v>
      </c>
      <c r="F57" s="3" t="s">
        <v>867</v>
      </c>
      <c r="G57" s="77">
        <v>38.9</v>
      </c>
      <c r="H57" s="5" t="s">
        <v>0</v>
      </c>
      <c r="I57" s="78">
        <f t="shared" si="13"/>
        <v>1.556</v>
      </c>
      <c r="J57" s="110">
        <f t="shared" si="14"/>
        <v>75</v>
      </c>
      <c r="K57" s="182">
        <v>8</v>
      </c>
      <c r="L57" s="5" t="s">
        <v>0</v>
      </c>
      <c r="M57" s="80">
        <f t="shared" si="3"/>
        <v>0.32</v>
      </c>
      <c r="N57" s="78">
        <f t="shared" si="4"/>
        <v>24</v>
      </c>
      <c r="O57" s="111">
        <f t="shared" si="5"/>
        <v>25.556000000000001</v>
      </c>
      <c r="P57" s="125">
        <v>139626</v>
      </c>
      <c r="Q57" s="4"/>
      <c r="R57" s="49"/>
    </row>
    <row r="58" spans="1:18" ht="15.75" thickBot="1" x14ac:dyDescent="0.3">
      <c r="A58" s="31"/>
      <c r="B58" s="4"/>
      <c r="C58" s="5"/>
      <c r="D58" s="7"/>
      <c r="E58" s="3"/>
      <c r="F58" s="3"/>
      <c r="G58" s="77" t="s">
        <v>1202</v>
      </c>
      <c r="H58" s="5"/>
      <c r="I58" s="78"/>
      <c r="J58" s="4"/>
      <c r="K58" s="182"/>
      <c r="L58" s="5"/>
      <c r="M58" s="80"/>
      <c r="N58" s="78"/>
      <c r="O58" s="111"/>
      <c r="P58" s="125"/>
      <c r="Q58" s="4"/>
      <c r="R58" s="49"/>
    </row>
    <row r="59" spans="1:18" ht="15.75" thickBot="1" x14ac:dyDescent="0.3">
      <c r="A59" s="31"/>
      <c r="B59" s="120" t="s">
        <v>53</v>
      </c>
      <c r="C59" s="5"/>
      <c r="D59" s="7"/>
      <c r="E59" s="3"/>
      <c r="F59" s="3"/>
      <c r="G59" s="77" t="s">
        <v>1202</v>
      </c>
      <c r="H59" s="5"/>
      <c r="I59" s="78"/>
      <c r="J59" s="4"/>
      <c r="K59" s="182"/>
      <c r="L59" s="5"/>
      <c r="M59" s="80"/>
      <c r="N59" s="78"/>
      <c r="O59" s="111"/>
      <c r="P59" s="125"/>
      <c r="Q59" s="4"/>
      <c r="R59" s="49"/>
    </row>
    <row r="60" spans="1:18" x14ac:dyDescent="0.25">
      <c r="A60" s="31">
        <v>1</v>
      </c>
      <c r="B60" s="4" t="s">
        <v>59</v>
      </c>
      <c r="C60" s="5">
        <v>1</v>
      </c>
      <c r="D60" s="7">
        <v>0</v>
      </c>
      <c r="E60" s="3">
        <f>C60+(C60*D60)</f>
        <v>1</v>
      </c>
      <c r="F60" s="3" t="s">
        <v>867</v>
      </c>
      <c r="G60" s="77">
        <v>7500</v>
      </c>
      <c r="H60" s="5" t="s">
        <v>1</v>
      </c>
      <c r="I60" s="78">
        <f t="shared" ref="I60:I68" si="15">IF(H60="C",(G60/100)*E60,IF(H60="M",(G60/1000)*E60,G60*E60))</f>
        <v>7500</v>
      </c>
      <c r="J60" s="110">
        <f t="shared" ref="J60:J68" si="16">$O$4</f>
        <v>75</v>
      </c>
      <c r="K60" s="182">
        <v>19.600000000000001</v>
      </c>
      <c r="L60" s="5" t="s">
        <v>1</v>
      </c>
      <c r="M60" s="80">
        <f>IF(L60="C",(K60/100)*E60,IF(L60="M",(K60/1000)*E60,K60*E60))</f>
        <v>19.600000000000001</v>
      </c>
      <c r="N60" s="78">
        <f>M60*J60</f>
        <v>1470</v>
      </c>
      <c r="O60" s="111">
        <f>N60+I60</f>
        <v>8970</v>
      </c>
      <c r="P60" s="125">
        <v>152775</v>
      </c>
      <c r="Q60" s="4"/>
      <c r="R60" s="49"/>
    </row>
    <row r="61" spans="1:18" x14ac:dyDescent="0.25">
      <c r="A61" s="31"/>
      <c r="B61" s="4" t="s">
        <v>1180</v>
      </c>
      <c r="C61" s="5">
        <f>C60*4</f>
        <v>4</v>
      </c>
      <c r="D61" s="7">
        <v>0</v>
      </c>
      <c r="E61" s="3">
        <f t="shared" si="1"/>
        <v>4</v>
      </c>
      <c r="F61" s="3" t="s">
        <v>868</v>
      </c>
      <c r="G61" s="77">
        <v>799.4</v>
      </c>
      <c r="H61" s="5" t="s">
        <v>0</v>
      </c>
      <c r="I61" s="78">
        <f t="shared" si="15"/>
        <v>31.975999999999999</v>
      </c>
      <c r="J61" s="110">
        <f t="shared" si="16"/>
        <v>75</v>
      </c>
      <c r="K61" s="182">
        <v>14.8</v>
      </c>
      <c r="L61" s="5" t="s">
        <v>0</v>
      </c>
      <c r="M61" s="80">
        <f t="shared" si="3"/>
        <v>0.59200000000000008</v>
      </c>
      <c r="N61" s="78">
        <f t="shared" si="4"/>
        <v>44.400000000000006</v>
      </c>
      <c r="O61" s="111">
        <f t="shared" si="5"/>
        <v>76.376000000000005</v>
      </c>
      <c r="P61" s="125">
        <v>107991</v>
      </c>
      <c r="Q61" s="4"/>
      <c r="R61" s="49"/>
    </row>
    <row r="62" spans="1:18" x14ac:dyDescent="0.25">
      <c r="A62" s="31"/>
      <c r="B62" s="4" t="s">
        <v>54</v>
      </c>
      <c r="C62" s="5">
        <f>C60*4</f>
        <v>4</v>
      </c>
      <c r="D62" s="7">
        <v>0</v>
      </c>
      <c r="E62" s="3">
        <f t="shared" si="1"/>
        <v>4</v>
      </c>
      <c r="F62" s="3" t="s">
        <v>868</v>
      </c>
      <c r="G62" s="77">
        <v>1892.14</v>
      </c>
      <c r="H62" s="5" t="s">
        <v>0</v>
      </c>
      <c r="I62" s="78">
        <f t="shared" si="15"/>
        <v>75.685600000000008</v>
      </c>
      <c r="J62" s="110">
        <f t="shared" si="16"/>
        <v>75</v>
      </c>
      <c r="K62" s="182">
        <v>19.600000000000001</v>
      </c>
      <c r="L62" s="5" t="s">
        <v>0</v>
      </c>
      <c r="M62" s="80">
        <f t="shared" si="3"/>
        <v>0.78400000000000003</v>
      </c>
      <c r="N62" s="78">
        <f t="shared" si="4"/>
        <v>58.800000000000004</v>
      </c>
      <c r="O62" s="111">
        <f t="shared" si="5"/>
        <v>134.48560000000001</v>
      </c>
      <c r="P62" s="125">
        <v>108000</v>
      </c>
      <c r="Q62" s="4"/>
      <c r="R62" s="49"/>
    </row>
    <row r="63" spans="1:18" x14ac:dyDescent="0.25">
      <c r="A63" s="31"/>
      <c r="B63" s="4" t="s">
        <v>1178</v>
      </c>
      <c r="C63" s="5">
        <f>C60</f>
        <v>1</v>
      </c>
      <c r="D63" s="7">
        <v>0</v>
      </c>
      <c r="E63" s="3">
        <f t="shared" si="1"/>
        <v>1</v>
      </c>
      <c r="F63" s="3" t="s">
        <v>867</v>
      </c>
      <c r="G63" s="77">
        <v>1636.15</v>
      </c>
      <c r="H63" s="5" t="s">
        <v>0</v>
      </c>
      <c r="I63" s="78">
        <f t="shared" si="15"/>
        <v>16.361499999999999</v>
      </c>
      <c r="J63" s="110">
        <f t="shared" si="16"/>
        <v>75</v>
      </c>
      <c r="K63" s="182">
        <v>25</v>
      </c>
      <c r="L63" s="5" t="s">
        <v>0</v>
      </c>
      <c r="M63" s="80">
        <f t="shared" si="3"/>
        <v>0.25</v>
      </c>
      <c r="N63" s="78">
        <f t="shared" si="4"/>
        <v>18.75</v>
      </c>
      <c r="O63" s="111">
        <f t="shared" si="5"/>
        <v>35.111499999999999</v>
      </c>
      <c r="P63" s="125">
        <v>107664</v>
      </c>
      <c r="Q63" s="4"/>
      <c r="R63" s="49"/>
    </row>
    <row r="64" spans="1:18" x14ac:dyDescent="0.25">
      <c r="A64" s="31"/>
      <c r="B64" s="4" t="s">
        <v>55</v>
      </c>
      <c r="C64" s="5">
        <f>C60*20</f>
        <v>20</v>
      </c>
      <c r="D64" s="7">
        <v>0</v>
      </c>
      <c r="E64" s="3">
        <f t="shared" si="1"/>
        <v>20</v>
      </c>
      <c r="F64" s="3" t="s">
        <v>867</v>
      </c>
      <c r="G64" s="77">
        <v>1308.7</v>
      </c>
      <c r="H64" s="5" t="s">
        <v>26</v>
      </c>
      <c r="I64" s="78">
        <f t="shared" si="15"/>
        <v>26.173999999999999</v>
      </c>
      <c r="J64" s="110">
        <f t="shared" si="16"/>
        <v>75</v>
      </c>
      <c r="K64" s="182">
        <v>11.9</v>
      </c>
      <c r="L64" s="5" t="s">
        <v>26</v>
      </c>
      <c r="M64" s="80">
        <f t="shared" si="3"/>
        <v>0.23800000000000002</v>
      </c>
      <c r="N64" s="78">
        <f t="shared" si="4"/>
        <v>17.850000000000001</v>
      </c>
      <c r="O64" s="111">
        <f t="shared" si="5"/>
        <v>44.024000000000001</v>
      </c>
      <c r="P64" s="125">
        <v>109263</v>
      </c>
      <c r="Q64" s="4"/>
      <c r="R64" s="49"/>
    </row>
    <row r="65" spans="1:18" x14ac:dyDescent="0.25">
      <c r="A65" s="31"/>
      <c r="B65" s="4" t="s">
        <v>56</v>
      </c>
      <c r="C65" s="5">
        <f>C60*3</f>
        <v>3</v>
      </c>
      <c r="D65" s="7">
        <v>0</v>
      </c>
      <c r="E65" s="3">
        <f t="shared" si="1"/>
        <v>3</v>
      </c>
      <c r="F65" s="3" t="s">
        <v>867</v>
      </c>
      <c r="G65" s="77">
        <v>874</v>
      </c>
      <c r="H65" s="5" t="s">
        <v>0</v>
      </c>
      <c r="I65" s="78">
        <f t="shared" si="15"/>
        <v>26.22</v>
      </c>
      <c r="J65" s="110">
        <f t="shared" si="16"/>
        <v>75</v>
      </c>
      <c r="K65" s="182">
        <v>26</v>
      </c>
      <c r="L65" s="5" t="s">
        <v>0</v>
      </c>
      <c r="M65" s="80">
        <f t="shared" si="3"/>
        <v>0.78</v>
      </c>
      <c r="N65" s="78">
        <f t="shared" si="4"/>
        <v>58.5</v>
      </c>
      <c r="O65" s="111">
        <f t="shared" si="5"/>
        <v>84.72</v>
      </c>
      <c r="P65" s="125">
        <v>122619</v>
      </c>
      <c r="Q65" s="4"/>
      <c r="R65" s="49"/>
    </row>
    <row r="66" spans="1:18" x14ac:dyDescent="0.25">
      <c r="A66" s="31"/>
      <c r="B66" s="4" t="s">
        <v>57</v>
      </c>
      <c r="C66" s="5">
        <f>C60*4</f>
        <v>4</v>
      </c>
      <c r="D66" s="7">
        <v>0</v>
      </c>
      <c r="E66" s="3">
        <f t="shared" si="1"/>
        <v>4</v>
      </c>
      <c r="F66" s="3" t="s">
        <v>867</v>
      </c>
      <c r="G66" s="77">
        <v>2151.36</v>
      </c>
      <c r="H66" s="5" t="s">
        <v>0</v>
      </c>
      <c r="I66" s="78">
        <f t="shared" si="15"/>
        <v>86.054400000000001</v>
      </c>
      <c r="J66" s="110">
        <f t="shared" si="16"/>
        <v>75</v>
      </c>
      <c r="K66" s="182">
        <v>48</v>
      </c>
      <c r="L66" s="5" t="s">
        <v>0</v>
      </c>
      <c r="M66" s="80">
        <f t="shared" si="3"/>
        <v>1.92</v>
      </c>
      <c r="N66" s="78">
        <f t="shared" si="4"/>
        <v>144</v>
      </c>
      <c r="O66" s="111">
        <f t="shared" si="5"/>
        <v>230.05439999999999</v>
      </c>
      <c r="P66" s="125">
        <v>122640</v>
      </c>
      <c r="Q66" s="4"/>
      <c r="R66" s="49"/>
    </row>
    <row r="67" spans="1:18" x14ac:dyDescent="0.25">
      <c r="A67" s="31"/>
      <c r="B67" s="4" t="s">
        <v>41</v>
      </c>
      <c r="C67" s="5">
        <f>C60</f>
        <v>1</v>
      </c>
      <c r="D67" s="7">
        <v>0</v>
      </c>
      <c r="E67" s="3">
        <f t="shared" si="1"/>
        <v>1</v>
      </c>
      <c r="F67" s="3" t="s">
        <v>867</v>
      </c>
      <c r="G67" s="77">
        <v>48.37</v>
      </c>
      <c r="H67" s="5" t="s">
        <v>1</v>
      </c>
      <c r="I67" s="78">
        <f t="shared" si="15"/>
        <v>48.37</v>
      </c>
      <c r="J67" s="110">
        <f t="shared" si="16"/>
        <v>75</v>
      </c>
      <c r="K67" s="182">
        <v>0.25</v>
      </c>
      <c r="L67" s="5" t="s">
        <v>1</v>
      </c>
      <c r="M67" s="80">
        <f t="shared" si="3"/>
        <v>0.25</v>
      </c>
      <c r="N67" s="78">
        <f t="shared" si="4"/>
        <v>18.75</v>
      </c>
      <c r="O67" s="111">
        <f t="shared" si="5"/>
        <v>67.12</v>
      </c>
      <c r="P67" s="125">
        <v>157980</v>
      </c>
      <c r="Q67" s="4"/>
      <c r="R67" s="49"/>
    </row>
    <row r="68" spans="1:18" x14ac:dyDescent="0.25">
      <c r="A68" s="31"/>
      <c r="B68" s="4" t="s">
        <v>58</v>
      </c>
      <c r="C68" s="5">
        <f>C60*4</f>
        <v>4</v>
      </c>
      <c r="D68" s="7">
        <v>0</v>
      </c>
      <c r="E68" s="3">
        <f t="shared" si="1"/>
        <v>4</v>
      </c>
      <c r="F68" s="3" t="s">
        <v>867</v>
      </c>
      <c r="G68" s="77">
        <v>98.72</v>
      </c>
      <c r="H68" s="5" t="s">
        <v>0</v>
      </c>
      <c r="I68" s="78">
        <f t="shared" si="15"/>
        <v>3.9487999999999999</v>
      </c>
      <c r="J68" s="110">
        <f t="shared" si="16"/>
        <v>75</v>
      </c>
      <c r="K68" s="182">
        <v>12</v>
      </c>
      <c r="L68" s="5" t="s">
        <v>0</v>
      </c>
      <c r="M68" s="80">
        <f t="shared" si="3"/>
        <v>0.48</v>
      </c>
      <c r="N68" s="78">
        <f t="shared" si="4"/>
        <v>36</v>
      </c>
      <c r="O68" s="111">
        <f t="shared" si="5"/>
        <v>39.948799999999999</v>
      </c>
      <c r="P68" s="125">
        <v>139629</v>
      </c>
      <c r="Q68" s="4"/>
      <c r="R68" s="49"/>
    </row>
    <row r="69" spans="1:18" ht="15.75" thickBot="1" x14ac:dyDescent="0.3">
      <c r="A69" s="31"/>
      <c r="B69" s="4"/>
      <c r="C69" s="5"/>
      <c r="D69" s="7"/>
      <c r="E69" s="3"/>
      <c r="F69" s="3"/>
      <c r="G69" s="77" t="s">
        <v>1202</v>
      </c>
      <c r="H69" s="5"/>
      <c r="I69" s="78"/>
      <c r="J69" s="4"/>
      <c r="K69" s="182"/>
      <c r="L69" s="5"/>
      <c r="M69" s="80"/>
      <c r="N69" s="78"/>
      <c r="O69" s="111"/>
      <c r="P69" s="125"/>
      <c r="Q69" s="4"/>
      <c r="R69" s="49"/>
    </row>
    <row r="70" spans="1:18" ht="15.75" thickBot="1" x14ac:dyDescent="0.3">
      <c r="A70" s="31"/>
      <c r="B70" s="120" t="s">
        <v>60</v>
      </c>
      <c r="C70" s="5"/>
      <c r="D70" s="7"/>
      <c r="E70" s="3"/>
      <c r="F70" s="3"/>
      <c r="G70" s="77" t="s">
        <v>1202</v>
      </c>
      <c r="H70" s="5"/>
      <c r="I70" s="78"/>
      <c r="J70" s="4"/>
      <c r="K70" s="182"/>
      <c r="L70" s="5"/>
      <c r="M70" s="80"/>
      <c r="N70" s="78"/>
      <c r="O70" s="111"/>
      <c r="P70" s="125"/>
      <c r="Q70" s="4"/>
      <c r="R70" s="49"/>
    </row>
    <row r="71" spans="1:18" x14ac:dyDescent="0.25">
      <c r="A71" s="31">
        <v>1</v>
      </c>
      <c r="B71" s="4" t="s">
        <v>61</v>
      </c>
      <c r="C71" s="5">
        <v>1</v>
      </c>
      <c r="D71" s="7">
        <v>0</v>
      </c>
      <c r="E71" s="3">
        <f>C71+(C71*D71)</f>
        <v>1</v>
      </c>
      <c r="F71" s="3" t="s">
        <v>867</v>
      </c>
      <c r="G71" s="77">
        <v>8800</v>
      </c>
      <c r="H71" s="5" t="s">
        <v>1</v>
      </c>
      <c r="I71" s="78">
        <f t="shared" ref="I71:I78" si="17">IF(H71="C",(G71/100)*E71,IF(H71="M",(G71/1000)*E71,G71*E71))</f>
        <v>8800</v>
      </c>
      <c r="J71" s="110">
        <f t="shared" ref="J71:J78" si="18">$O$4</f>
        <v>75</v>
      </c>
      <c r="K71" s="182">
        <v>22</v>
      </c>
      <c r="L71" s="5" t="s">
        <v>1</v>
      </c>
      <c r="M71" s="80">
        <f>IF(L71="C",(K71/100)*E71,IF(L71="M",(K71/1000)*E71,K71*E71))</f>
        <v>22</v>
      </c>
      <c r="N71" s="78">
        <f>M71*J71</f>
        <v>1650</v>
      </c>
      <c r="O71" s="111">
        <f>N71+I71</f>
        <v>10450</v>
      </c>
      <c r="P71" s="125">
        <v>152778</v>
      </c>
      <c r="Q71" s="4"/>
      <c r="R71" s="49"/>
    </row>
    <row r="72" spans="1:18" x14ac:dyDescent="0.25">
      <c r="A72" s="31"/>
      <c r="B72" s="4" t="s">
        <v>1180</v>
      </c>
      <c r="C72" s="5">
        <f>C71*4</f>
        <v>4</v>
      </c>
      <c r="D72" s="7">
        <v>0</v>
      </c>
      <c r="E72" s="3">
        <f t="shared" si="1"/>
        <v>4</v>
      </c>
      <c r="F72" s="3" t="s">
        <v>868</v>
      </c>
      <c r="G72" s="77">
        <v>799.4</v>
      </c>
      <c r="H72" s="5" t="s">
        <v>0</v>
      </c>
      <c r="I72" s="78">
        <f t="shared" si="17"/>
        <v>31.975999999999999</v>
      </c>
      <c r="J72" s="110">
        <f t="shared" si="18"/>
        <v>75</v>
      </c>
      <c r="K72" s="182">
        <v>14.8</v>
      </c>
      <c r="L72" s="5" t="s">
        <v>0</v>
      </c>
      <c r="M72" s="80">
        <f t="shared" si="3"/>
        <v>0.59200000000000008</v>
      </c>
      <c r="N72" s="78">
        <f t="shared" si="4"/>
        <v>44.400000000000006</v>
      </c>
      <c r="O72" s="111">
        <f t="shared" si="5"/>
        <v>76.376000000000005</v>
      </c>
      <c r="P72" s="125">
        <v>107991</v>
      </c>
      <c r="Q72" s="4"/>
      <c r="R72" s="49"/>
    </row>
    <row r="73" spans="1:18" x14ac:dyDescent="0.25">
      <c r="A73" s="31"/>
      <c r="B73" s="4" t="s">
        <v>54</v>
      </c>
      <c r="C73" s="5">
        <f>C71*4</f>
        <v>4</v>
      </c>
      <c r="D73" s="7">
        <v>0</v>
      </c>
      <c r="E73" s="3">
        <f t="shared" ref="E73:E136" si="19">C73+(C73*D73)</f>
        <v>4</v>
      </c>
      <c r="F73" s="3" t="s">
        <v>868</v>
      </c>
      <c r="G73" s="77">
        <v>1892.14</v>
      </c>
      <c r="H73" s="5" t="s">
        <v>0</v>
      </c>
      <c r="I73" s="78">
        <f t="shared" si="17"/>
        <v>75.685600000000008</v>
      </c>
      <c r="J73" s="110">
        <f t="shared" si="18"/>
        <v>75</v>
      </c>
      <c r="K73" s="182">
        <v>19.600000000000001</v>
      </c>
      <c r="L73" s="5" t="s">
        <v>0</v>
      </c>
      <c r="M73" s="80">
        <f t="shared" si="3"/>
        <v>0.78400000000000003</v>
      </c>
      <c r="N73" s="78">
        <f t="shared" si="4"/>
        <v>58.800000000000004</v>
      </c>
      <c r="O73" s="111">
        <f t="shared" si="5"/>
        <v>134.48560000000001</v>
      </c>
      <c r="P73" s="125">
        <v>108000</v>
      </c>
      <c r="Q73" s="4"/>
      <c r="R73" s="49"/>
    </row>
    <row r="74" spans="1:18" x14ac:dyDescent="0.25">
      <c r="A74" s="31"/>
      <c r="B74" s="4" t="s">
        <v>55</v>
      </c>
      <c r="C74" s="5">
        <f>C71*20</f>
        <v>20</v>
      </c>
      <c r="D74" s="7">
        <v>0</v>
      </c>
      <c r="E74" s="3">
        <f t="shared" si="19"/>
        <v>20</v>
      </c>
      <c r="F74" s="3" t="s">
        <v>867</v>
      </c>
      <c r="G74" s="77">
        <v>1308.7</v>
      </c>
      <c r="H74" s="5" t="s">
        <v>26</v>
      </c>
      <c r="I74" s="78">
        <f t="shared" si="17"/>
        <v>26.173999999999999</v>
      </c>
      <c r="J74" s="110">
        <f t="shared" si="18"/>
        <v>75</v>
      </c>
      <c r="K74" s="182">
        <v>11.9</v>
      </c>
      <c r="L74" s="5" t="s">
        <v>26</v>
      </c>
      <c r="M74" s="80">
        <f t="shared" ref="M74:M137" si="20">IF(L74="C",(K74/100)*E74,IF(L74="M",(K74/1000)*E74,K74*E74))</f>
        <v>0.23800000000000002</v>
      </c>
      <c r="N74" s="78">
        <f t="shared" ref="N74:N137" si="21">M74*J74</f>
        <v>17.850000000000001</v>
      </c>
      <c r="O74" s="111">
        <f t="shared" ref="O74:O137" si="22">N74+I74</f>
        <v>44.024000000000001</v>
      </c>
      <c r="P74" s="125">
        <v>109263</v>
      </c>
      <c r="Q74" s="4"/>
      <c r="R74" s="49"/>
    </row>
    <row r="75" spans="1:18" x14ac:dyDescent="0.25">
      <c r="A75" s="31"/>
      <c r="B75" s="4" t="s">
        <v>51</v>
      </c>
      <c r="C75" s="5">
        <f>C71*3</f>
        <v>3</v>
      </c>
      <c r="D75" s="7">
        <v>0</v>
      </c>
      <c r="E75" s="3">
        <f t="shared" si="19"/>
        <v>3</v>
      </c>
      <c r="F75" s="3" t="s">
        <v>867</v>
      </c>
      <c r="G75" s="77">
        <v>986.22</v>
      </c>
      <c r="H75" s="5" t="s">
        <v>0</v>
      </c>
      <c r="I75" s="78">
        <f t="shared" si="17"/>
        <v>29.586599999999997</v>
      </c>
      <c r="J75" s="110">
        <f t="shared" si="18"/>
        <v>75</v>
      </c>
      <c r="K75" s="182">
        <v>30</v>
      </c>
      <c r="L75" s="5" t="s">
        <v>0</v>
      </c>
      <c r="M75" s="80">
        <f t="shared" si="20"/>
        <v>0.89999999999999991</v>
      </c>
      <c r="N75" s="78">
        <f t="shared" si="21"/>
        <v>67.5</v>
      </c>
      <c r="O75" s="111">
        <f t="shared" si="22"/>
        <v>97.086600000000004</v>
      </c>
      <c r="P75" s="125">
        <v>122625</v>
      </c>
      <c r="Q75" s="4"/>
      <c r="R75" s="49"/>
    </row>
    <row r="76" spans="1:18" x14ac:dyDescent="0.25">
      <c r="A76" s="31"/>
      <c r="B76" s="4" t="s">
        <v>57</v>
      </c>
      <c r="C76" s="5">
        <f>C71*4</f>
        <v>4</v>
      </c>
      <c r="D76" s="7">
        <v>0</v>
      </c>
      <c r="E76" s="3">
        <f t="shared" si="19"/>
        <v>4</v>
      </c>
      <c r="F76" s="3" t="s">
        <v>867</v>
      </c>
      <c r="G76" s="77">
        <v>2151.36</v>
      </c>
      <c r="H76" s="5" t="s">
        <v>0</v>
      </c>
      <c r="I76" s="78">
        <f t="shared" si="17"/>
        <v>86.054400000000001</v>
      </c>
      <c r="J76" s="110">
        <f t="shared" si="18"/>
        <v>75</v>
      </c>
      <c r="K76" s="182">
        <v>48</v>
      </c>
      <c r="L76" s="5" t="s">
        <v>0</v>
      </c>
      <c r="M76" s="80">
        <f t="shared" si="20"/>
        <v>1.92</v>
      </c>
      <c r="N76" s="78">
        <f t="shared" si="21"/>
        <v>144</v>
      </c>
      <c r="O76" s="111">
        <f t="shared" si="22"/>
        <v>230.05439999999999</v>
      </c>
      <c r="P76" s="125">
        <v>122640</v>
      </c>
      <c r="Q76" s="4"/>
      <c r="R76" s="49"/>
    </row>
    <row r="77" spans="1:18" x14ac:dyDescent="0.25">
      <c r="A77" s="31"/>
      <c r="B77" s="4" t="s">
        <v>41</v>
      </c>
      <c r="C77" s="5">
        <f>C71</f>
        <v>1</v>
      </c>
      <c r="D77" s="7">
        <v>0</v>
      </c>
      <c r="E77" s="3">
        <f t="shared" si="19"/>
        <v>1</v>
      </c>
      <c r="F77" s="3" t="s">
        <v>867</v>
      </c>
      <c r="G77" s="77">
        <v>48.37</v>
      </c>
      <c r="H77" s="5" t="s">
        <v>1</v>
      </c>
      <c r="I77" s="78">
        <f t="shared" si="17"/>
        <v>48.37</v>
      </c>
      <c r="J77" s="110">
        <f t="shared" si="18"/>
        <v>75</v>
      </c>
      <c r="K77" s="182">
        <v>0.25</v>
      </c>
      <c r="L77" s="5" t="s">
        <v>1</v>
      </c>
      <c r="M77" s="80">
        <f t="shared" si="20"/>
        <v>0.25</v>
      </c>
      <c r="N77" s="78">
        <f t="shared" si="21"/>
        <v>18.75</v>
      </c>
      <c r="O77" s="111">
        <f t="shared" si="22"/>
        <v>67.12</v>
      </c>
      <c r="P77" s="125">
        <v>157980</v>
      </c>
      <c r="Q77" s="4"/>
      <c r="R77" s="49"/>
    </row>
    <row r="78" spans="1:18" x14ac:dyDescent="0.25">
      <c r="A78" s="31"/>
      <c r="B78" s="4" t="s">
        <v>58</v>
      </c>
      <c r="C78" s="5">
        <f>C71*4</f>
        <v>4</v>
      </c>
      <c r="D78" s="7">
        <v>0</v>
      </c>
      <c r="E78" s="3">
        <f t="shared" si="19"/>
        <v>4</v>
      </c>
      <c r="F78" s="3" t="s">
        <v>867</v>
      </c>
      <c r="G78" s="77">
        <v>98.72</v>
      </c>
      <c r="H78" s="5" t="s">
        <v>0</v>
      </c>
      <c r="I78" s="78">
        <f t="shared" si="17"/>
        <v>3.9487999999999999</v>
      </c>
      <c r="J78" s="110">
        <f t="shared" si="18"/>
        <v>75</v>
      </c>
      <c r="K78" s="182">
        <v>12</v>
      </c>
      <c r="L78" s="5" t="s">
        <v>0</v>
      </c>
      <c r="M78" s="80">
        <f t="shared" si="20"/>
        <v>0.48</v>
      </c>
      <c r="N78" s="78">
        <f t="shared" si="21"/>
        <v>36</v>
      </c>
      <c r="O78" s="111">
        <f t="shared" si="22"/>
        <v>39.948799999999999</v>
      </c>
      <c r="P78" s="125">
        <v>139629</v>
      </c>
      <c r="Q78" s="4"/>
      <c r="R78" s="49"/>
    </row>
    <row r="79" spans="1:18" ht="15.75" thickBot="1" x14ac:dyDescent="0.3">
      <c r="A79" s="31"/>
      <c r="B79" s="4"/>
      <c r="C79" s="5"/>
      <c r="D79" s="7"/>
      <c r="E79" s="3"/>
      <c r="F79" s="3"/>
      <c r="G79" s="77" t="s">
        <v>1202</v>
      </c>
      <c r="H79" s="5"/>
      <c r="I79" s="78"/>
      <c r="J79" s="4"/>
      <c r="K79" s="182"/>
      <c r="L79" s="5"/>
      <c r="M79" s="80"/>
      <c r="N79" s="78"/>
      <c r="O79" s="111"/>
      <c r="P79" s="125"/>
      <c r="Q79" s="4"/>
      <c r="R79" s="49"/>
    </row>
    <row r="80" spans="1:18" ht="15.75" thickBot="1" x14ac:dyDescent="0.3">
      <c r="A80" s="31"/>
      <c r="B80" s="120" t="s">
        <v>62</v>
      </c>
      <c r="C80" s="5"/>
      <c r="D80" s="7"/>
      <c r="E80" s="3"/>
      <c r="F80" s="3"/>
      <c r="G80" s="77" t="s">
        <v>1202</v>
      </c>
      <c r="H80" s="5"/>
      <c r="I80" s="78"/>
      <c r="J80" s="4"/>
      <c r="K80" s="182"/>
      <c r="L80" s="5"/>
      <c r="M80" s="80"/>
      <c r="N80" s="78"/>
      <c r="O80" s="111"/>
      <c r="P80" s="125"/>
      <c r="Q80" s="4"/>
      <c r="R80" s="49"/>
    </row>
    <row r="81" spans="1:18" x14ac:dyDescent="0.25">
      <c r="A81" s="31">
        <v>1</v>
      </c>
      <c r="B81" s="4" t="s">
        <v>66</v>
      </c>
      <c r="C81" s="5">
        <v>1</v>
      </c>
      <c r="D81" s="7">
        <v>0</v>
      </c>
      <c r="E81" s="3">
        <f>C81+(C81*D81)</f>
        <v>1</v>
      </c>
      <c r="F81" s="3" t="s">
        <v>867</v>
      </c>
      <c r="G81" s="77">
        <v>11700</v>
      </c>
      <c r="H81" s="5" t="s">
        <v>1</v>
      </c>
      <c r="I81" s="78">
        <f t="shared" ref="I81:I87" si="23">IF(H81="C",(G81/100)*E81,IF(H81="M",(G81/1000)*E81,G81*E81))</f>
        <v>11700</v>
      </c>
      <c r="J81" s="110">
        <f t="shared" ref="J81:J87" si="24">$O$4</f>
        <v>75</v>
      </c>
      <c r="K81" s="182">
        <v>27.5</v>
      </c>
      <c r="L81" s="5" t="s">
        <v>1</v>
      </c>
      <c r="M81" s="80">
        <f>IF(L81="C",(K81/100)*E81,IF(L81="M",(K81/1000)*E81,K81*E81))</f>
        <v>27.5</v>
      </c>
      <c r="N81" s="78">
        <f>M81*J81</f>
        <v>2062.5</v>
      </c>
      <c r="O81" s="111">
        <f>N81+I81</f>
        <v>13762.5</v>
      </c>
      <c r="P81" s="125">
        <v>152781</v>
      </c>
      <c r="Q81" s="4"/>
      <c r="R81" s="49"/>
    </row>
    <row r="82" spans="1:18" x14ac:dyDescent="0.25">
      <c r="A82" s="31"/>
      <c r="B82" s="4" t="s">
        <v>49</v>
      </c>
      <c r="C82" s="5">
        <f>C81*4</f>
        <v>4</v>
      </c>
      <c r="D82" s="7">
        <v>0</v>
      </c>
      <c r="E82" s="3">
        <f t="shared" si="19"/>
        <v>4</v>
      </c>
      <c r="F82" s="3" t="s">
        <v>868</v>
      </c>
      <c r="G82" s="77">
        <v>972.66</v>
      </c>
      <c r="H82" s="5" t="s">
        <v>0</v>
      </c>
      <c r="I82" s="78">
        <f t="shared" si="23"/>
        <v>38.906399999999998</v>
      </c>
      <c r="J82" s="110">
        <f t="shared" si="24"/>
        <v>75</v>
      </c>
      <c r="K82" s="182">
        <v>15.8</v>
      </c>
      <c r="L82" s="5" t="s">
        <v>0</v>
      </c>
      <c r="M82" s="80">
        <f t="shared" si="20"/>
        <v>0.63200000000000001</v>
      </c>
      <c r="N82" s="78">
        <f t="shared" si="21"/>
        <v>47.4</v>
      </c>
      <c r="O82" s="111">
        <f t="shared" si="22"/>
        <v>86.306399999999996</v>
      </c>
      <c r="P82" s="125">
        <v>107994</v>
      </c>
      <c r="Q82" s="4"/>
      <c r="R82" s="49"/>
    </row>
    <row r="83" spans="1:18" x14ac:dyDescent="0.25">
      <c r="A83" s="31"/>
      <c r="B83" s="4" t="s">
        <v>1182</v>
      </c>
      <c r="C83" s="5">
        <f>C81*8</f>
        <v>8</v>
      </c>
      <c r="D83" s="7">
        <v>0</v>
      </c>
      <c r="E83" s="3">
        <f t="shared" si="19"/>
        <v>8</v>
      </c>
      <c r="F83" s="3" t="s">
        <v>868</v>
      </c>
      <c r="G83" s="77">
        <v>1683.92</v>
      </c>
      <c r="H83" s="5" t="s">
        <v>0</v>
      </c>
      <c r="I83" s="78">
        <f t="shared" si="23"/>
        <v>134.71360000000001</v>
      </c>
      <c r="J83" s="110">
        <f t="shared" si="24"/>
        <v>75</v>
      </c>
      <c r="K83" s="182">
        <v>17.8</v>
      </c>
      <c r="L83" s="5" t="s">
        <v>0</v>
      </c>
      <c r="M83" s="80">
        <f t="shared" si="20"/>
        <v>1.4240000000000002</v>
      </c>
      <c r="N83" s="78">
        <f t="shared" si="21"/>
        <v>106.80000000000001</v>
      </c>
      <c r="O83" s="111">
        <f t="shared" si="22"/>
        <v>241.51360000000003</v>
      </c>
      <c r="P83" s="125">
        <v>107997</v>
      </c>
      <c r="Q83" s="4"/>
      <c r="R83" s="49"/>
    </row>
    <row r="84" spans="1:18" x14ac:dyDescent="0.25">
      <c r="A84" s="31"/>
      <c r="B84" s="4" t="s">
        <v>63</v>
      </c>
      <c r="C84" s="5">
        <f>C81*20</f>
        <v>20</v>
      </c>
      <c r="D84" s="7">
        <v>0</v>
      </c>
      <c r="E84" s="3">
        <f t="shared" si="19"/>
        <v>20</v>
      </c>
      <c r="F84" s="3" t="s">
        <v>867</v>
      </c>
      <c r="G84" s="77">
        <v>2045.5</v>
      </c>
      <c r="H84" s="5" t="s">
        <v>26</v>
      </c>
      <c r="I84" s="78">
        <f t="shared" si="23"/>
        <v>40.910000000000004</v>
      </c>
      <c r="J84" s="110">
        <f t="shared" si="24"/>
        <v>75</v>
      </c>
      <c r="K84" s="182">
        <v>14</v>
      </c>
      <c r="L84" s="5" t="s">
        <v>26</v>
      </c>
      <c r="M84" s="80">
        <f t="shared" si="20"/>
        <v>0.28000000000000003</v>
      </c>
      <c r="N84" s="78">
        <f t="shared" si="21"/>
        <v>21.000000000000004</v>
      </c>
      <c r="O84" s="111">
        <f t="shared" si="22"/>
        <v>61.910000000000011</v>
      </c>
      <c r="P84" s="125">
        <v>109269</v>
      </c>
      <c r="Q84" s="4"/>
      <c r="R84" s="49"/>
    </row>
    <row r="85" spans="1:18" x14ac:dyDescent="0.25">
      <c r="A85" s="31"/>
      <c r="B85" s="4" t="s">
        <v>64</v>
      </c>
      <c r="C85" s="5">
        <f>C81*11</f>
        <v>11</v>
      </c>
      <c r="D85" s="7">
        <v>0</v>
      </c>
      <c r="E85" s="3">
        <f t="shared" si="19"/>
        <v>11</v>
      </c>
      <c r="F85" s="3" t="s">
        <v>867</v>
      </c>
      <c r="G85" s="77">
        <v>1590.7</v>
      </c>
      <c r="H85" s="5" t="s">
        <v>0</v>
      </c>
      <c r="I85" s="78">
        <f t="shared" si="23"/>
        <v>174.977</v>
      </c>
      <c r="J85" s="110">
        <f t="shared" si="24"/>
        <v>75</v>
      </c>
      <c r="K85" s="182">
        <v>40</v>
      </c>
      <c r="L85" s="5" t="s">
        <v>0</v>
      </c>
      <c r="M85" s="80">
        <f t="shared" si="20"/>
        <v>4.4000000000000004</v>
      </c>
      <c r="N85" s="78">
        <f t="shared" si="21"/>
        <v>330</v>
      </c>
      <c r="O85" s="111">
        <f t="shared" si="22"/>
        <v>504.97699999999998</v>
      </c>
      <c r="P85" s="125">
        <v>122634</v>
      </c>
      <c r="Q85" s="4"/>
      <c r="R85" s="49"/>
    </row>
    <row r="86" spans="1:18" x14ac:dyDescent="0.25">
      <c r="A86" s="31"/>
      <c r="B86" s="4" t="s">
        <v>65</v>
      </c>
      <c r="C86" s="5">
        <f>C81</f>
        <v>1</v>
      </c>
      <c r="D86" s="7">
        <v>0</v>
      </c>
      <c r="E86" s="3">
        <f t="shared" si="19"/>
        <v>1</v>
      </c>
      <c r="F86" s="3" t="s">
        <v>867</v>
      </c>
      <c r="G86" s="77">
        <v>73.72</v>
      </c>
      <c r="H86" s="5" t="s">
        <v>1</v>
      </c>
      <c r="I86" s="78">
        <f t="shared" si="23"/>
        <v>73.72</v>
      </c>
      <c r="J86" s="110">
        <f t="shared" si="24"/>
        <v>75</v>
      </c>
      <c r="K86" s="182">
        <v>0.35</v>
      </c>
      <c r="L86" s="5" t="s">
        <v>1</v>
      </c>
      <c r="M86" s="80">
        <f t="shared" si="20"/>
        <v>0.35</v>
      </c>
      <c r="N86" s="78">
        <f t="shared" si="21"/>
        <v>26.25</v>
      </c>
      <c r="O86" s="111">
        <f t="shared" si="22"/>
        <v>99.97</v>
      </c>
      <c r="P86" s="125">
        <v>157983</v>
      </c>
      <c r="Q86" s="4"/>
      <c r="R86" s="49"/>
    </row>
    <row r="87" spans="1:18" x14ac:dyDescent="0.25">
      <c r="A87" s="31"/>
      <c r="B87" s="4" t="s">
        <v>58</v>
      </c>
      <c r="C87" s="5">
        <f>C81*4</f>
        <v>4</v>
      </c>
      <c r="D87" s="7">
        <v>0</v>
      </c>
      <c r="E87" s="3">
        <f t="shared" si="19"/>
        <v>4</v>
      </c>
      <c r="F87" s="3" t="s">
        <v>867</v>
      </c>
      <c r="G87" s="77">
        <v>98.72</v>
      </c>
      <c r="H87" s="5" t="s">
        <v>0</v>
      </c>
      <c r="I87" s="78">
        <f t="shared" si="23"/>
        <v>3.9487999999999999</v>
      </c>
      <c r="J87" s="110">
        <f t="shared" si="24"/>
        <v>75</v>
      </c>
      <c r="K87" s="182">
        <v>12</v>
      </c>
      <c r="L87" s="5" t="s">
        <v>0</v>
      </c>
      <c r="M87" s="80">
        <f t="shared" si="20"/>
        <v>0.48</v>
      </c>
      <c r="N87" s="78">
        <f t="shared" si="21"/>
        <v>36</v>
      </c>
      <c r="O87" s="111">
        <f t="shared" si="22"/>
        <v>39.948799999999999</v>
      </c>
      <c r="P87" s="125">
        <v>139629</v>
      </c>
      <c r="Q87" s="4"/>
      <c r="R87" s="49"/>
    </row>
    <row r="88" spans="1:18" ht="15.75" thickBot="1" x14ac:dyDescent="0.3">
      <c r="A88" s="31"/>
      <c r="B88" s="4"/>
      <c r="C88" s="5"/>
      <c r="D88" s="7"/>
      <c r="E88" s="3"/>
      <c r="F88" s="3"/>
      <c r="G88" s="77" t="s">
        <v>1202</v>
      </c>
      <c r="H88" s="5"/>
      <c r="I88" s="78"/>
      <c r="J88" s="4"/>
      <c r="K88" s="182"/>
      <c r="L88" s="5"/>
      <c r="M88" s="80"/>
      <c r="N88" s="78"/>
      <c r="O88" s="111"/>
      <c r="P88" s="125"/>
      <c r="Q88" s="4"/>
      <c r="R88" s="49"/>
    </row>
    <row r="89" spans="1:18" ht="15.75" thickBot="1" x14ac:dyDescent="0.3">
      <c r="A89" s="31"/>
      <c r="B89" s="120" t="s">
        <v>67</v>
      </c>
      <c r="C89" s="5"/>
      <c r="D89" s="7"/>
      <c r="E89" s="3"/>
      <c r="F89" s="3"/>
      <c r="G89" s="77" t="s">
        <v>1202</v>
      </c>
      <c r="H89" s="5"/>
      <c r="I89" s="78"/>
      <c r="J89" s="4"/>
      <c r="K89" s="182"/>
      <c r="L89" s="5"/>
      <c r="M89" s="80"/>
      <c r="N89" s="78"/>
      <c r="O89" s="111"/>
      <c r="P89" s="125"/>
      <c r="Q89" s="4"/>
      <c r="R89" s="49"/>
    </row>
    <row r="90" spans="1:18" x14ac:dyDescent="0.25">
      <c r="A90" s="31">
        <v>1</v>
      </c>
      <c r="B90" s="4" t="s">
        <v>68</v>
      </c>
      <c r="C90" s="5">
        <v>1</v>
      </c>
      <c r="D90" s="7">
        <v>0</v>
      </c>
      <c r="E90" s="3">
        <f>C90+(C90*D90)</f>
        <v>1</v>
      </c>
      <c r="F90" s="3" t="s">
        <v>867</v>
      </c>
      <c r="G90" s="77">
        <v>19560</v>
      </c>
      <c r="H90" s="5" t="s">
        <v>1</v>
      </c>
      <c r="I90" s="78">
        <f t="shared" ref="I90:I97" si="25">IF(H90="C",(G90/100)*E90,IF(H90="M",(G90/1000)*E90,G90*E90))</f>
        <v>19560</v>
      </c>
      <c r="J90" s="110">
        <f t="shared" ref="J90:J97" si="26">$O$4</f>
        <v>75</v>
      </c>
      <c r="K90" s="182">
        <v>33.6</v>
      </c>
      <c r="L90" s="5" t="s">
        <v>1</v>
      </c>
      <c r="M90" s="80">
        <f>IF(L90="C",(K90/100)*E90,IF(L90="M",(K90/1000)*E90,K90*E90))</f>
        <v>33.6</v>
      </c>
      <c r="N90" s="78">
        <f>M90*J90</f>
        <v>2520</v>
      </c>
      <c r="O90" s="111">
        <f>N90+I90</f>
        <v>22080</v>
      </c>
      <c r="P90" s="125">
        <v>152784</v>
      </c>
      <c r="Q90" s="4"/>
      <c r="R90" s="49"/>
    </row>
    <row r="91" spans="1:18" x14ac:dyDescent="0.25">
      <c r="A91" s="31"/>
      <c r="B91" s="4" t="s">
        <v>1182</v>
      </c>
      <c r="C91" s="5">
        <f>C90*8</f>
        <v>8</v>
      </c>
      <c r="D91" s="7">
        <v>0</v>
      </c>
      <c r="E91" s="3">
        <f t="shared" si="19"/>
        <v>8</v>
      </c>
      <c r="F91" s="3" t="s">
        <v>868</v>
      </c>
      <c r="G91" s="77">
        <v>1683.92</v>
      </c>
      <c r="H91" s="5" t="s">
        <v>0</v>
      </c>
      <c r="I91" s="78">
        <f t="shared" si="25"/>
        <v>134.71360000000001</v>
      </c>
      <c r="J91" s="110">
        <f t="shared" si="26"/>
        <v>75</v>
      </c>
      <c r="K91" s="182">
        <v>17.8</v>
      </c>
      <c r="L91" s="5" t="s">
        <v>0</v>
      </c>
      <c r="M91" s="80">
        <f t="shared" si="20"/>
        <v>1.4240000000000002</v>
      </c>
      <c r="N91" s="78">
        <f t="shared" si="21"/>
        <v>106.80000000000001</v>
      </c>
      <c r="O91" s="111">
        <f t="shared" si="22"/>
        <v>241.51360000000003</v>
      </c>
      <c r="P91" s="125">
        <v>107997</v>
      </c>
      <c r="Q91" s="4"/>
      <c r="R91" s="49"/>
    </row>
    <row r="92" spans="1:18" x14ac:dyDescent="0.25">
      <c r="A92" s="31"/>
      <c r="B92" s="4" t="s">
        <v>1184</v>
      </c>
      <c r="C92" s="5">
        <f>C90*16</f>
        <v>16</v>
      </c>
      <c r="D92" s="7">
        <v>0</v>
      </c>
      <c r="E92" s="3">
        <f t="shared" si="19"/>
        <v>16</v>
      </c>
      <c r="F92" s="3" t="s">
        <v>868</v>
      </c>
      <c r="G92" s="77">
        <v>2170.2600000000002</v>
      </c>
      <c r="H92" s="5" t="s">
        <v>0</v>
      </c>
      <c r="I92" s="78">
        <f t="shared" si="25"/>
        <v>347.24160000000006</v>
      </c>
      <c r="J92" s="110">
        <f t="shared" si="26"/>
        <v>75</v>
      </c>
      <c r="K92" s="182">
        <v>24.6</v>
      </c>
      <c r="L92" s="5" t="s">
        <v>0</v>
      </c>
      <c r="M92" s="80">
        <f t="shared" si="20"/>
        <v>3.9360000000000004</v>
      </c>
      <c r="N92" s="78">
        <f t="shared" si="21"/>
        <v>295.20000000000005</v>
      </c>
      <c r="O92" s="111">
        <f t="shared" si="22"/>
        <v>642.44160000000011</v>
      </c>
      <c r="P92" s="125">
        <v>108003</v>
      </c>
      <c r="Q92" s="4"/>
      <c r="R92" s="49"/>
    </row>
    <row r="93" spans="1:18" x14ac:dyDescent="0.25">
      <c r="A93" s="31"/>
      <c r="B93" s="4" t="s">
        <v>63</v>
      </c>
      <c r="C93" s="5">
        <f>C90*20</f>
        <v>20</v>
      </c>
      <c r="D93" s="7">
        <v>0</v>
      </c>
      <c r="E93" s="3">
        <f t="shared" si="19"/>
        <v>20</v>
      </c>
      <c r="F93" s="3" t="s">
        <v>867</v>
      </c>
      <c r="G93" s="77">
        <v>2045.5</v>
      </c>
      <c r="H93" s="5" t="s">
        <v>26</v>
      </c>
      <c r="I93" s="78">
        <f t="shared" si="25"/>
        <v>40.910000000000004</v>
      </c>
      <c r="J93" s="110">
        <f t="shared" si="26"/>
        <v>75</v>
      </c>
      <c r="K93" s="182">
        <v>14</v>
      </c>
      <c r="L93" s="5" t="s">
        <v>26</v>
      </c>
      <c r="M93" s="80">
        <f t="shared" si="20"/>
        <v>0.28000000000000003</v>
      </c>
      <c r="N93" s="78">
        <f t="shared" si="21"/>
        <v>21.000000000000004</v>
      </c>
      <c r="O93" s="111">
        <f t="shared" si="22"/>
        <v>61.910000000000011</v>
      </c>
      <c r="P93" s="125">
        <v>109269</v>
      </c>
      <c r="Q93" s="4"/>
      <c r="R93" s="49"/>
    </row>
    <row r="94" spans="1:18" x14ac:dyDescent="0.25">
      <c r="A94" s="31"/>
      <c r="B94" s="4" t="s">
        <v>64</v>
      </c>
      <c r="C94" s="5">
        <f>C90*6</f>
        <v>6</v>
      </c>
      <c r="D94" s="7">
        <v>0</v>
      </c>
      <c r="E94" s="3">
        <f t="shared" si="19"/>
        <v>6</v>
      </c>
      <c r="F94" s="3" t="s">
        <v>867</v>
      </c>
      <c r="G94" s="77">
        <v>1590.7</v>
      </c>
      <c r="H94" s="5" t="s">
        <v>0</v>
      </c>
      <c r="I94" s="78">
        <f t="shared" si="25"/>
        <v>95.442000000000007</v>
      </c>
      <c r="J94" s="110">
        <f t="shared" si="26"/>
        <v>75</v>
      </c>
      <c r="K94" s="182">
        <v>40</v>
      </c>
      <c r="L94" s="5" t="s">
        <v>0</v>
      </c>
      <c r="M94" s="80">
        <f t="shared" si="20"/>
        <v>2.4000000000000004</v>
      </c>
      <c r="N94" s="78">
        <f t="shared" si="21"/>
        <v>180.00000000000003</v>
      </c>
      <c r="O94" s="111">
        <f t="shared" si="22"/>
        <v>275.44200000000001</v>
      </c>
      <c r="P94" s="125">
        <v>122634</v>
      </c>
      <c r="Q94" s="4"/>
      <c r="R94" s="49"/>
    </row>
    <row r="95" spans="1:18" x14ac:dyDescent="0.25">
      <c r="A95" s="31"/>
      <c r="B95" s="4" t="s">
        <v>57</v>
      </c>
      <c r="C95" s="5">
        <f>C90*16</f>
        <v>16</v>
      </c>
      <c r="D95" s="7">
        <v>0</v>
      </c>
      <c r="E95" s="3">
        <f t="shared" si="19"/>
        <v>16</v>
      </c>
      <c r="F95" s="3" t="s">
        <v>867</v>
      </c>
      <c r="G95" s="77">
        <v>2151.36</v>
      </c>
      <c r="H95" s="5" t="s">
        <v>0</v>
      </c>
      <c r="I95" s="78">
        <f t="shared" si="25"/>
        <v>344.2176</v>
      </c>
      <c r="J95" s="110">
        <f t="shared" si="26"/>
        <v>75</v>
      </c>
      <c r="K95" s="182">
        <v>48</v>
      </c>
      <c r="L95" s="5" t="s">
        <v>0</v>
      </c>
      <c r="M95" s="80">
        <f t="shared" si="20"/>
        <v>7.68</v>
      </c>
      <c r="N95" s="78">
        <f t="shared" si="21"/>
        <v>576</v>
      </c>
      <c r="O95" s="111">
        <f t="shared" si="22"/>
        <v>920.21759999999995</v>
      </c>
      <c r="P95" s="125">
        <v>122640</v>
      </c>
      <c r="Q95" s="4"/>
      <c r="R95" s="49"/>
    </row>
    <row r="96" spans="1:18" x14ac:dyDescent="0.25">
      <c r="A96" s="31"/>
      <c r="B96" s="4" t="s">
        <v>65</v>
      </c>
      <c r="C96" s="5">
        <f>C90</f>
        <v>1</v>
      </c>
      <c r="D96" s="7">
        <v>0</v>
      </c>
      <c r="E96" s="3">
        <f t="shared" si="19"/>
        <v>1</v>
      </c>
      <c r="F96" s="3" t="s">
        <v>867</v>
      </c>
      <c r="G96" s="77">
        <v>73.72</v>
      </c>
      <c r="H96" s="5" t="s">
        <v>1</v>
      </c>
      <c r="I96" s="78">
        <f t="shared" si="25"/>
        <v>73.72</v>
      </c>
      <c r="J96" s="110">
        <f t="shared" si="26"/>
        <v>75</v>
      </c>
      <c r="K96" s="182">
        <v>0.35</v>
      </c>
      <c r="L96" s="5" t="s">
        <v>1</v>
      </c>
      <c r="M96" s="80">
        <f t="shared" si="20"/>
        <v>0.35</v>
      </c>
      <c r="N96" s="78">
        <f t="shared" si="21"/>
        <v>26.25</v>
      </c>
      <c r="O96" s="111">
        <f t="shared" si="22"/>
        <v>99.97</v>
      </c>
      <c r="P96" s="125">
        <v>157983</v>
      </c>
      <c r="Q96" s="4"/>
      <c r="R96" s="49"/>
    </row>
    <row r="97" spans="1:18" x14ac:dyDescent="0.25">
      <c r="A97" s="31"/>
      <c r="B97" s="4" t="s">
        <v>58</v>
      </c>
      <c r="C97" s="5">
        <f>C90*4</f>
        <v>4</v>
      </c>
      <c r="D97" s="7">
        <v>0</v>
      </c>
      <c r="E97" s="3">
        <f t="shared" si="19"/>
        <v>4</v>
      </c>
      <c r="F97" s="3" t="s">
        <v>867</v>
      </c>
      <c r="G97" s="77">
        <v>98.72</v>
      </c>
      <c r="H97" s="5" t="s">
        <v>0</v>
      </c>
      <c r="I97" s="78">
        <f t="shared" si="25"/>
        <v>3.9487999999999999</v>
      </c>
      <c r="J97" s="110">
        <f t="shared" si="26"/>
        <v>75</v>
      </c>
      <c r="K97" s="182">
        <v>12</v>
      </c>
      <c r="L97" s="5" t="s">
        <v>0</v>
      </c>
      <c r="M97" s="80">
        <f t="shared" si="20"/>
        <v>0.48</v>
      </c>
      <c r="N97" s="78">
        <f t="shared" si="21"/>
        <v>36</v>
      </c>
      <c r="O97" s="111">
        <f t="shared" si="22"/>
        <v>39.948799999999999</v>
      </c>
      <c r="P97" s="125">
        <v>139629</v>
      </c>
      <c r="Q97" s="4"/>
      <c r="R97" s="49"/>
    </row>
    <row r="98" spans="1:18" ht="15.75" thickBot="1" x14ac:dyDescent="0.3">
      <c r="A98" s="31"/>
      <c r="B98" s="4"/>
      <c r="C98" s="5"/>
      <c r="D98" s="7"/>
      <c r="E98" s="3"/>
      <c r="F98" s="3"/>
      <c r="G98" s="77" t="s">
        <v>1202</v>
      </c>
      <c r="H98" s="5"/>
      <c r="I98" s="78"/>
      <c r="J98" s="4"/>
      <c r="K98" s="182"/>
      <c r="L98" s="5"/>
      <c r="M98" s="80"/>
      <c r="N98" s="78"/>
      <c r="O98" s="111"/>
      <c r="P98" s="125"/>
      <c r="Q98" s="4"/>
      <c r="R98" s="49"/>
    </row>
    <row r="99" spans="1:18" ht="15.75" thickBot="1" x14ac:dyDescent="0.3">
      <c r="A99" s="31"/>
      <c r="B99" s="120" t="s">
        <v>69</v>
      </c>
      <c r="C99" s="5"/>
      <c r="D99" s="7"/>
      <c r="E99" s="3"/>
      <c r="F99" s="3"/>
      <c r="G99" s="77" t="s">
        <v>1202</v>
      </c>
      <c r="H99" s="5"/>
      <c r="I99" s="78"/>
      <c r="J99" s="4"/>
      <c r="K99" s="182"/>
      <c r="L99" s="5"/>
      <c r="M99" s="80"/>
      <c r="N99" s="78"/>
      <c r="O99" s="111"/>
      <c r="P99" s="125"/>
      <c r="Q99" s="4"/>
      <c r="R99" s="49"/>
    </row>
    <row r="100" spans="1:18" x14ac:dyDescent="0.25">
      <c r="A100" s="31">
        <v>1</v>
      </c>
      <c r="B100" s="4" t="s">
        <v>31</v>
      </c>
      <c r="C100" s="5">
        <v>1</v>
      </c>
      <c r="D100" s="7">
        <v>0</v>
      </c>
      <c r="E100" s="3">
        <f>C100+(C100*D100)</f>
        <v>1</v>
      </c>
      <c r="F100" s="3" t="s">
        <v>867</v>
      </c>
      <c r="G100" s="77">
        <v>1400</v>
      </c>
      <c r="H100" s="5" t="s">
        <v>1</v>
      </c>
      <c r="I100" s="78">
        <f t="shared" ref="I100:I105" si="27">IF(H100="C",(G100/100)*E100,IF(H100="M",(G100/1000)*E100,G100*E100))</f>
        <v>1400</v>
      </c>
      <c r="J100" s="110">
        <f t="shared" ref="J100:J105" si="28">$O$4</f>
        <v>75</v>
      </c>
      <c r="K100" s="182">
        <v>7.6</v>
      </c>
      <c r="L100" s="5" t="s">
        <v>1</v>
      </c>
      <c r="M100" s="80">
        <f>IF(L100="C",(K100/100)*E100,IF(L100="M",(K100/1000)*E100,K100*E100))</f>
        <v>7.6</v>
      </c>
      <c r="N100" s="78">
        <f>M100*J100</f>
        <v>570</v>
      </c>
      <c r="O100" s="111">
        <f>N100+I100</f>
        <v>1970</v>
      </c>
      <c r="P100" s="125">
        <v>152760</v>
      </c>
      <c r="Q100" s="4"/>
      <c r="R100" s="49"/>
    </row>
    <row r="101" spans="1:18" x14ac:dyDescent="0.25">
      <c r="A101" s="31"/>
      <c r="B101" s="4" t="s">
        <v>1175</v>
      </c>
      <c r="C101" s="5">
        <f>C100*8</f>
        <v>8</v>
      </c>
      <c r="D101" s="7">
        <v>0</v>
      </c>
      <c r="E101" s="3">
        <f t="shared" si="19"/>
        <v>8</v>
      </c>
      <c r="F101" s="3" t="s">
        <v>868</v>
      </c>
      <c r="G101" s="77">
        <v>177.77</v>
      </c>
      <c r="H101" s="5" t="s">
        <v>0</v>
      </c>
      <c r="I101" s="78">
        <f t="shared" si="27"/>
        <v>14.2216</v>
      </c>
      <c r="J101" s="110">
        <f t="shared" si="28"/>
        <v>75</v>
      </c>
      <c r="K101" s="182">
        <v>3.9</v>
      </c>
      <c r="L101" s="5" t="s">
        <v>0</v>
      </c>
      <c r="M101" s="80">
        <f t="shared" si="20"/>
        <v>0.312</v>
      </c>
      <c r="N101" s="78">
        <f t="shared" si="21"/>
        <v>23.4</v>
      </c>
      <c r="O101" s="111">
        <f t="shared" si="22"/>
        <v>37.621600000000001</v>
      </c>
      <c r="P101" s="125">
        <v>107763</v>
      </c>
      <c r="Q101" s="4"/>
      <c r="R101" s="49"/>
    </row>
    <row r="102" spans="1:18" x14ac:dyDescent="0.25">
      <c r="A102" s="31"/>
      <c r="B102" s="4" t="s">
        <v>1176</v>
      </c>
      <c r="C102" s="5">
        <f>C100*2</f>
        <v>2</v>
      </c>
      <c r="D102" s="7">
        <v>0</v>
      </c>
      <c r="E102" s="3">
        <f t="shared" si="19"/>
        <v>2</v>
      </c>
      <c r="F102" s="3" t="s">
        <v>867</v>
      </c>
      <c r="G102" s="77">
        <v>568.62</v>
      </c>
      <c r="H102" s="5" t="s">
        <v>0</v>
      </c>
      <c r="I102" s="78">
        <f t="shared" si="27"/>
        <v>11.372400000000001</v>
      </c>
      <c r="J102" s="110">
        <f t="shared" si="28"/>
        <v>75</v>
      </c>
      <c r="K102" s="182">
        <v>15</v>
      </c>
      <c r="L102" s="5" t="s">
        <v>0</v>
      </c>
      <c r="M102" s="80">
        <f t="shared" si="20"/>
        <v>0.3</v>
      </c>
      <c r="N102" s="78">
        <f t="shared" si="21"/>
        <v>22.5</v>
      </c>
      <c r="O102" s="111">
        <f t="shared" si="22"/>
        <v>33.872399999999999</v>
      </c>
      <c r="P102" s="125">
        <v>107796</v>
      </c>
      <c r="Q102" s="4"/>
      <c r="R102" s="49"/>
    </row>
    <row r="103" spans="1:18" x14ac:dyDescent="0.25">
      <c r="A103" s="31"/>
      <c r="B103" s="4" t="s">
        <v>1177</v>
      </c>
      <c r="C103" s="5">
        <f>C100*2</f>
        <v>2</v>
      </c>
      <c r="D103" s="7">
        <v>0</v>
      </c>
      <c r="E103" s="3">
        <f t="shared" si="19"/>
        <v>2</v>
      </c>
      <c r="F103" s="3" t="s">
        <v>867</v>
      </c>
      <c r="G103" s="77">
        <v>976.97</v>
      </c>
      <c r="H103" s="5" t="s">
        <v>0</v>
      </c>
      <c r="I103" s="78">
        <f t="shared" si="27"/>
        <v>19.539400000000001</v>
      </c>
      <c r="J103" s="110">
        <f t="shared" si="28"/>
        <v>75</v>
      </c>
      <c r="K103" s="182">
        <v>15</v>
      </c>
      <c r="L103" s="5" t="s">
        <v>0</v>
      </c>
      <c r="M103" s="80">
        <f t="shared" si="20"/>
        <v>0.3</v>
      </c>
      <c r="N103" s="78">
        <f t="shared" si="21"/>
        <v>22.5</v>
      </c>
      <c r="O103" s="111">
        <f t="shared" si="22"/>
        <v>42.039400000000001</v>
      </c>
      <c r="P103" s="125">
        <v>107826</v>
      </c>
      <c r="Q103" s="4"/>
      <c r="R103" s="49"/>
    </row>
    <row r="104" spans="1:18" x14ac:dyDescent="0.25">
      <c r="A104" s="31"/>
      <c r="B104" s="4" t="s">
        <v>27</v>
      </c>
      <c r="C104" s="5">
        <f>C100*7</f>
        <v>7</v>
      </c>
      <c r="D104" s="7">
        <v>0</v>
      </c>
      <c r="E104" s="3">
        <f t="shared" si="19"/>
        <v>7</v>
      </c>
      <c r="F104" s="3" t="s">
        <v>867</v>
      </c>
      <c r="G104" s="77">
        <v>25.93</v>
      </c>
      <c r="H104" s="5" t="s">
        <v>0</v>
      </c>
      <c r="I104" s="78">
        <f t="shared" si="27"/>
        <v>1.8150999999999997</v>
      </c>
      <c r="J104" s="110">
        <f t="shared" si="28"/>
        <v>75</v>
      </c>
      <c r="K104" s="182">
        <v>6</v>
      </c>
      <c r="L104" s="5" t="s">
        <v>0</v>
      </c>
      <c r="M104" s="80">
        <f t="shared" si="20"/>
        <v>0.42</v>
      </c>
      <c r="N104" s="78">
        <f t="shared" si="21"/>
        <v>31.5</v>
      </c>
      <c r="O104" s="111">
        <f t="shared" si="22"/>
        <v>33.315100000000001</v>
      </c>
      <c r="P104" s="125">
        <v>123309</v>
      </c>
      <c r="Q104" s="4"/>
      <c r="R104" s="49"/>
    </row>
    <row r="105" spans="1:18" x14ac:dyDescent="0.25">
      <c r="A105" s="31"/>
      <c r="B105" s="4" t="s">
        <v>28</v>
      </c>
      <c r="C105" s="5">
        <f>C100*4</f>
        <v>4</v>
      </c>
      <c r="D105" s="7">
        <v>0</v>
      </c>
      <c r="E105" s="3">
        <f t="shared" si="19"/>
        <v>4</v>
      </c>
      <c r="F105" s="3" t="s">
        <v>867</v>
      </c>
      <c r="G105" s="77">
        <v>38.9</v>
      </c>
      <c r="H105" s="5" t="s">
        <v>0</v>
      </c>
      <c r="I105" s="78">
        <f t="shared" si="27"/>
        <v>1.556</v>
      </c>
      <c r="J105" s="110">
        <f t="shared" si="28"/>
        <v>75</v>
      </c>
      <c r="K105" s="182">
        <v>8</v>
      </c>
      <c r="L105" s="5" t="s">
        <v>0</v>
      </c>
      <c r="M105" s="80">
        <f t="shared" si="20"/>
        <v>0.32</v>
      </c>
      <c r="N105" s="78">
        <f t="shared" si="21"/>
        <v>24</v>
      </c>
      <c r="O105" s="111">
        <f t="shared" si="22"/>
        <v>25.556000000000001</v>
      </c>
      <c r="P105" s="125">
        <v>139626</v>
      </c>
      <c r="Q105" s="4"/>
      <c r="R105" s="49"/>
    </row>
    <row r="106" spans="1:18" ht="15.75" thickBot="1" x14ac:dyDescent="0.3">
      <c r="A106" s="31"/>
      <c r="B106" s="4"/>
      <c r="C106" s="5"/>
      <c r="D106" s="7"/>
      <c r="E106" s="3"/>
      <c r="F106" s="3"/>
      <c r="G106" s="77" t="s">
        <v>1202</v>
      </c>
      <c r="H106" s="5"/>
      <c r="I106" s="78"/>
      <c r="J106" s="4"/>
      <c r="K106" s="182"/>
      <c r="L106" s="5"/>
      <c r="M106" s="80"/>
      <c r="N106" s="78"/>
      <c r="O106" s="111"/>
      <c r="P106" s="125"/>
      <c r="Q106" s="4"/>
      <c r="R106" s="49"/>
    </row>
    <row r="107" spans="1:18" ht="15.75" thickBot="1" x14ac:dyDescent="0.3">
      <c r="A107" s="31"/>
      <c r="B107" s="120" t="s">
        <v>70</v>
      </c>
      <c r="C107" s="5"/>
      <c r="D107" s="7"/>
      <c r="E107" s="3"/>
      <c r="F107" s="3"/>
      <c r="G107" s="77" t="s">
        <v>1202</v>
      </c>
      <c r="H107" s="5"/>
      <c r="I107" s="78"/>
      <c r="J107" s="4"/>
      <c r="K107" s="182"/>
      <c r="L107" s="5"/>
      <c r="M107" s="80"/>
      <c r="N107" s="78"/>
      <c r="O107" s="111"/>
      <c r="P107" s="125"/>
      <c r="Q107" s="4"/>
      <c r="R107" s="49"/>
    </row>
    <row r="108" spans="1:18" x14ac:dyDescent="0.25">
      <c r="A108" s="31">
        <v>1</v>
      </c>
      <c r="B108" s="4" t="s">
        <v>34</v>
      </c>
      <c r="C108" s="5">
        <v>1</v>
      </c>
      <c r="D108" s="7">
        <v>0</v>
      </c>
      <c r="E108" s="3">
        <f>C108+(C108*D108)</f>
        <v>1</v>
      </c>
      <c r="F108" s="3" t="s">
        <v>867</v>
      </c>
      <c r="G108" s="77">
        <v>2900</v>
      </c>
      <c r="H108" s="5" t="s">
        <v>1</v>
      </c>
      <c r="I108" s="78">
        <f t="shared" ref="I108:I114" si="29">IF(H108="C",(G108/100)*E108,IF(H108="M",(G108/1000)*E108,G108*E108))</f>
        <v>2900</v>
      </c>
      <c r="J108" s="110">
        <f t="shared" ref="J108:J114" si="30">$O$4</f>
        <v>75</v>
      </c>
      <c r="K108" s="182">
        <v>10</v>
      </c>
      <c r="L108" s="5" t="s">
        <v>1</v>
      </c>
      <c r="M108" s="80">
        <f>IF(L108="C",(K108/100)*E108,IF(L108="M",(K108/1000)*E108,K108*E108))</f>
        <v>10</v>
      </c>
      <c r="N108" s="78">
        <f>M108*J108</f>
        <v>750</v>
      </c>
      <c r="O108" s="111">
        <f>N108+I108</f>
        <v>3650</v>
      </c>
      <c r="P108" s="125">
        <v>152763</v>
      </c>
      <c r="Q108" s="4"/>
      <c r="R108" s="49"/>
    </row>
    <row r="109" spans="1:18" x14ac:dyDescent="0.25">
      <c r="A109" s="31"/>
      <c r="B109" s="4" t="s">
        <v>1172</v>
      </c>
      <c r="C109" s="5">
        <f>C108*8</f>
        <v>8</v>
      </c>
      <c r="D109" s="7">
        <v>0</v>
      </c>
      <c r="E109" s="3">
        <f t="shared" si="19"/>
        <v>8</v>
      </c>
      <c r="F109" s="3" t="s">
        <v>868</v>
      </c>
      <c r="G109" s="77">
        <v>240.46</v>
      </c>
      <c r="H109" s="5" t="s">
        <v>0</v>
      </c>
      <c r="I109" s="78">
        <f t="shared" si="29"/>
        <v>19.236800000000002</v>
      </c>
      <c r="J109" s="110">
        <f t="shared" si="30"/>
        <v>75</v>
      </c>
      <c r="K109" s="182">
        <v>4.95</v>
      </c>
      <c r="L109" s="5" t="s">
        <v>0</v>
      </c>
      <c r="M109" s="80">
        <f t="shared" si="20"/>
        <v>0.39600000000000002</v>
      </c>
      <c r="N109" s="78">
        <f t="shared" si="21"/>
        <v>29.700000000000003</v>
      </c>
      <c r="O109" s="111">
        <f t="shared" si="22"/>
        <v>48.936800000000005</v>
      </c>
      <c r="P109" s="125">
        <v>107766</v>
      </c>
      <c r="Q109" s="4"/>
      <c r="R109" s="49"/>
    </row>
    <row r="110" spans="1:18" x14ac:dyDescent="0.25">
      <c r="A110" s="31"/>
      <c r="B110" s="4" t="s">
        <v>1173</v>
      </c>
      <c r="C110" s="5">
        <f>C108*2</f>
        <v>2</v>
      </c>
      <c r="D110" s="7">
        <v>0</v>
      </c>
      <c r="E110" s="3">
        <f t="shared" si="19"/>
        <v>2</v>
      </c>
      <c r="F110" s="3" t="s">
        <v>867</v>
      </c>
      <c r="G110" s="77">
        <v>812.09</v>
      </c>
      <c r="H110" s="5" t="s">
        <v>0</v>
      </c>
      <c r="I110" s="78">
        <f t="shared" si="29"/>
        <v>16.241800000000001</v>
      </c>
      <c r="J110" s="110">
        <f t="shared" si="30"/>
        <v>75</v>
      </c>
      <c r="K110" s="182">
        <v>17</v>
      </c>
      <c r="L110" s="5" t="s">
        <v>0</v>
      </c>
      <c r="M110" s="80">
        <f t="shared" si="20"/>
        <v>0.34</v>
      </c>
      <c r="N110" s="78">
        <f t="shared" si="21"/>
        <v>25.500000000000004</v>
      </c>
      <c r="O110" s="111">
        <f t="shared" si="22"/>
        <v>41.741800000000005</v>
      </c>
      <c r="P110" s="125">
        <v>107799</v>
      </c>
      <c r="Q110" s="4"/>
      <c r="R110" s="49"/>
    </row>
    <row r="111" spans="1:18" x14ac:dyDescent="0.25">
      <c r="A111" s="31"/>
      <c r="B111" s="4" t="s">
        <v>1174</v>
      </c>
      <c r="C111" s="5">
        <f>C108*2</f>
        <v>2</v>
      </c>
      <c r="D111" s="7">
        <v>0</v>
      </c>
      <c r="E111" s="3">
        <f t="shared" si="19"/>
        <v>2</v>
      </c>
      <c r="F111" s="3" t="s">
        <v>867</v>
      </c>
      <c r="G111" s="77">
        <v>1535.95</v>
      </c>
      <c r="H111" s="5" t="s">
        <v>0</v>
      </c>
      <c r="I111" s="78">
        <f t="shared" si="29"/>
        <v>30.719000000000001</v>
      </c>
      <c r="J111" s="110">
        <f t="shared" si="30"/>
        <v>75</v>
      </c>
      <c r="K111" s="182">
        <v>17</v>
      </c>
      <c r="L111" s="5" t="s">
        <v>0</v>
      </c>
      <c r="M111" s="80">
        <f t="shared" si="20"/>
        <v>0.34</v>
      </c>
      <c r="N111" s="78">
        <f t="shared" si="21"/>
        <v>25.500000000000004</v>
      </c>
      <c r="O111" s="111">
        <f t="shared" si="22"/>
        <v>56.219000000000008</v>
      </c>
      <c r="P111" s="125">
        <v>107829</v>
      </c>
      <c r="Q111" s="4"/>
      <c r="R111" s="49"/>
    </row>
    <row r="112" spans="1:18" x14ac:dyDescent="0.25">
      <c r="A112" s="31"/>
      <c r="B112" s="4" t="s">
        <v>29</v>
      </c>
      <c r="C112" s="5">
        <f>C108*3</f>
        <v>3</v>
      </c>
      <c r="D112" s="7">
        <v>0</v>
      </c>
      <c r="E112" s="3">
        <f t="shared" si="19"/>
        <v>3</v>
      </c>
      <c r="F112" s="3" t="s">
        <v>867</v>
      </c>
      <c r="G112" s="77">
        <v>0</v>
      </c>
      <c r="H112" s="5" t="s">
        <v>0</v>
      </c>
      <c r="I112" s="78">
        <f t="shared" si="29"/>
        <v>0</v>
      </c>
      <c r="J112" s="110">
        <f t="shared" si="30"/>
        <v>75</v>
      </c>
      <c r="K112" s="182">
        <v>7</v>
      </c>
      <c r="L112" s="5" t="s">
        <v>0</v>
      </c>
      <c r="M112" s="80">
        <f t="shared" si="20"/>
        <v>0.21000000000000002</v>
      </c>
      <c r="N112" s="78">
        <f t="shared" si="21"/>
        <v>15.750000000000002</v>
      </c>
      <c r="O112" s="111">
        <f t="shared" si="22"/>
        <v>15.750000000000002</v>
      </c>
      <c r="P112" s="125">
        <v>123318</v>
      </c>
      <c r="Q112" s="4"/>
      <c r="R112" s="49"/>
    </row>
    <row r="113" spans="1:18" x14ac:dyDescent="0.25">
      <c r="A113" s="31"/>
      <c r="B113" s="4" t="s">
        <v>33</v>
      </c>
      <c r="C113" s="5">
        <f>C108*4</f>
        <v>4</v>
      </c>
      <c r="D113" s="7">
        <v>0</v>
      </c>
      <c r="E113" s="3">
        <f t="shared" si="19"/>
        <v>4</v>
      </c>
      <c r="F113" s="3" t="s">
        <v>867</v>
      </c>
      <c r="G113" s="77">
        <v>0</v>
      </c>
      <c r="H113" s="5" t="s">
        <v>0</v>
      </c>
      <c r="I113" s="78">
        <f t="shared" si="29"/>
        <v>0</v>
      </c>
      <c r="J113" s="110">
        <f t="shared" si="30"/>
        <v>75</v>
      </c>
      <c r="K113" s="182">
        <v>8</v>
      </c>
      <c r="L113" s="5" t="s">
        <v>0</v>
      </c>
      <c r="M113" s="80">
        <f t="shared" si="20"/>
        <v>0.32</v>
      </c>
      <c r="N113" s="78">
        <f t="shared" si="21"/>
        <v>24</v>
      </c>
      <c r="O113" s="111">
        <f t="shared" si="22"/>
        <v>24</v>
      </c>
      <c r="P113" s="125">
        <v>123321</v>
      </c>
      <c r="Q113" s="4"/>
      <c r="R113" s="49"/>
    </row>
    <row r="114" spans="1:18" x14ac:dyDescent="0.25">
      <c r="A114" s="31"/>
      <c r="B114" s="4" t="s">
        <v>28</v>
      </c>
      <c r="C114" s="5">
        <f>C108*4</f>
        <v>4</v>
      </c>
      <c r="D114" s="7">
        <v>0</v>
      </c>
      <c r="E114" s="3">
        <f t="shared" si="19"/>
        <v>4</v>
      </c>
      <c r="F114" s="3" t="s">
        <v>867</v>
      </c>
      <c r="G114" s="77">
        <v>38.9</v>
      </c>
      <c r="H114" s="5" t="s">
        <v>0</v>
      </c>
      <c r="I114" s="78">
        <f t="shared" si="29"/>
        <v>1.556</v>
      </c>
      <c r="J114" s="110">
        <f t="shared" si="30"/>
        <v>75</v>
      </c>
      <c r="K114" s="182">
        <v>8</v>
      </c>
      <c r="L114" s="5" t="s">
        <v>0</v>
      </c>
      <c r="M114" s="80">
        <f t="shared" si="20"/>
        <v>0.32</v>
      </c>
      <c r="N114" s="78">
        <f t="shared" si="21"/>
        <v>24</v>
      </c>
      <c r="O114" s="111">
        <f t="shared" si="22"/>
        <v>25.556000000000001</v>
      </c>
      <c r="P114" s="125">
        <v>139626</v>
      </c>
      <c r="Q114" s="4"/>
      <c r="R114" s="49"/>
    </row>
    <row r="115" spans="1:18" ht="15.75" thickBot="1" x14ac:dyDescent="0.3">
      <c r="A115" s="31"/>
      <c r="B115" s="4"/>
      <c r="C115" s="5"/>
      <c r="D115" s="7"/>
      <c r="E115" s="3"/>
      <c r="F115" s="3"/>
      <c r="G115" s="77" t="s">
        <v>1202</v>
      </c>
      <c r="H115" s="5"/>
      <c r="I115" s="78"/>
      <c r="J115" s="4"/>
      <c r="K115" s="182"/>
      <c r="L115" s="5"/>
      <c r="M115" s="80"/>
      <c r="N115" s="78"/>
      <c r="O115" s="111"/>
      <c r="P115" s="125"/>
      <c r="Q115" s="4"/>
      <c r="R115" s="49"/>
    </row>
    <row r="116" spans="1:18" ht="15.75" thickBot="1" x14ac:dyDescent="0.3">
      <c r="A116" s="31"/>
      <c r="B116" s="120" t="s">
        <v>71</v>
      </c>
      <c r="C116" s="5"/>
      <c r="D116" s="7"/>
      <c r="E116" s="3"/>
      <c r="F116" s="3"/>
      <c r="G116" s="77" t="s">
        <v>1202</v>
      </c>
      <c r="H116" s="5"/>
      <c r="I116" s="78"/>
      <c r="J116" s="4"/>
      <c r="K116" s="182"/>
      <c r="L116" s="5"/>
      <c r="M116" s="80"/>
      <c r="N116" s="78"/>
      <c r="O116" s="111"/>
      <c r="P116" s="125"/>
      <c r="Q116" s="4"/>
      <c r="R116" s="49"/>
    </row>
    <row r="117" spans="1:18" x14ac:dyDescent="0.25">
      <c r="A117" s="31">
        <v>1</v>
      </c>
      <c r="B117" s="4" t="s">
        <v>42</v>
      </c>
      <c r="C117" s="5">
        <v>1</v>
      </c>
      <c r="D117" s="7">
        <v>0</v>
      </c>
      <c r="E117" s="3">
        <f>C117+(C117*D117)</f>
        <v>1</v>
      </c>
      <c r="F117" s="3" t="s">
        <v>867</v>
      </c>
      <c r="G117" s="77">
        <v>4500</v>
      </c>
      <c r="H117" s="5" t="s">
        <v>1</v>
      </c>
      <c r="I117" s="78">
        <f t="shared" ref="I117:I128" si="31">IF(H117="C",(G117/100)*E117,IF(H117="M",(G117/1000)*E117,G117*E117))</f>
        <v>4500</v>
      </c>
      <c r="J117" s="110">
        <f t="shared" ref="J117:J128" si="32">$O$4</f>
        <v>75</v>
      </c>
      <c r="K117" s="182">
        <v>14.8</v>
      </c>
      <c r="L117" s="5" t="s">
        <v>1</v>
      </c>
      <c r="M117" s="80">
        <f>IF(L117="C",(K117/100)*E117,IF(L117="M",(K117/1000)*E117,K117*E117))</f>
        <v>14.8</v>
      </c>
      <c r="N117" s="78">
        <f>M117*J117</f>
        <v>1110</v>
      </c>
      <c r="O117" s="111">
        <f>N117+I117</f>
        <v>5610</v>
      </c>
      <c r="P117" s="125">
        <v>152766</v>
      </c>
      <c r="Q117" s="4"/>
      <c r="R117" s="49"/>
    </row>
    <row r="118" spans="1:18" x14ac:dyDescent="0.25">
      <c r="A118" s="31"/>
      <c r="B118" s="4" t="s">
        <v>1172</v>
      </c>
      <c r="C118" s="5">
        <f>C117*4</f>
        <v>4</v>
      </c>
      <c r="D118" s="7">
        <v>0</v>
      </c>
      <c r="E118" s="3">
        <f t="shared" si="19"/>
        <v>4</v>
      </c>
      <c r="F118" s="3" t="s">
        <v>868</v>
      </c>
      <c r="G118" s="77">
        <v>240.46</v>
      </c>
      <c r="H118" s="5" t="s">
        <v>0</v>
      </c>
      <c r="I118" s="78">
        <f t="shared" si="31"/>
        <v>9.6184000000000012</v>
      </c>
      <c r="J118" s="110">
        <f t="shared" si="32"/>
        <v>75</v>
      </c>
      <c r="K118" s="182">
        <v>4.95</v>
      </c>
      <c r="L118" s="5" t="s">
        <v>0</v>
      </c>
      <c r="M118" s="80">
        <f t="shared" si="20"/>
        <v>0.19800000000000001</v>
      </c>
      <c r="N118" s="78">
        <f t="shared" si="21"/>
        <v>14.850000000000001</v>
      </c>
      <c r="O118" s="111">
        <f t="shared" si="22"/>
        <v>24.468400000000003</v>
      </c>
      <c r="P118" s="125">
        <v>107766</v>
      </c>
      <c r="Q118" s="4"/>
      <c r="R118" s="49"/>
    </row>
    <row r="119" spans="1:18" x14ac:dyDescent="0.25">
      <c r="A119" s="31"/>
      <c r="B119" s="4" t="s">
        <v>72</v>
      </c>
      <c r="C119" s="5">
        <f>C117*4</f>
        <v>4</v>
      </c>
      <c r="D119" s="7">
        <v>0</v>
      </c>
      <c r="E119" s="3">
        <f t="shared" si="19"/>
        <v>4</v>
      </c>
      <c r="F119" s="3" t="s">
        <v>868</v>
      </c>
      <c r="G119" s="77">
        <v>537.25</v>
      </c>
      <c r="H119" s="5" t="s">
        <v>0</v>
      </c>
      <c r="I119" s="78">
        <f t="shared" si="31"/>
        <v>21.49</v>
      </c>
      <c r="J119" s="110">
        <f t="shared" si="32"/>
        <v>75</v>
      </c>
      <c r="K119" s="182">
        <v>8.9</v>
      </c>
      <c r="L119" s="5" t="s">
        <v>0</v>
      </c>
      <c r="M119" s="80">
        <f t="shared" si="20"/>
        <v>0.35600000000000004</v>
      </c>
      <c r="N119" s="78">
        <f t="shared" si="21"/>
        <v>26.700000000000003</v>
      </c>
      <c r="O119" s="111">
        <f t="shared" si="22"/>
        <v>48.19</v>
      </c>
      <c r="P119" s="125">
        <v>107772</v>
      </c>
      <c r="Q119" s="4"/>
      <c r="R119" s="49"/>
    </row>
    <row r="120" spans="1:18" x14ac:dyDescent="0.25">
      <c r="A120" s="31"/>
      <c r="B120" s="4" t="s">
        <v>1173</v>
      </c>
      <c r="C120" s="5">
        <f>C117</f>
        <v>1</v>
      </c>
      <c r="D120" s="7">
        <v>0</v>
      </c>
      <c r="E120" s="3">
        <f t="shared" si="19"/>
        <v>1</v>
      </c>
      <c r="F120" s="3" t="s">
        <v>867</v>
      </c>
      <c r="G120" s="77">
        <v>812.09</v>
      </c>
      <c r="H120" s="5" t="s">
        <v>0</v>
      </c>
      <c r="I120" s="78">
        <f t="shared" si="31"/>
        <v>8.1209000000000007</v>
      </c>
      <c r="J120" s="110">
        <f t="shared" si="32"/>
        <v>75</v>
      </c>
      <c r="K120" s="182">
        <v>17</v>
      </c>
      <c r="L120" s="5" t="s">
        <v>0</v>
      </c>
      <c r="M120" s="80">
        <f t="shared" si="20"/>
        <v>0.17</v>
      </c>
      <c r="N120" s="78">
        <f t="shared" si="21"/>
        <v>12.750000000000002</v>
      </c>
      <c r="O120" s="111">
        <f t="shared" si="22"/>
        <v>20.870900000000002</v>
      </c>
      <c r="P120" s="125">
        <v>107799</v>
      </c>
      <c r="Q120" s="4"/>
      <c r="R120" s="49"/>
    </row>
    <row r="121" spans="1:18" x14ac:dyDescent="0.25">
      <c r="A121" s="31"/>
      <c r="B121" s="4" t="s">
        <v>73</v>
      </c>
      <c r="C121" s="5">
        <f>C117</f>
        <v>1</v>
      </c>
      <c r="D121" s="7">
        <v>0</v>
      </c>
      <c r="E121" s="3">
        <f t="shared" si="19"/>
        <v>1</v>
      </c>
      <c r="F121" s="3" t="s">
        <v>867</v>
      </c>
      <c r="G121" s="77">
        <v>2349.86</v>
      </c>
      <c r="H121" s="5" t="s">
        <v>0</v>
      </c>
      <c r="I121" s="78">
        <f t="shared" si="31"/>
        <v>23.4986</v>
      </c>
      <c r="J121" s="110">
        <f t="shared" si="32"/>
        <v>75</v>
      </c>
      <c r="K121" s="182">
        <v>20</v>
      </c>
      <c r="L121" s="5" t="s">
        <v>0</v>
      </c>
      <c r="M121" s="80">
        <f t="shared" si="20"/>
        <v>0.2</v>
      </c>
      <c r="N121" s="78">
        <f t="shared" si="21"/>
        <v>15</v>
      </c>
      <c r="O121" s="111">
        <f t="shared" si="22"/>
        <v>38.498599999999996</v>
      </c>
      <c r="P121" s="125">
        <v>107805</v>
      </c>
      <c r="Q121" s="4"/>
      <c r="R121" s="49"/>
    </row>
    <row r="122" spans="1:18" x14ac:dyDescent="0.25">
      <c r="A122" s="31"/>
      <c r="B122" s="4" t="s">
        <v>1174</v>
      </c>
      <c r="C122" s="5">
        <f>C117</f>
        <v>1</v>
      </c>
      <c r="D122" s="7">
        <v>0</v>
      </c>
      <c r="E122" s="3">
        <f t="shared" si="19"/>
        <v>1</v>
      </c>
      <c r="F122" s="3" t="s">
        <v>867</v>
      </c>
      <c r="G122" s="77">
        <v>1535.95</v>
      </c>
      <c r="H122" s="5" t="s">
        <v>0</v>
      </c>
      <c r="I122" s="78">
        <f t="shared" si="31"/>
        <v>15.359500000000001</v>
      </c>
      <c r="J122" s="110">
        <f t="shared" si="32"/>
        <v>75</v>
      </c>
      <c r="K122" s="182">
        <v>17</v>
      </c>
      <c r="L122" s="5" t="s">
        <v>0</v>
      </c>
      <c r="M122" s="80">
        <f t="shared" si="20"/>
        <v>0.17</v>
      </c>
      <c r="N122" s="78">
        <f t="shared" si="21"/>
        <v>12.750000000000002</v>
      </c>
      <c r="O122" s="111">
        <f t="shared" si="22"/>
        <v>28.109500000000004</v>
      </c>
      <c r="P122" s="125">
        <v>107829</v>
      </c>
      <c r="Q122" s="4"/>
      <c r="R122" s="49"/>
    </row>
    <row r="123" spans="1:18" x14ac:dyDescent="0.25">
      <c r="A123" s="31"/>
      <c r="B123" s="4" t="s">
        <v>74</v>
      </c>
      <c r="C123" s="5">
        <f>C117</f>
        <v>1</v>
      </c>
      <c r="D123" s="7">
        <v>0</v>
      </c>
      <c r="E123" s="3">
        <f t="shared" si="19"/>
        <v>1</v>
      </c>
      <c r="F123" s="3" t="s">
        <v>867</v>
      </c>
      <c r="G123" s="77">
        <v>5533.86</v>
      </c>
      <c r="H123" s="5" t="s">
        <v>0</v>
      </c>
      <c r="I123" s="78">
        <f t="shared" si="31"/>
        <v>55.3386</v>
      </c>
      <c r="J123" s="110">
        <f t="shared" si="32"/>
        <v>75</v>
      </c>
      <c r="K123" s="182">
        <v>20</v>
      </c>
      <c r="L123" s="5" t="s">
        <v>0</v>
      </c>
      <c r="M123" s="80">
        <f t="shared" si="20"/>
        <v>0.2</v>
      </c>
      <c r="N123" s="78">
        <f t="shared" si="21"/>
        <v>15</v>
      </c>
      <c r="O123" s="111">
        <f t="shared" si="22"/>
        <v>70.3386</v>
      </c>
      <c r="P123" s="125">
        <v>107835</v>
      </c>
      <c r="Q123" s="4"/>
      <c r="R123" s="49"/>
    </row>
    <row r="124" spans="1:18" x14ac:dyDescent="0.25">
      <c r="A124" s="31"/>
      <c r="B124" s="4" t="s">
        <v>38</v>
      </c>
      <c r="C124" s="5">
        <f>C117*20</f>
        <v>20</v>
      </c>
      <c r="D124" s="7">
        <v>0</v>
      </c>
      <c r="E124" s="3">
        <f t="shared" si="19"/>
        <v>20</v>
      </c>
      <c r="F124" s="3" t="s">
        <v>868</v>
      </c>
      <c r="G124" s="77">
        <v>810.5</v>
      </c>
      <c r="H124" s="5" t="s">
        <v>26</v>
      </c>
      <c r="I124" s="78">
        <f t="shared" si="31"/>
        <v>16.21</v>
      </c>
      <c r="J124" s="110">
        <f t="shared" si="32"/>
        <v>75</v>
      </c>
      <c r="K124" s="182">
        <v>10.199999999999999</v>
      </c>
      <c r="L124" s="5" t="s">
        <v>26</v>
      </c>
      <c r="M124" s="80">
        <f t="shared" si="20"/>
        <v>0.20399999999999999</v>
      </c>
      <c r="N124" s="78">
        <f t="shared" si="21"/>
        <v>15.299999999999999</v>
      </c>
      <c r="O124" s="111">
        <f t="shared" si="22"/>
        <v>31.509999999999998</v>
      </c>
      <c r="P124" s="125">
        <v>109260</v>
      </c>
      <c r="Q124" s="4"/>
      <c r="R124" s="49"/>
    </row>
    <row r="125" spans="1:18" x14ac:dyDescent="0.25">
      <c r="A125" s="31"/>
      <c r="B125" s="4" t="s">
        <v>39</v>
      </c>
      <c r="C125" s="5">
        <f>C117*3</f>
        <v>3</v>
      </c>
      <c r="D125" s="7">
        <v>0</v>
      </c>
      <c r="E125" s="3">
        <f t="shared" si="19"/>
        <v>3</v>
      </c>
      <c r="F125" s="3" t="s">
        <v>867</v>
      </c>
      <c r="G125" s="77">
        <v>234</v>
      </c>
      <c r="H125" s="5" t="s">
        <v>0</v>
      </c>
      <c r="I125" s="78">
        <f t="shared" si="31"/>
        <v>7.02</v>
      </c>
      <c r="J125" s="110">
        <f t="shared" si="32"/>
        <v>75</v>
      </c>
      <c r="K125" s="182">
        <v>10</v>
      </c>
      <c r="L125" s="5" t="s">
        <v>0</v>
      </c>
      <c r="M125" s="80">
        <f t="shared" si="20"/>
        <v>0.30000000000000004</v>
      </c>
      <c r="N125" s="78">
        <f t="shared" si="21"/>
        <v>22.500000000000004</v>
      </c>
      <c r="O125" s="111">
        <f t="shared" si="22"/>
        <v>29.520000000000003</v>
      </c>
      <c r="P125" s="125">
        <v>122601</v>
      </c>
      <c r="Q125" s="4"/>
      <c r="R125" s="49"/>
    </row>
    <row r="126" spans="1:18" x14ac:dyDescent="0.25">
      <c r="A126" s="31"/>
      <c r="B126" s="4" t="s">
        <v>40</v>
      </c>
      <c r="C126" s="5">
        <f>C117*4</f>
        <v>4</v>
      </c>
      <c r="D126" s="7">
        <v>0</v>
      </c>
      <c r="E126" s="3">
        <f t="shared" si="19"/>
        <v>4</v>
      </c>
      <c r="F126" s="3" t="s">
        <v>867</v>
      </c>
      <c r="G126" s="77">
        <v>516.44000000000005</v>
      </c>
      <c r="H126" s="5" t="s">
        <v>0</v>
      </c>
      <c r="I126" s="78">
        <f t="shared" si="31"/>
        <v>20.657600000000002</v>
      </c>
      <c r="J126" s="110">
        <f t="shared" si="32"/>
        <v>75</v>
      </c>
      <c r="K126" s="182">
        <v>17</v>
      </c>
      <c r="L126" s="5" t="s">
        <v>0</v>
      </c>
      <c r="M126" s="80">
        <f t="shared" si="20"/>
        <v>0.68</v>
      </c>
      <c r="N126" s="78">
        <f t="shared" si="21"/>
        <v>51.000000000000007</v>
      </c>
      <c r="O126" s="111">
        <f t="shared" si="22"/>
        <v>71.657600000000002</v>
      </c>
      <c r="P126" s="125">
        <v>122610</v>
      </c>
      <c r="Q126" s="4"/>
      <c r="R126" s="49"/>
    </row>
    <row r="127" spans="1:18" x14ac:dyDescent="0.25">
      <c r="A127" s="31"/>
      <c r="B127" s="4" t="s">
        <v>41</v>
      </c>
      <c r="C127" s="5">
        <f>C117</f>
        <v>1</v>
      </c>
      <c r="D127" s="7">
        <v>0</v>
      </c>
      <c r="E127" s="3">
        <f t="shared" si="19"/>
        <v>1</v>
      </c>
      <c r="F127" s="3" t="s">
        <v>867</v>
      </c>
      <c r="G127" s="77">
        <v>48.37</v>
      </c>
      <c r="H127" s="5" t="s">
        <v>1</v>
      </c>
      <c r="I127" s="78">
        <f t="shared" si="31"/>
        <v>48.37</v>
      </c>
      <c r="J127" s="110">
        <f t="shared" si="32"/>
        <v>75</v>
      </c>
      <c r="K127" s="182">
        <v>0.25</v>
      </c>
      <c r="L127" s="5" t="s">
        <v>1</v>
      </c>
      <c r="M127" s="80">
        <f t="shared" si="20"/>
        <v>0.25</v>
      </c>
      <c r="N127" s="78">
        <f t="shared" si="21"/>
        <v>18.75</v>
      </c>
      <c r="O127" s="111">
        <f t="shared" si="22"/>
        <v>67.12</v>
      </c>
      <c r="P127" s="125">
        <v>157980</v>
      </c>
      <c r="Q127" s="4"/>
      <c r="R127" s="49"/>
    </row>
    <row r="128" spans="1:18" x14ac:dyDescent="0.25">
      <c r="A128" s="31"/>
      <c r="B128" s="4" t="s">
        <v>28</v>
      </c>
      <c r="C128" s="5">
        <f>C117*4</f>
        <v>4</v>
      </c>
      <c r="D128" s="7">
        <v>0</v>
      </c>
      <c r="E128" s="3">
        <f t="shared" si="19"/>
        <v>4</v>
      </c>
      <c r="F128" s="3" t="s">
        <v>867</v>
      </c>
      <c r="G128" s="77">
        <v>38.9</v>
      </c>
      <c r="H128" s="5" t="s">
        <v>0</v>
      </c>
      <c r="I128" s="78">
        <f t="shared" si="31"/>
        <v>1.556</v>
      </c>
      <c r="J128" s="110">
        <f t="shared" si="32"/>
        <v>75</v>
      </c>
      <c r="K128" s="182">
        <v>8</v>
      </c>
      <c r="L128" s="5" t="s">
        <v>0</v>
      </c>
      <c r="M128" s="80">
        <f t="shared" si="20"/>
        <v>0.32</v>
      </c>
      <c r="N128" s="78">
        <f t="shared" si="21"/>
        <v>24</v>
      </c>
      <c r="O128" s="111">
        <f t="shared" si="22"/>
        <v>25.556000000000001</v>
      </c>
      <c r="P128" s="125">
        <v>139626</v>
      </c>
      <c r="Q128" s="4"/>
      <c r="R128" s="49"/>
    </row>
    <row r="129" spans="1:18" ht="15.75" thickBot="1" x14ac:dyDescent="0.3">
      <c r="A129" s="31"/>
      <c r="B129" s="4"/>
      <c r="C129" s="5"/>
      <c r="D129" s="7"/>
      <c r="E129" s="3"/>
      <c r="F129" s="3"/>
      <c r="G129" s="77" t="s">
        <v>1202</v>
      </c>
      <c r="H129" s="5"/>
      <c r="I129" s="78"/>
      <c r="J129" s="4"/>
      <c r="K129" s="182"/>
      <c r="L129" s="5"/>
      <c r="M129" s="80"/>
      <c r="N129" s="78"/>
      <c r="O129" s="111"/>
      <c r="P129" s="125"/>
      <c r="Q129" s="4"/>
      <c r="R129" s="49"/>
    </row>
    <row r="130" spans="1:18" ht="15.75" thickBot="1" x14ac:dyDescent="0.3">
      <c r="A130" s="31"/>
      <c r="B130" s="120" t="s">
        <v>75</v>
      </c>
      <c r="C130" s="5"/>
      <c r="D130" s="7"/>
      <c r="E130" s="3"/>
      <c r="F130" s="3"/>
      <c r="G130" s="77" t="s">
        <v>1202</v>
      </c>
      <c r="H130" s="5"/>
      <c r="I130" s="78"/>
      <c r="J130" s="4"/>
      <c r="K130" s="182"/>
      <c r="L130" s="5"/>
      <c r="M130" s="80"/>
      <c r="N130" s="78"/>
      <c r="O130" s="111"/>
      <c r="P130" s="125"/>
      <c r="Q130" s="4"/>
      <c r="R130" s="49"/>
    </row>
    <row r="131" spans="1:18" x14ac:dyDescent="0.25">
      <c r="A131" s="31">
        <v>1</v>
      </c>
      <c r="B131" s="4" t="s">
        <v>47</v>
      </c>
      <c r="C131" s="5">
        <v>1</v>
      </c>
      <c r="D131" s="7">
        <v>0</v>
      </c>
      <c r="E131" s="3">
        <f>C131+(C131*D131)</f>
        <v>1</v>
      </c>
      <c r="F131" s="3" t="s">
        <v>867</v>
      </c>
      <c r="G131" s="77">
        <v>4749</v>
      </c>
      <c r="H131" s="5" t="s">
        <v>1</v>
      </c>
      <c r="I131" s="78">
        <f t="shared" ref="I131:I142" si="33">IF(H131="C",(G131/100)*E131,IF(H131="M",(G131/1000)*E131,G131*E131))</f>
        <v>4749</v>
      </c>
      <c r="J131" s="110">
        <f t="shared" ref="J131:J142" si="34">$O$4</f>
        <v>75</v>
      </c>
      <c r="K131" s="182">
        <v>16.2</v>
      </c>
      <c r="L131" s="5" t="s">
        <v>1</v>
      </c>
      <c r="M131" s="80">
        <f>IF(L131="C",(K131/100)*E131,IF(L131="M",(K131/1000)*E131,K131*E131))</f>
        <v>16.2</v>
      </c>
      <c r="N131" s="78">
        <f>M131*J131</f>
        <v>1215</v>
      </c>
      <c r="O131" s="111">
        <f>N131+I131</f>
        <v>5964</v>
      </c>
      <c r="P131" s="125">
        <v>152769</v>
      </c>
      <c r="Q131" s="4"/>
      <c r="R131" s="49"/>
    </row>
    <row r="132" spans="1:18" x14ac:dyDescent="0.25">
      <c r="A132" s="31"/>
      <c r="B132" s="4" t="s">
        <v>1179</v>
      </c>
      <c r="C132" s="5">
        <f>C131*4</f>
        <v>4</v>
      </c>
      <c r="D132" s="7">
        <v>0</v>
      </c>
      <c r="E132" s="3">
        <f t="shared" si="19"/>
        <v>4</v>
      </c>
      <c r="F132" s="3" t="s">
        <v>868</v>
      </c>
      <c r="G132" s="77">
        <v>420.39</v>
      </c>
      <c r="H132" s="5" t="s">
        <v>0</v>
      </c>
      <c r="I132" s="78">
        <f t="shared" si="33"/>
        <v>16.8156</v>
      </c>
      <c r="J132" s="110">
        <f t="shared" si="34"/>
        <v>75</v>
      </c>
      <c r="K132" s="182">
        <v>5.9</v>
      </c>
      <c r="L132" s="5" t="s">
        <v>0</v>
      </c>
      <c r="M132" s="80">
        <f t="shared" si="20"/>
        <v>0.23600000000000002</v>
      </c>
      <c r="N132" s="78">
        <f t="shared" si="21"/>
        <v>17.700000000000003</v>
      </c>
      <c r="O132" s="111">
        <f t="shared" si="22"/>
        <v>34.515600000000006</v>
      </c>
      <c r="P132" s="125">
        <v>107769</v>
      </c>
      <c r="Q132" s="4"/>
      <c r="R132" s="49"/>
    </row>
    <row r="133" spans="1:18" x14ac:dyDescent="0.25">
      <c r="A133" s="31"/>
      <c r="B133" s="4" t="s">
        <v>76</v>
      </c>
      <c r="C133" s="5">
        <f>C131*4</f>
        <v>4</v>
      </c>
      <c r="D133" s="7">
        <v>0</v>
      </c>
      <c r="E133" s="3">
        <f t="shared" si="19"/>
        <v>4</v>
      </c>
      <c r="F133" s="3" t="s">
        <v>868</v>
      </c>
      <c r="G133" s="77">
        <v>610.88</v>
      </c>
      <c r="H133" s="5" t="s">
        <v>0</v>
      </c>
      <c r="I133" s="78">
        <f t="shared" si="33"/>
        <v>24.435199999999998</v>
      </c>
      <c r="J133" s="110">
        <f t="shared" si="34"/>
        <v>75</v>
      </c>
      <c r="K133" s="182">
        <v>10.8</v>
      </c>
      <c r="L133" s="5" t="s">
        <v>0</v>
      </c>
      <c r="M133" s="80">
        <f t="shared" si="20"/>
        <v>0.43200000000000005</v>
      </c>
      <c r="N133" s="78">
        <f t="shared" si="21"/>
        <v>32.400000000000006</v>
      </c>
      <c r="O133" s="111">
        <f t="shared" si="22"/>
        <v>56.8352</v>
      </c>
      <c r="P133" s="125">
        <v>107775</v>
      </c>
      <c r="Q133" s="4"/>
      <c r="R133" s="49"/>
    </row>
    <row r="134" spans="1:18" x14ac:dyDescent="0.25">
      <c r="A134" s="31"/>
      <c r="B134" s="4" t="s">
        <v>1169</v>
      </c>
      <c r="C134" s="5">
        <f>C131</f>
        <v>1</v>
      </c>
      <c r="D134" s="7">
        <v>0</v>
      </c>
      <c r="E134" s="3">
        <f t="shared" si="19"/>
        <v>1</v>
      </c>
      <c r="F134" s="3" t="s">
        <v>867</v>
      </c>
      <c r="G134" s="77">
        <v>1224.08</v>
      </c>
      <c r="H134" s="5" t="s">
        <v>0</v>
      </c>
      <c r="I134" s="78">
        <f t="shared" si="33"/>
        <v>12.2408</v>
      </c>
      <c r="J134" s="110">
        <f t="shared" si="34"/>
        <v>75</v>
      </c>
      <c r="K134" s="182">
        <v>17</v>
      </c>
      <c r="L134" s="5" t="s">
        <v>0</v>
      </c>
      <c r="M134" s="80">
        <f t="shared" si="20"/>
        <v>0.17</v>
      </c>
      <c r="N134" s="78">
        <f t="shared" si="21"/>
        <v>12.750000000000002</v>
      </c>
      <c r="O134" s="111">
        <f t="shared" si="22"/>
        <v>24.9908</v>
      </c>
      <c r="P134" s="125">
        <v>107802</v>
      </c>
      <c r="Q134" s="4"/>
      <c r="R134" s="49"/>
    </row>
    <row r="135" spans="1:18" x14ac:dyDescent="0.25">
      <c r="A135" s="31"/>
      <c r="B135" s="4" t="s">
        <v>77</v>
      </c>
      <c r="C135" s="5">
        <f>C131</f>
        <v>1</v>
      </c>
      <c r="D135" s="7">
        <v>0</v>
      </c>
      <c r="E135" s="3">
        <f t="shared" si="19"/>
        <v>1</v>
      </c>
      <c r="F135" s="3" t="s">
        <v>867</v>
      </c>
      <c r="G135" s="77">
        <v>3596.65</v>
      </c>
      <c r="H135" s="5" t="s">
        <v>0</v>
      </c>
      <c r="I135" s="78">
        <f t="shared" si="33"/>
        <v>35.966500000000003</v>
      </c>
      <c r="J135" s="110">
        <f t="shared" si="34"/>
        <v>75</v>
      </c>
      <c r="K135" s="182">
        <v>25</v>
      </c>
      <c r="L135" s="5" t="s">
        <v>0</v>
      </c>
      <c r="M135" s="80">
        <f t="shared" si="20"/>
        <v>0.25</v>
      </c>
      <c r="N135" s="78">
        <f t="shared" si="21"/>
        <v>18.75</v>
      </c>
      <c r="O135" s="111">
        <f t="shared" si="22"/>
        <v>54.716500000000003</v>
      </c>
      <c r="P135" s="125">
        <v>107808</v>
      </c>
      <c r="Q135" s="4"/>
      <c r="R135" s="49"/>
    </row>
    <row r="136" spans="1:18" x14ac:dyDescent="0.25">
      <c r="A136" s="31"/>
      <c r="B136" s="4" t="s">
        <v>1170</v>
      </c>
      <c r="C136" s="5">
        <f>C131</f>
        <v>1</v>
      </c>
      <c r="D136" s="7">
        <v>0</v>
      </c>
      <c r="E136" s="3">
        <f t="shared" si="19"/>
        <v>1</v>
      </c>
      <c r="F136" s="3" t="s">
        <v>867</v>
      </c>
      <c r="G136" s="77">
        <v>3066.26</v>
      </c>
      <c r="H136" s="5" t="s">
        <v>0</v>
      </c>
      <c r="I136" s="78">
        <f t="shared" si="33"/>
        <v>30.662600000000001</v>
      </c>
      <c r="J136" s="110">
        <f t="shared" si="34"/>
        <v>75</v>
      </c>
      <c r="K136" s="182">
        <v>17</v>
      </c>
      <c r="L136" s="5" t="s">
        <v>0</v>
      </c>
      <c r="M136" s="80">
        <f t="shared" si="20"/>
        <v>0.17</v>
      </c>
      <c r="N136" s="78">
        <f t="shared" si="21"/>
        <v>12.750000000000002</v>
      </c>
      <c r="O136" s="111">
        <f t="shared" si="22"/>
        <v>43.412600000000005</v>
      </c>
      <c r="P136" s="125">
        <v>107832</v>
      </c>
      <c r="Q136" s="4"/>
      <c r="R136" s="49"/>
    </row>
    <row r="137" spans="1:18" x14ac:dyDescent="0.25">
      <c r="A137" s="31"/>
      <c r="B137" s="4" t="s">
        <v>78</v>
      </c>
      <c r="C137" s="5">
        <f>C131</f>
        <v>1</v>
      </c>
      <c r="D137" s="7">
        <v>0</v>
      </c>
      <c r="E137" s="3">
        <f t="shared" ref="E137:E197" si="35">C137+(C137*D137)</f>
        <v>1</v>
      </c>
      <c r="F137" s="3" t="s">
        <v>867</v>
      </c>
      <c r="G137" s="77">
        <v>6391.61</v>
      </c>
      <c r="H137" s="5" t="s">
        <v>0</v>
      </c>
      <c r="I137" s="78">
        <f t="shared" si="33"/>
        <v>63.9161</v>
      </c>
      <c r="J137" s="110">
        <f t="shared" si="34"/>
        <v>75</v>
      </c>
      <c r="K137" s="182">
        <v>25</v>
      </c>
      <c r="L137" s="5" t="s">
        <v>0</v>
      </c>
      <c r="M137" s="80">
        <f t="shared" si="20"/>
        <v>0.25</v>
      </c>
      <c r="N137" s="78">
        <f t="shared" si="21"/>
        <v>18.75</v>
      </c>
      <c r="O137" s="111">
        <f t="shared" si="22"/>
        <v>82.6661</v>
      </c>
      <c r="P137" s="125">
        <v>107838</v>
      </c>
      <c r="Q137" s="4"/>
      <c r="R137" s="49"/>
    </row>
    <row r="138" spans="1:18" x14ac:dyDescent="0.25">
      <c r="A138" s="31"/>
      <c r="B138" s="4" t="s">
        <v>38</v>
      </c>
      <c r="C138" s="5">
        <f>C131*20</f>
        <v>20</v>
      </c>
      <c r="D138" s="7">
        <v>0</v>
      </c>
      <c r="E138" s="3">
        <f t="shared" si="35"/>
        <v>20</v>
      </c>
      <c r="F138" s="3" t="s">
        <v>868</v>
      </c>
      <c r="G138" s="77">
        <v>810.5</v>
      </c>
      <c r="H138" s="5" t="s">
        <v>26</v>
      </c>
      <c r="I138" s="78">
        <f t="shared" si="33"/>
        <v>16.21</v>
      </c>
      <c r="J138" s="110">
        <f t="shared" si="34"/>
        <v>75</v>
      </c>
      <c r="K138" s="182">
        <v>10.199999999999999</v>
      </c>
      <c r="L138" s="5" t="s">
        <v>26</v>
      </c>
      <c r="M138" s="80">
        <f t="shared" ref="M138:M197" si="36">IF(L138="C",(K138/100)*E138,IF(L138="M",(K138/1000)*E138,K138*E138))</f>
        <v>0.20399999999999999</v>
      </c>
      <c r="N138" s="78">
        <f t="shared" ref="N138:N197" si="37">M138*J138</f>
        <v>15.299999999999999</v>
      </c>
      <c r="O138" s="111">
        <f t="shared" ref="O138:O197" si="38">N138+I138</f>
        <v>31.509999999999998</v>
      </c>
      <c r="P138" s="125">
        <v>109260</v>
      </c>
      <c r="Q138" s="4"/>
      <c r="R138" s="49"/>
    </row>
    <row r="139" spans="1:18" x14ac:dyDescent="0.25">
      <c r="A139" s="31"/>
      <c r="B139" s="4" t="s">
        <v>45</v>
      </c>
      <c r="C139" s="5">
        <f>C131*3</f>
        <v>3</v>
      </c>
      <c r="D139" s="7">
        <v>0</v>
      </c>
      <c r="E139" s="3">
        <f t="shared" si="35"/>
        <v>3</v>
      </c>
      <c r="F139" s="3" t="s">
        <v>867</v>
      </c>
      <c r="G139" s="77">
        <v>303.77</v>
      </c>
      <c r="H139" s="5" t="s">
        <v>0</v>
      </c>
      <c r="I139" s="78">
        <f t="shared" si="33"/>
        <v>9.1130999999999993</v>
      </c>
      <c r="J139" s="110">
        <f t="shared" si="34"/>
        <v>75</v>
      </c>
      <c r="K139" s="182">
        <v>15</v>
      </c>
      <c r="L139" s="5" t="s">
        <v>0</v>
      </c>
      <c r="M139" s="80">
        <f t="shared" si="36"/>
        <v>0.44999999999999996</v>
      </c>
      <c r="N139" s="78">
        <f t="shared" si="37"/>
        <v>33.75</v>
      </c>
      <c r="O139" s="111">
        <f t="shared" si="38"/>
        <v>42.863100000000003</v>
      </c>
      <c r="P139" s="125">
        <v>122607</v>
      </c>
      <c r="Q139" s="4"/>
      <c r="R139" s="49"/>
    </row>
    <row r="140" spans="1:18" x14ac:dyDescent="0.25">
      <c r="A140" s="31"/>
      <c r="B140" s="4" t="s">
        <v>46</v>
      </c>
      <c r="C140" s="5">
        <f>C131*4</f>
        <v>4</v>
      </c>
      <c r="D140" s="7">
        <v>0</v>
      </c>
      <c r="E140" s="3">
        <f t="shared" si="35"/>
        <v>4</v>
      </c>
      <c r="F140" s="3" t="s">
        <v>867</v>
      </c>
      <c r="G140" s="77">
        <v>704.31</v>
      </c>
      <c r="H140" s="5" t="s">
        <v>0</v>
      </c>
      <c r="I140" s="78">
        <f t="shared" si="33"/>
        <v>28.172399999999996</v>
      </c>
      <c r="J140" s="110">
        <f t="shared" si="34"/>
        <v>75</v>
      </c>
      <c r="K140" s="182">
        <v>20</v>
      </c>
      <c r="L140" s="5" t="s">
        <v>0</v>
      </c>
      <c r="M140" s="80">
        <f t="shared" si="36"/>
        <v>0.8</v>
      </c>
      <c r="N140" s="78">
        <f t="shared" si="37"/>
        <v>60</v>
      </c>
      <c r="O140" s="111">
        <f t="shared" si="38"/>
        <v>88.172399999999996</v>
      </c>
      <c r="P140" s="125">
        <v>122613</v>
      </c>
      <c r="Q140" s="4"/>
      <c r="R140" s="49"/>
    </row>
    <row r="141" spans="1:18" x14ac:dyDescent="0.25">
      <c r="A141" s="31"/>
      <c r="B141" s="4" t="s">
        <v>41</v>
      </c>
      <c r="C141" s="5">
        <f>C131</f>
        <v>1</v>
      </c>
      <c r="D141" s="7">
        <v>0</v>
      </c>
      <c r="E141" s="3">
        <f t="shared" si="35"/>
        <v>1</v>
      </c>
      <c r="F141" s="3" t="s">
        <v>867</v>
      </c>
      <c r="G141" s="77">
        <v>48.37</v>
      </c>
      <c r="H141" s="5" t="s">
        <v>1</v>
      </c>
      <c r="I141" s="78">
        <f t="shared" si="33"/>
        <v>48.37</v>
      </c>
      <c r="J141" s="110">
        <f t="shared" si="34"/>
        <v>75</v>
      </c>
      <c r="K141" s="182">
        <v>0.25</v>
      </c>
      <c r="L141" s="5" t="s">
        <v>1</v>
      </c>
      <c r="M141" s="80">
        <f t="shared" si="36"/>
        <v>0.25</v>
      </c>
      <c r="N141" s="78">
        <f t="shared" si="37"/>
        <v>18.75</v>
      </c>
      <c r="O141" s="111">
        <f t="shared" si="38"/>
        <v>67.12</v>
      </c>
      <c r="P141" s="125">
        <v>157980</v>
      </c>
      <c r="Q141" s="4"/>
      <c r="R141" s="49"/>
    </row>
    <row r="142" spans="1:18" x14ac:dyDescent="0.25">
      <c r="A142" s="31"/>
      <c r="B142" s="4" t="s">
        <v>28</v>
      </c>
      <c r="C142" s="5">
        <f>C131*4</f>
        <v>4</v>
      </c>
      <c r="D142" s="7">
        <v>0</v>
      </c>
      <c r="E142" s="3">
        <f t="shared" si="35"/>
        <v>4</v>
      </c>
      <c r="F142" s="3" t="s">
        <v>867</v>
      </c>
      <c r="G142" s="77">
        <v>38.9</v>
      </c>
      <c r="H142" s="5" t="s">
        <v>0</v>
      </c>
      <c r="I142" s="78">
        <f t="shared" si="33"/>
        <v>1.556</v>
      </c>
      <c r="J142" s="110">
        <f t="shared" si="34"/>
        <v>75</v>
      </c>
      <c r="K142" s="182">
        <v>8</v>
      </c>
      <c r="L142" s="5" t="s">
        <v>0</v>
      </c>
      <c r="M142" s="80">
        <f t="shared" si="36"/>
        <v>0.32</v>
      </c>
      <c r="N142" s="78">
        <f t="shared" si="37"/>
        <v>24</v>
      </c>
      <c r="O142" s="111">
        <f t="shared" si="38"/>
        <v>25.556000000000001</v>
      </c>
      <c r="P142" s="125">
        <v>139626</v>
      </c>
      <c r="Q142" s="4"/>
      <c r="R142" s="49"/>
    </row>
    <row r="143" spans="1:18" ht="15.75" thickBot="1" x14ac:dyDescent="0.3">
      <c r="A143" s="31"/>
      <c r="B143" s="4"/>
      <c r="C143" s="5"/>
      <c r="D143" s="7"/>
      <c r="E143" s="3"/>
      <c r="F143" s="3"/>
      <c r="G143" s="77" t="s">
        <v>1202</v>
      </c>
      <c r="H143" s="5"/>
      <c r="I143" s="78"/>
      <c r="J143" s="4"/>
      <c r="K143" s="182"/>
      <c r="L143" s="5"/>
      <c r="M143" s="80"/>
      <c r="N143" s="78"/>
      <c r="O143" s="111"/>
      <c r="P143" s="125"/>
      <c r="Q143" s="4"/>
      <c r="R143" s="49"/>
    </row>
    <row r="144" spans="1:18" ht="15.75" thickBot="1" x14ac:dyDescent="0.3">
      <c r="A144" s="31"/>
      <c r="B144" s="120" t="s">
        <v>79</v>
      </c>
      <c r="C144" s="5"/>
      <c r="D144" s="7"/>
      <c r="E144" s="3"/>
      <c r="F144" s="3"/>
      <c r="G144" s="77" t="s">
        <v>1202</v>
      </c>
      <c r="H144" s="5"/>
      <c r="I144" s="78"/>
      <c r="J144" s="4"/>
      <c r="K144" s="182"/>
      <c r="L144" s="5"/>
      <c r="M144" s="80"/>
      <c r="N144" s="78"/>
      <c r="O144" s="111"/>
      <c r="P144" s="125"/>
      <c r="Q144" s="4"/>
      <c r="R144" s="49"/>
    </row>
    <row r="145" spans="1:18" x14ac:dyDescent="0.25">
      <c r="A145" s="31">
        <v>1</v>
      </c>
      <c r="B145" s="4" t="s">
        <v>52</v>
      </c>
      <c r="C145" s="5">
        <v>1</v>
      </c>
      <c r="D145" s="7">
        <v>0</v>
      </c>
      <c r="E145" s="3">
        <f>C145+(C145*D145)</f>
        <v>1</v>
      </c>
      <c r="F145" s="3" t="s">
        <v>867</v>
      </c>
      <c r="G145" s="77">
        <v>5500</v>
      </c>
      <c r="H145" s="5" t="s">
        <v>1</v>
      </c>
      <c r="I145" s="78">
        <f t="shared" ref="I145:I156" si="39">IF(H145="C",(G145/100)*E145,IF(H145="M",(G145/1000)*E145,G145*E145))</f>
        <v>5500</v>
      </c>
      <c r="J145" s="110">
        <f t="shared" ref="J145:J156" si="40">$O$4</f>
        <v>75</v>
      </c>
      <c r="K145" s="182">
        <v>16.5</v>
      </c>
      <c r="L145" s="5" t="s">
        <v>1</v>
      </c>
      <c r="M145" s="80">
        <f>IF(L145="C",(K145/100)*E145,IF(L145="M",(K145/1000)*E145,K145*E145))</f>
        <v>16.5</v>
      </c>
      <c r="N145" s="78">
        <f>M145*J145</f>
        <v>1237.5</v>
      </c>
      <c r="O145" s="111">
        <f>N145+I145</f>
        <v>6737.5</v>
      </c>
      <c r="P145" s="125">
        <v>152772</v>
      </c>
      <c r="Q145" s="4"/>
      <c r="R145" s="49"/>
    </row>
    <row r="146" spans="1:18" x14ac:dyDescent="0.25">
      <c r="A146" s="31"/>
      <c r="B146" s="4" t="s">
        <v>72</v>
      </c>
      <c r="C146" s="5">
        <f>C145*4</f>
        <v>4</v>
      </c>
      <c r="D146" s="7">
        <v>0</v>
      </c>
      <c r="E146" s="3">
        <f t="shared" si="35"/>
        <v>4</v>
      </c>
      <c r="F146" s="3" t="s">
        <v>868</v>
      </c>
      <c r="G146" s="77">
        <v>537.25</v>
      </c>
      <c r="H146" s="5" t="s">
        <v>0</v>
      </c>
      <c r="I146" s="78">
        <f t="shared" si="39"/>
        <v>21.49</v>
      </c>
      <c r="J146" s="110">
        <f t="shared" si="40"/>
        <v>75</v>
      </c>
      <c r="K146" s="182">
        <v>8.9</v>
      </c>
      <c r="L146" s="5" t="s">
        <v>0</v>
      </c>
      <c r="M146" s="80">
        <f t="shared" si="36"/>
        <v>0.35600000000000004</v>
      </c>
      <c r="N146" s="78">
        <f t="shared" si="37"/>
        <v>26.700000000000003</v>
      </c>
      <c r="O146" s="111">
        <f t="shared" si="38"/>
        <v>48.19</v>
      </c>
      <c r="P146" s="125">
        <v>107772</v>
      </c>
      <c r="Q146" s="4"/>
      <c r="R146" s="49"/>
    </row>
    <row r="147" spans="1:18" x14ac:dyDescent="0.25">
      <c r="A147" s="31"/>
      <c r="B147" s="4" t="s">
        <v>80</v>
      </c>
      <c r="C147" s="5">
        <f>C145*4</f>
        <v>4</v>
      </c>
      <c r="D147" s="7">
        <v>0</v>
      </c>
      <c r="E147" s="3">
        <f t="shared" si="35"/>
        <v>4</v>
      </c>
      <c r="F147" s="3" t="s">
        <v>868</v>
      </c>
      <c r="G147" s="77">
        <v>1202.3900000000001</v>
      </c>
      <c r="H147" s="5" t="s">
        <v>0</v>
      </c>
      <c r="I147" s="78">
        <f t="shared" si="39"/>
        <v>48.095600000000005</v>
      </c>
      <c r="J147" s="110">
        <f t="shared" si="40"/>
        <v>75</v>
      </c>
      <c r="K147" s="182">
        <v>17.8</v>
      </c>
      <c r="L147" s="5" t="s">
        <v>0</v>
      </c>
      <c r="M147" s="80">
        <f t="shared" si="36"/>
        <v>0.71200000000000008</v>
      </c>
      <c r="N147" s="78">
        <f t="shared" si="37"/>
        <v>53.400000000000006</v>
      </c>
      <c r="O147" s="111">
        <f t="shared" si="38"/>
        <v>101.49560000000001</v>
      </c>
      <c r="P147" s="125">
        <v>107781</v>
      </c>
      <c r="Q147" s="4"/>
      <c r="R147" s="49"/>
    </row>
    <row r="148" spans="1:18" x14ac:dyDescent="0.25">
      <c r="A148" s="31"/>
      <c r="B148" s="4" t="s">
        <v>73</v>
      </c>
      <c r="C148" s="5">
        <f>C145</f>
        <v>1</v>
      </c>
      <c r="D148" s="7">
        <v>0</v>
      </c>
      <c r="E148" s="3">
        <f t="shared" si="35"/>
        <v>1</v>
      </c>
      <c r="F148" s="3" t="s">
        <v>867</v>
      </c>
      <c r="G148" s="77">
        <v>2349.86</v>
      </c>
      <c r="H148" s="5" t="s">
        <v>0</v>
      </c>
      <c r="I148" s="78">
        <f t="shared" si="39"/>
        <v>23.4986</v>
      </c>
      <c r="J148" s="110">
        <f t="shared" si="40"/>
        <v>75</v>
      </c>
      <c r="K148" s="182">
        <v>20</v>
      </c>
      <c r="L148" s="5" t="s">
        <v>0</v>
      </c>
      <c r="M148" s="80">
        <f t="shared" si="36"/>
        <v>0.2</v>
      </c>
      <c r="N148" s="78">
        <f t="shared" si="37"/>
        <v>15</v>
      </c>
      <c r="O148" s="111">
        <f t="shared" si="38"/>
        <v>38.498599999999996</v>
      </c>
      <c r="P148" s="125">
        <v>107805</v>
      </c>
      <c r="Q148" s="4"/>
      <c r="R148" s="49"/>
    </row>
    <row r="149" spans="1:18" x14ac:dyDescent="0.25">
      <c r="A149" s="31"/>
      <c r="B149" s="4" t="s">
        <v>81</v>
      </c>
      <c r="C149" s="5">
        <f>C145</f>
        <v>1</v>
      </c>
      <c r="D149" s="7">
        <v>0</v>
      </c>
      <c r="E149" s="3">
        <f t="shared" si="35"/>
        <v>1</v>
      </c>
      <c r="F149" s="3" t="s">
        <v>867</v>
      </c>
      <c r="G149" s="77">
        <v>26128.07</v>
      </c>
      <c r="H149" s="5" t="s">
        <v>0</v>
      </c>
      <c r="I149" s="78">
        <f t="shared" si="39"/>
        <v>261.28070000000002</v>
      </c>
      <c r="J149" s="110">
        <f t="shared" si="40"/>
        <v>75</v>
      </c>
      <c r="K149" s="182">
        <v>32</v>
      </c>
      <c r="L149" s="5" t="s">
        <v>0</v>
      </c>
      <c r="M149" s="80">
        <f t="shared" si="36"/>
        <v>0.32</v>
      </c>
      <c r="N149" s="78">
        <f t="shared" si="37"/>
        <v>24</v>
      </c>
      <c r="O149" s="111">
        <f t="shared" si="38"/>
        <v>285.28070000000002</v>
      </c>
      <c r="P149" s="125">
        <v>107814</v>
      </c>
      <c r="Q149" s="4"/>
      <c r="R149" s="49"/>
    </row>
    <row r="150" spans="1:18" x14ac:dyDescent="0.25">
      <c r="A150" s="31"/>
      <c r="B150" s="4" t="s">
        <v>74</v>
      </c>
      <c r="C150" s="5">
        <f>C145</f>
        <v>1</v>
      </c>
      <c r="D150" s="7">
        <v>0</v>
      </c>
      <c r="E150" s="3">
        <f t="shared" si="35"/>
        <v>1</v>
      </c>
      <c r="F150" s="3" t="s">
        <v>867</v>
      </c>
      <c r="G150" s="77">
        <v>5533.86</v>
      </c>
      <c r="H150" s="5" t="s">
        <v>0</v>
      </c>
      <c r="I150" s="78">
        <f t="shared" si="39"/>
        <v>55.3386</v>
      </c>
      <c r="J150" s="110">
        <f t="shared" si="40"/>
        <v>75</v>
      </c>
      <c r="K150" s="182">
        <v>20</v>
      </c>
      <c r="L150" s="5" t="s">
        <v>0</v>
      </c>
      <c r="M150" s="80">
        <f t="shared" si="36"/>
        <v>0.2</v>
      </c>
      <c r="N150" s="78">
        <f t="shared" si="37"/>
        <v>15</v>
      </c>
      <c r="O150" s="111">
        <f t="shared" si="38"/>
        <v>70.3386</v>
      </c>
      <c r="P150" s="125">
        <v>107835</v>
      </c>
      <c r="Q150" s="4"/>
      <c r="R150" s="49"/>
    </row>
    <row r="151" spans="1:18" x14ac:dyDescent="0.25">
      <c r="A151" s="31"/>
      <c r="B151" s="4" t="s">
        <v>82</v>
      </c>
      <c r="C151" s="5">
        <f>C145</f>
        <v>1</v>
      </c>
      <c r="D151" s="7">
        <v>0</v>
      </c>
      <c r="E151" s="3">
        <f t="shared" si="35"/>
        <v>1</v>
      </c>
      <c r="F151" s="3" t="s">
        <v>867</v>
      </c>
      <c r="G151" s="77">
        <v>34631.5</v>
      </c>
      <c r="H151" s="5" t="s">
        <v>0</v>
      </c>
      <c r="I151" s="78">
        <f t="shared" si="39"/>
        <v>346.315</v>
      </c>
      <c r="J151" s="110">
        <f t="shared" si="40"/>
        <v>75</v>
      </c>
      <c r="K151" s="182">
        <v>32</v>
      </c>
      <c r="L151" s="5" t="s">
        <v>0</v>
      </c>
      <c r="M151" s="80">
        <f t="shared" si="36"/>
        <v>0.32</v>
      </c>
      <c r="N151" s="78">
        <f t="shared" si="37"/>
        <v>24</v>
      </c>
      <c r="O151" s="111">
        <f t="shared" si="38"/>
        <v>370.315</v>
      </c>
      <c r="P151" s="125">
        <v>107844</v>
      </c>
      <c r="Q151" s="4"/>
      <c r="R151" s="49"/>
    </row>
    <row r="152" spans="1:18" x14ac:dyDescent="0.25">
      <c r="A152" s="31"/>
      <c r="B152" s="4" t="s">
        <v>38</v>
      </c>
      <c r="C152" s="5">
        <f>C145*20</f>
        <v>20</v>
      </c>
      <c r="D152" s="7">
        <v>0</v>
      </c>
      <c r="E152" s="3">
        <f t="shared" si="35"/>
        <v>20</v>
      </c>
      <c r="F152" s="3" t="s">
        <v>868</v>
      </c>
      <c r="G152" s="77">
        <v>810.5</v>
      </c>
      <c r="H152" s="5" t="s">
        <v>26</v>
      </c>
      <c r="I152" s="78">
        <f t="shared" si="39"/>
        <v>16.21</v>
      </c>
      <c r="J152" s="110">
        <f t="shared" si="40"/>
        <v>75</v>
      </c>
      <c r="K152" s="182">
        <v>10.199999999999999</v>
      </c>
      <c r="L152" s="5" t="s">
        <v>26</v>
      </c>
      <c r="M152" s="80">
        <f t="shared" si="36"/>
        <v>0.20399999999999999</v>
      </c>
      <c r="N152" s="78">
        <f t="shared" si="37"/>
        <v>15.299999999999999</v>
      </c>
      <c r="O152" s="111">
        <f t="shared" si="38"/>
        <v>31.509999999999998</v>
      </c>
      <c r="P152" s="125">
        <v>109260</v>
      </c>
      <c r="Q152" s="4"/>
      <c r="R152" s="49"/>
    </row>
    <row r="153" spans="1:18" x14ac:dyDescent="0.25">
      <c r="A153" s="31"/>
      <c r="B153" s="4" t="s">
        <v>40</v>
      </c>
      <c r="C153" s="5">
        <f>C145*3</f>
        <v>3</v>
      </c>
      <c r="D153" s="7">
        <v>0</v>
      </c>
      <c r="E153" s="3">
        <f t="shared" si="35"/>
        <v>3</v>
      </c>
      <c r="F153" s="3" t="s">
        <v>867</v>
      </c>
      <c r="G153" s="77">
        <v>516.44000000000005</v>
      </c>
      <c r="H153" s="5" t="s">
        <v>0</v>
      </c>
      <c r="I153" s="78">
        <f t="shared" si="39"/>
        <v>15.493200000000002</v>
      </c>
      <c r="J153" s="110">
        <f t="shared" si="40"/>
        <v>75</v>
      </c>
      <c r="K153" s="182">
        <v>17</v>
      </c>
      <c r="L153" s="5" t="s">
        <v>0</v>
      </c>
      <c r="M153" s="80">
        <f t="shared" si="36"/>
        <v>0.51</v>
      </c>
      <c r="N153" s="78">
        <f t="shared" si="37"/>
        <v>38.25</v>
      </c>
      <c r="O153" s="111">
        <f t="shared" si="38"/>
        <v>53.743200000000002</v>
      </c>
      <c r="P153" s="125">
        <v>122610</v>
      </c>
      <c r="Q153" s="4"/>
      <c r="R153" s="49"/>
    </row>
    <row r="154" spans="1:18" x14ac:dyDescent="0.25">
      <c r="A154" s="31"/>
      <c r="B154" s="4" t="s">
        <v>51</v>
      </c>
      <c r="C154" s="5">
        <f>C145*4</f>
        <v>4</v>
      </c>
      <c r="D154" s="7">
        <v>0</v>
      </c>
      <c r="E154" s="3">
        <f t="shared" si="35"/>
        <v>4</v>
      </c>
      <c r="F154" s="3" t="s">
        <v>867</v>
      </c>
      <c r="G154" s="77">
        <v>986.22</v>
      </c>
      <c r="H154" s="5" t="s">
        <v>0</v>
      </c>
      <c r="I154" s="78">
        <f t="shared" si="39"/>
        <v>39.448799999999999</v>
      </c>
      <c r="J154" s="110">
        <f t="shared" si="40"/>
        <v>75</v>
      </c>
      <c r="K154" s="182">
        <v>30</v>
      </c>
      <c r="L154" s="5" t="s">
        <v>0</v>
      </c>
      <c r="M154" s="80">
        <f t="shared" si="36"/>
        <v>1.2</v>
      </c>
      <c r="N154" s="78">
        <f t="shared" si="37"/>
        <v>90</v>
      </c>
      <c r="O154" s="111">
        <f t="shared" si="38"/>
        <v>129.44880000000001</v>
      </c>
      <c r="P154" s="125">
        <v>122625</v>
      </c>
      <c r="Q154" s="4"/>
      <c r="R154" s="49"/>
    </row>
    <row r="155" spans="1:18" x14ac:dyDescent="0.25">
      <c r="A155" s="31"/>
      <c r="B155" s="4" t="s">
        <v>41</v>
      </c>
      <c r="C155" s="5">
        <f>C145</f>
        <v>1</v>
      </c>
      <c r="D155" s="7">
        <v>0</v>
      </c>
      <c r="E155" s="3">
        <f t="shared" si="35"/>
        <v>1</v>
      </c>
      <c r="F155" s="3" t="s">
        <v>867</v>
      </c>
      <c r="G155" s="77">
        <v>48.37</v>
      </c>
      <c r="H155" s="5" t="s">
        <v>1</v>
      </c>
      <c r="I155" s="78">
        <f t="shared" si="39"/>
        <v>48.37</v>
      </c>
      <c r="J155" s="110">
        <f t="shared" si="40"/>
        <v>75</v>
      </c>
      <c r="K155" s="182">
        <v>0.25</v>
      </c>
      <c r="L155" s="5" t="s">
        <v>1</v>
      </c>
      <c r="M155" s="80">
        <f t="shared" si="36"/>
        <v>0.25</v>
      </c>
      <c r="N155" s="78">
        <f t="shared" si="37"/>
        <v>18.75</v>
      </c>
      <c r="O155" s="111">
        <f t="shared" si="38"/>
        <v>67.12</v>
      </c>
      <c r="P155" s="125">
        <v>157980</v>
      </c>
      <c r="Q155" s="4"/>
      <c r="R155" s="49"/>
    </row>
    <row r="156" spans="1:18" x14ac:dyDescent="0.25">
      <c r="A156" s="31"/>
      <c r="B156" s="4" t="s">
        <v>28</v>
      </c>
      <c r="C156" s="5">
        <f>C145*4</f>
        <v>4</v>
      </c>
      <c r="D156" s="7">
        <v>0</v>
      </c>
      <c r="E156" s="3">
        <f t="shared" si="35"/>
        <v>4</v>
      </c>
      <c r="F156" s="3" t="s">
        <v>867</v>
      </c>
      <c r="G156" s="77">
        <v>38.9</v>
      </c>
      <c r="H156" s="5" t="s">
        <v>0</v>
      </c>
      <c r="I156" s="78">
        <f t="shared" si="39"/>
        <v>1.556</v>
      </c>
      <c r="J156" s="110">
        <f t="shared" si="40"/>
        <v>75</v>
      </c>
      <c r="K156" s="182">
        <v>8</v>
      </c>
      <c r="L156" s="5" t="s">
        <v>0</v>
      </c>
      <c r="M156" s="80">
        <f t="shared" si="36"/>
        <v>0.32</v>
      </c>
      <c r="N156" s="78">
        <f t="shared" si="37"/>
        <v>24</v>
      </c>
      <c r="O156" s="111">
        <f t="shared" si="38"/>
        <v>25.556000000000001</v>
      </c>
      <c r="P156" s="125">
        <v>139626</v>
      </c>
      <c r="Q156" s="4"/>
      <c r="R156" s="49"/>
    </row>
    <row r="157" spans="1:18" ht="15.75" thickBot="1" x14ac:dyDescent="0.3">
      <c r="A157" s="31"/>
      <c r="B157" s="4"/>
      <c r="C157" s="5"/>
      <c r="D157" s="7"/>
      <c r="E157" s="3"/>
      <c r="F157" s="3"/>
      <c r="G157" s="77" t="s">
        <v>1202</v>
      </c>
      <c r="H157" s="5"/>
      <c r="I157" s="78"/>
      <c r="J157" s="4"/>
      <c r="K157" s="182"/>
      <c r="L157" s="5"/>
      <c r="M157" s="80"/>
      <c r="N157" s="78"/>
      <c r="O157" s="111"/>
      <c r="P157" s="125"/>
      <c r="Q157" s="4"/>
      <c r="R157" s="49"/>
    </row>
    <row r="158" spans="1:18" ht="15.75" thickBot="1" x14ac:dyDescent="0.3">
      <c r="A158" s="31"/>
      <c r="B158" s="120" t="s">
        <v>83</v>
      </c>
      <c r="C158" s="5"/>
      <c r="D158" s="7"/>
      <c r="E158" s="3"/>
      <c r="F158" s="3"/>
      <c r="G158" s="77" t="s">
        <v>1202</v>
      </c>
      <c r="H158" s="5"/>
      <c r="I158" s="78"/>
      <c r="J158" s="4"/>
      <c r="K158" s="182"/>
      <c r="L158" s="5"/>
      <c r="M158" s="80"/>
      <c r="N158" s="78"/>
      <c r="O158" s="111"/>
      <c r="P158" s="125"/>
      <c r="Q158" s="4"/>
      <c r="R158" s="49"/>
    </row>
    <row r="159" spans="1:18" x14ac:dyDescent="0.25">
      <c r="A159" s="31">
        <v>1</v>
      </c>
      <c r="B159" s="4" t="s">
        <v>59</v>
      </c>
      <c r="C159" s="5">
        <v>1</v>
      </c>
      <c r="D159" s="7">
        <v>0</v>
      </c>
      <c r="E159" s="3">
        <f>C159+(C159*D159)</f>
        <v>1</v>
      </c>
      <c r="F159" s="3" t="s">
        <v>867</v>
      </c>
      <c r="G159" s="77">
        <v>7500</v>
      </c>
      <c r="H159" s="5" t="s">
        <v>1</v>
      </c>
      <c r="I159" s="78">
        <f t="shared" ref="I159:I170" si="41">IF(H159="C",(G159/100)*E159,IF(H159="M",(G159/1000)*E159,G159*E159))</f>
        <v>7500</v>
      </c>
      <c r="J159" s="110">
        <f t="shared" ref="J159:J170" si="42">$O$4</f>
        <v>75</v>
      </c>
      <c r="K159" s="182">
        <v>19.600000000000001</v>
      </c>
      <c r="L159" s="5" t="s">
        <v>1</v>
      </c>
      <c r="M159" s="80">
        <f>IF(L159="C",(K159/100)*E159,IF(L159="M",(K159/1000)*E159,K159*E159))</f>
        <v>19.600000000000001</v>
      </c>
      <c r="N159" s="78">
        <f>M159*J159</f>
        <v>1470</v>
      </c>
      <c r="O159" s="111">
        <f>N159+I159</f>
        <v>8970</v>
      </c>
      <c r="P159" s="125">
        <v>152775</v>
      </c>
      <c r="Q159" s="4"/>
      <c r="R159" s="49"/>
    </row>
    <row r="160" spans="1:18" x14ac:dyDescent="0.25">
      <c r="A160" s="31"/>
      <c r="B160" s="4" t="s">
        <v>1181</v>
      </c>
      <c r="C160" s="5">
        <f>C159*4</f>
        <v>4</v>
      </c>
      <c r="D160" s="7">
        <v>0</v>
      </c>
      <c r="E160" s="3">
        <f t="shared" si="35"/>
        <v>4</v>
      </c>
      <c r="F160" s="3" t="s">
        <v>868</v>
      </c>
      <c r="G160" s="77">
        <v>762.17</v>
      </c>
      <c r="H160" s="5" t="s">
        <v>0</v>
      </c>
      <c r="I160" s="78">
        <f t="shared" si="41"/>
        <v>30.486799999999999</v>
      </c>
      <c r="J160" s="110">
        <f t="shared" si="42"/>
        <v>75</v>
      </c>
      <c r="K160" s="182">
        <v>15.8</v>
      </c>
      <c r="L160" s="5" t="s">
        <v>0</v>
      </c>
      <c r="M160" s="80">
        <f t="shared" si="36"/>
        <v>0.63200000000000001</v>
      </c>
      <c r="N160" s="78">
        <f t="shared" si="37"/>
        <v>47.4</v>
      </c>
      <c r="O160" s="111">
        <f t="shared" si="38"/>
        <v>77.886799999999994</v>
      </c>
      <c r="P160" s="125">
        <v>107778</v>
      </c>
      <c r="Q160" s="4"/>
      <c r="R160" s="49"/>
    </row>
    <row r="161" spans="1:18" x14ac:dyDescent="0.25">
      <c r="A161" s="31"/>
      <c r="B161" s="4" t="s">
        <v>1185</v>
      </c>
      <c r="C161" s="5">
        <f>C159*4</f>
        <v>4</v>
      </c>
      <c r="D161" s="7">
        <v>0</v>
      </c>
      <c r="E161" s="3">
        <f t="shared" si="35"/>
        <v>4</v>
      </c>
      <c r="F161" s="3" t="s">
        <v>868</v>
      </c>
      <c r="G161" s="77">
        <v>2351.46</v>
      </c>
      <c r="H161" s="5" t="s">
        <v>0</v>
      </c>
      <c r="I161" s="78">
        <f t="shared" si="41"/>
        <v>94.058400000000006</v>
      </c>
      <c r="J161" s="110">
        <f t="shared" si="42"/>
        <v>75</v>
      </c>
      <c r="K161" s="182">
        <v>25.5</v>
      </c>
      <c r="L161" s="5" t="s">
        <v>0</v>
      </c>
      <c r="M161" s="80">
        <f t="shared" si="36"/>
        <v>1.02</v>
      </c>
      <c r="N161" s="78">
        <f t="shared" si="37"/>
        <v>76.5</v>
      </c>
      <c r="O161" s="111">
        <f t="shared" si="38"/>
        <v>170.55840000000001</v>
      </c>
      <c r="P161" s="125">
        <v>107790</v>
      </c>
      <c r="Q161" s="4"/>
      <c r="R161" s="49"/>
    </row>
    <row r="162" spans="1:18" x14ac:dyDescent="0.25">
      <c r="A162" s="31"/>
      <c r="B162" s="4" t="s">
        <v>1187</v>
      </c>
      <c r="C162" s="5">
        <f>C159</f>
        <v>1</v>
      </c>
      <c r="D162" s="7">
        <v>0</v>
      </c>
      <c r="E162" s="3">
        <f t="shared" si="35"/>
        <v>1</v>
      </c>
      <c r="F162" s="3" t="s">
        <v>867</v>
      </c>
      <c r="G162" s="77">
        <v>6357.67</v>
      </c>
      <c r="H162" s="5" t="s">
        <v>0</v>
      </c>
      <c r="I162" s="78">
        <f t="shared" si="41"/>
        <v>63.576700000000002</v>
      </c>
      <c r="J162" s="110">
        <f t="shared" si="42"/>
        <v>75</v>
      </c>
      <c r="K162" s="182">
        <v>30</v>
      </c>
      <c r="L162" s="5" t="s">
        <v>0</v>
      </c>
      <c r="M162" s="80">
        <f t="shared" si="36"/>
        <v>0.3</v>
      </c>
      <c r="N162" s="78">
        <f t="shared" si="37"/>
        <v>22.5</v>
      </c>
      <c r="O162" s="111">
        <f t="shared" si="38"/>
        <v>86.076700000000002</v>
      </c>
      <c r="P162" s="125">
        <v>107811</v>
      </c>
      <c r="Q162" s="4"/>
      <c r="R162" s="49"/>
    </row>
    <row r="163" spans="1:18" x14ac:dyDescent="0.25">
      <c r="A163" s="31"/>
      <c r="B163" s="4" t="s">
        <v>1189</v>
      </c>
      <c r="C163" s="5">
        <f>C159</f>
        <v>1</v>
      </c>
      <c r="D163" s="7">
        <v>0</v>
      </c>
      <c r="E163" s="3">
        <f t="shared" si="35"/>
        <v>1</v>
      </c>
      <c r="F163" s="3" t="s">
        <v>867</v>
      </c>
      <c r="G163" s="77">
        <v>36458.69</v>
      </c>
      <c r="H163" s="5" t="s">
        <v>0</v>
      </c>
      <c r="I163" s="78">
        <f t="shared" si="41"/>
        <v>364.58690000000001</v>
      </c>
      <c r="J163" s="110">
        <f t="shared" si="42"/>
        <v>75</v>
      </c>
      <c r="K163" s="182">
        <v>50</v>
      </c>
      <c r="L163" s="5" t="s">
        <v>0</v>
      </c>
      <c r="M163" s="80">
        <f t="shared" si="36"/>
        <v>0.5</v>
      </c>
      <c r="N163" s="78">
        <f t="shared" si="37"/>
        <v>37.5</v>
      </c>
      <c r="O163" s="111">
        <f t="shared" si="38"/>
        <v>402.08690000000001</v>
      </c>
      <c r="P163" s="125">
        <v>107820</v>
      </c>
      <c r="Q163" s="4"/>
      <c r="R163" s="49"/>
    </row>
    <row r="164" spans="1:18" x14ac:dyDescent="0.25">
      <c r="A164" s="31"/>
      <c r="B164" s="4" t="s">
        <v>1188</v>
      </c>
      <c r="C164" s="5">
        <f>C159</f>
        <v>1</v>
      </c>
      <c r="D164" s="7">
        <v>0</v>
      </c>
      <c r="E164" s="3">
        <f t="shared" si="35"/>
        <v>1</v>
      </c>
      <c r="F164" s="3" t="s">
        <v>867</v>
      </c>
      <c r="G164" s="77">
        <v>9582.59</v>
      </c>
      <c r="H164" s="5" t="s">
        <v>0</v>
      </c>
      <c r="I164" s="78">
        <f t="shared" si="41"/>
        <v>95.825900000000004</v>
      </c>
      <c r="J164" s="110">
        <f t="shared" si="42"/>
        <v>75</v>
      </c>
      <c r="K164" s="182">
        <v>30</v>
      </c>
      <c r="L164" s="5" t="s">
        <v>0</v>
      </c>
      <c r="M164" s="80">
        <f t="shared" si="36"/>
        <v>0.3</v>
      </c>
      <c r="N164" s="78">
        <f t="shared" si="37"/>
        <v>22.5</v>
      </c>
      <c r="O164" s="111">
        <f t="shared" si="38"/>
        <v>118.3259</v>
      </c>
      <c r="P164" s="125">
        <v>107841</v>
      </c>
      <c r="Q164" s="4"/>
      <c r="R164" s="49"/>
    </row>
    <row r="165" spans="1:18" x14ac:dyDescent="0.25">
      <c r="A165" s="31"/>
      <c r="B165" s="4" t="s">
        <v>1190</v>
      </c>
      <c r="C165" s="5">
        <f>C159</f>
        <v>1</v>
      </c>
      <c r="D165" s="7">
        <v>0</v>
      </c>
      <c r="E165" s="3">
        <f t="shared" si="35"/>
        <v>1</v>
      </c>
      <c r="F165" s="3" t="s">
        <v>867</v>
      </c>
      <c r="G165" s="77">
        <v>66943.91</v>
      </c>
      <c r="H165" s="5" t="s">
        <v>0</v>
      </c>
      <c r="I165" s="78">
        <f t="shared" si="41"/>
        <v>669.43910000000005</v>
      </c>
      <c r="J165" s="110">
        <f t="shared" si="42"/>
        <v>75</v>
      </c>
      <c r="K165" s="182">
        <v>50</v>
      </c>
      <c r="L165" s="5" t="s">
        <v>0</v>
      </c>
      <c r="M165" s="80">
        <f t="shared" si="36"/>
        <v>0.5</v>
      </c>
      <c r="N165" s="78">
        <f t="shared" si="37"/>
        <v>37.5</v>
      </c>
      <c r="O165" s="111">
        <f t="shared" si="38"/>
        <v>706.93910000000005</v>
      </c>
      <c r="P165" s="125">
        <v>107850</v>
      </c>
      <c r="Q165" s="4"/>
      <c r="R165" s="49"/>
    </row>
    <row r="166" spans="1:18" x14ac:dyDescent="0.25">
      <c r="A166" s="31"/>
      <c r="B166" s="4" t="s">
        <v>55</v>
      </c>
      <c r="C166" s="5">
        <f>C159*20</f>
        <v>20</v>
      </c>
      <c r="D166" s="7">
        <v>0</v>
      </c>
      <c r="E166" s="3">
        <f t="shared" si="35"/>
        <v>20</v>
      </c>
      <c r="F166" s="3" t="s">
        <v>868</v>
      </c>
      <c r="G166" s="77">
        <v>1308.7</v>
      </c>
      <c r="H166" s="5" t="s">
        <v>26</v>
      </c>
      <c r="I166" s="78">
        <f t="shared" si="41"/>
        <v>26.173999999999999</v>
      </c>
      <c r="J166" s="110">
        <f t="shared" si="42"/>
        <v>75</v>
      </c>
      <c r="K166" s="182">
        <v>11.9</v>
      </c>
      <c r="L166" s="5" t="s">
        <v>26</v>
      </c>
      <c r="M166" s="80">
        <f t="shared" si="36"/>
        <v>0.23800000000000002</v>
      </c>
      <c r="N166" s="78">
        <f t="shared" si="37"/>
        <v>17.850000000000001</v>
      </c>
      <c r="O166" s="111">
        <f t="shared" si="38"/>
        <v>44.024000000000001</v>
      </c>
      <c r="P166" s="125">
        <v>109263</v>
      </c>
      <c r="Q166" s="4"/>
      <c r="R166" s="49"/>
    </row>
    <row r="167" spans="1:18" x14ac:dyDescent="0.25">
      <c r="A167" s="31"/>
      <c r="B167" s="4" t="s">
        <v>56</v>
      </c>
      <c r="C167" s="5">
        <f>C159*3</f>
        <v>3</v>
      </c>
      <c r="D167" s="7">
        <v>0</v>
      </c>
      <c r="E167" s="3">
        <f t="shared" si="35"/>
        <v>3</v>
      </c>
      <c r="F167" s="3" t="s">
        <v>867</v>
      </c>
      <c r="G167" s="77">
        <v>874</v>
      </c>
      <c r="H167" s="5" t="s">
        <v>0</v>
      </c>
      <c r="I167" s="78">
        <f t="shared" si="41"/>
        <v>26.22</v>
      </c>
      <c r="J167" s="110">
        <f t="shared" si="42"/>
        <v>75</v>
      </c>
      <c r="K167" s="182">
        <v>26</v>
      </c>
      <c r="L167" s="5" t="s">
        <v>0</v>
      </c>
      <c r="M167" s="80">
        <f t="shared" si="36"/>
        <v>0.78</v>
      </c>
      <c r="N167" s="78">
        <f t="shared" si="37"/>
        <v>58.5</v>
      </c>
      <c r="O167" s="111">
        <f t="shared" si="38"/>
        <v>84.72</v>
      </c>
      <c r="P167" s="125">
        <v>122619</v>
      </c>
      <c r="Q167" s="4"/>
      <c r="R167" s="49"/>
    </row>
    <row r="168" spans="1:18" x14ac:dyDescent="0.25">
      <c r="A168" s="31"/>
      <c r="B168" s="4" t="s">
        <v>57</v>
      </c>
      <c r="C168" s="5">
        <f>C159*4</f>
        <v>4</v>
      </c>
      <c r="D168" s="7">
        <v>0</v>
      </c>
      <c r="E168" s="3">
        <f t="shared" si="35"/>
        <v>4</v>
      </c>
      <c r="F168" s="3" t="s">
        <v>867</v>
      </c>
      <c r="G168" s="77">
        <v>2151.36</v>
      </c>
      <c r="H168" s="5" t="s">
        <v>0</v>
      </c>
      <c r="I168" s="78">
        <f t="shared" si="41"/>
        <v>86.054400000000001</v>
      </c>
      <c r="J168" s="110">
        <f t="shared" si="42"/>
        <v>75</v>
      </c>
      <c r="K168" s="182">
        <v>48</v>
      </c>
      <c r="L168" s="5" t="s">
        <v>0</v>
      </c>
      <c r="M168" s="80">
        <f t="shared" si="36"/>
        <v>1.92</v>
      </c>
      <c r="N168" s="78">
        <f t="shared" si="37"/>
        <v>144</v>
      </c>
      <c r="O168" s="111">
        <f t="shared" si="38"/>
        <v>230.05439999999999</v>
      </c>
      <c r="P168" s="125">
        <v>122640</v>
      </c>
      <c r="Q168" s="4"/>
      <c r="R168" s="49"/>
    </row>
    <row r="169" spans="1:18" x14ac:dyDescent="0.25">
      <c r="A169" s="31"/>
      <c r="B169" s="4" t="s">
        <v>41</v>
      </c>
      <c r="C169" s="5">
        <f>C159</f>
        <v>1</v>
      </c>
      <c r="D169" s="7">
        <v>0</v>
      </c>
      <c r="E169" s="3">
        <f t="shared" si="35"/>
        <v>1</v>
      </c>
      <c r="F169" s="3" t="s">
        <v>867</v>
      </c>
      <c r="G169" s="77">
        <v>48.37</v>
      </c>
      <c r="H169" s="5" t="s">
        <v>1</v>
      </c>
      <c r="I169" s="78">
        <f t="shared" si="41"/>
        <v>48.37</v>
      </c>
      <c r="J169" s="110">
        <f t="shared" si="42"/>
        <v>75</v>
      </c>
      <c r="K169" s="182">
        <v>0.25</v>
      </c>
      <c r="L169" s="5" t="s">
        <v>1</v>
      </c>
      <c r="M169" s="80">
        <f t="shared" si="36"/>
        <v>0.25</v>
      </c>
      <c r="N169" s="78">
        <f t="shared" si="37"/>
        <v>18.75</v>
      </c>
      <c r="O169" s="111">
        <f t="shared" si="38"/>
        <v>67.12</v>
      </c>
      <c r="P169" s="125">
        <v>157980</v>
      </c>
      <c r="Q169" s="4"/>
      <c r="R169" s="49"/>
    </row>
    <row r="170" spans="1:18" x14ac:dyDescent="0.25">
      <c r="A170" s="31"/>
      <c r="B170" s="4" t="s">
        <v>58</v>
      </c>
      <c r="C170" s="5">
        <f>C159*4</f>
        <v>4</v>
      </c>
      <c r="D170" s="7">
        <v>0</v>
      </c>
      <c r="E170" s="3">
        <f t="shared" si="35"/>
        <v>4</v>
      </c>
      <c r="F170" s="3" t="s">
        <v>867</v>
      </c>
      <c r="G170" s="77">
        <v>98.72</v>
      </c>
      <c r="H170" s="5" t="s">
        <v>0</v>
      </c>
      <c r="I170" s="78">
        <f t="shared" si="41"/>
        <v>3.9487999999999999</v>
      </c>
      <c r="J170" s="110">
        <f t="shared" si="42"/>
        <v>75</v>
      </c>
      <c r="K170" s="182">
        <v>12</v>
      </c>
      <c r="L170" s="5" t="s">
        <v>0</v>
      </c>
      <c r="M170" s="80">
        <f t="shared" si="36"/>
        <v>0.48</v>
      </c>
      <c r="N170" s="78">
        <f t="shared" si="37"/>
        <v>36</v>
      </c>
      <c r="O170" s="111">
        <f t="shared" si="38"/>
        <v>39.948799999999999</v>
      </c>
      <c r="P170" s="125">
        <v>139629</v>
      </c>
      <c r="Q170" s="4"/>
      <c r="R170" s="49"/>
    </row>
    <row r="171" spans="1:18" ht="15.75" thickBot="1" x14ac:dyDescent="0.3">
      <c r="A171" s="31"/>
      <c r="B171" s="4"/>
      <c r="C171" s="5"/>
      <c r="D171" s="7"/>
      <c r="E171" s="3"/>
      <c r="F171" s="3"/>
      <c r="G171" s="77" t="s">
        <v>1202</v>
      </c>
      <c r="H171" s="5"/>
      <c r="I171" s="78"/>
      <c r="J171" s="4"/>
      <c r="K171" s="182"/>
      <c r="L171" s="5"/>
      <c r="M171" s="80"/>
      <c r="N171" s="78"/>
      <c r="O171" s="111"/>
      <c r="P171" s="125"/>
      <c r="Q171" s="4"/>
      <c r="R171" s="49"/>
    </row>
    <row r="172" spans="1:18" ht="15.75" thickBot="1" x14ac:dyDescent="0.3">
      <c r="A172" s="31"/>
      <c r="B172" s="120" t="s">
        <v>84</v>
      </c>
      <c r="C172" s="5"/>
      <c r="D172" s="7"/>
      <c r="E172" s="3"/>
      <c r="F172" s="3"/>
      <c r="G172" s="77" t="s">
        <v>1202</v>
      </c>
      <c r="H172" s="5"/>
      <c r="I172" s="78"/>
      <c r="J172" s="4"/>
      <c r="K172" s="182"/>
      <c r="L172" s="5"/>
      <c r="M172" s="80"/>
      <c r="N172" s="78"/>
      <c r="O172" s="111"/>
      <c r="P172" s="125"/>
      <c r="Q172" s="4"/>
      <c r="R172" s="49"/>
    </row>
    <row r="173" spans="1:18" x14ac:dyDescent="0.25">
      <c r="A173" s="31">
        <v>1</v>
      </c>
      <c r="B173" s="4" t="s">
        <v>61</v>
      </c>
      <c r="C173" s="5">
        <v>1</v>
      </c>
      <c r="D173" s="7">
        <v>0</v>
      </c>
      <c r="E173" s="3">
        <f>C173+(C173*D173)</f>
        <v>1</v>
      </c>
      <c r="F173" s="3" t="s">
        <v>867</v>
      </c>
      <c r="G173" s="77">
        <v>8800</v>
      </c>
      <c r="H173" s="5" t="s">
        <v>1</v>
      </c>
      <c r="I173" s="78">
        <f t="shared" ref="I173:I184" si="43">IF(H173="C",(G173/100)*E173,IF(H173="M",(G173/1000)*E173,G173*E173))</f>
        <v>8800</v>
      </c>
      <c r="J173" s="110">
        <f t="shared" ref="J173:J184" si="44">$O$4</f>
        <v>75</v>
      </c>
      <c r="K173" s="182">
        <v>22</v>
      </c>
      <c r="L173" s="5" t="s">
        <v>1</v>
      </c>
      <c r="M173" s="80">
        <f>IF(L173="C",(K173/100)*E173,IF(L173="M",(K173/1000)*E173,K173*E173))</f>
        <v>22</v>
      </c>
      <c r="N173" s="78">
        <f>M173*J173</f>
        <v>1650</v>
      </c>
      <c r="O173" s="111">
        <f>N173+I173</f>
        <v>10450</v>
      </c>
      <c r="P173" s="125">
        <v>152778</v>
      </c>
      <c r="Q173" s="4"/>
      <c r="R173" s="49"/>
    </row>
    <row r="174" spans="1:18" x14ac:dyDescent="0.25">
      <c r="A174" s="31"/>
      <c r="B174" s="4" t="s">
        <v>1181</v>
      </c>
      <c r="C174" s="5">
        <f>C173*4</f>
        <v>4</v>
      </c>
      <c r="D174" s="7">
        <v>0</v>
      </c>
      <c r="E174" s="3">
        <f t="shared" si="35"/>
        <v>4</v>
      </c>
      <c r="F174" s="3" t="s">
        <v>868</v>
      </c>
      <c r="G174" s="77">
        <v>762.17</v>
      </c>
      <c r="H174" s="5" t="s">
        <v>0</v>
      </c>
      <c r="I174" s="78">
        <f t="shared" si="43"/>
        <v>30.486799999999999</v>
      </c>
      <c r="J174" s="110">
        <f t="shared" si="44"/>
        <v>75</v>
      </c>
      <c r="K174" s="182">
        <v>15.8</v>
      </c>
      <c r="L174" s="5" t="s">
        <v>0</v>
      </c>
      <c r="M174" s="80">
        <f t="shared" si="36"/>
        <v>0.63200000000000001</v>
      </c>
      <c r="N174" s="78">
        <f t="shared" si="37"/>
        <v>47.4</v>
      </c>
      <c r="O174" s="111">
        <f t="shared" si="38"/>
        <v>77.886799999999994</v>
      </c>
      <c r="P174" s="125">
        <v>107778</v>
      </c>
      <c r="Q174" s="4"/>
      <c r="R174" s="49"/>
    </row>
    <row r="175" spans="1:18" x14ac:dyDescent="0.25">
      <c r="A175" s="31"/>
      <c r="B175" s="4" t="s">
        <v>1185</v>
      </c>
      <c r="C175" s="5">
        <f>C173*4</f>
        <v>4</v>
      </c>
      <c r="D175" s="7">
        <v>0</v>
      </c>
      <c r="E175" s="3">
        <f t="shared" si="35"/>
        <v>4</v>
      </c>
      <c r="F175" s="3" t="s">
        <v>868</v>
      </c>
      <c r="G175" s="77">
        <v>2351.46</v>
      </c>
      <c r="H175" s="5" t="s">
        <v>0</v>
      </c>
      <c r="I175" s="78">
        <f t="shared" si="43"/>
        <v>94.058400000000006</v>
      </c>
      <c r="J175" s="110">
        <f t="shared" si="44"/>
        <v>75</v>
      </c>
      <c r="K175" s="182">
        <v>25.5</v>
      </c>
      <c r="L175" s="5" t="s">
        <v>0</v>
      </c>
      <c r="M175" s="80">
        <f t="shared" si="36"/>
        <v>1.02</v>
      </c>
      <c r="N175" s="78">
        <f t="shared" si="37"/>
        <v>76.5</v>
      </c>
      <c r="O175" s="111">
        <f t="shared" si="38"/>
        <v>170.55840000000001</v>
      </c>
      <c r="P175" s="125">
        <v>107790</v>
      </c>
      <c r="Q175" s="4"/>
      <c r="R175" s="49"/>
    </row>
    <row r="176" spans="1:18" x14ac:dyDescent="0.25">
      <c r="A176" s="31"/>
      <c r="B176" s="4" t="s">
        <v>1187</v>
      </c>
      <c r="C176" s="5">
        <f>C173</f>
        <v>1</v>
      </c>
      <c r="D176" s="7">
        <v>0</v>
      </c>
      <c r="E176" s="3">
        <f t="shared" si="35"/>
        <v>1</v>
      </c>
      <c r="F176" s="3" t="s">
        <v>867</v>
      </c>
      <c r="G176" s="77">
        <v>6357.67</v>
      </c>
      <c r="H176" s="5" t="s">
        <v>0</v>
      </c>
      <c r="I176" s="78">
        <f t="shared" si="43"/>
        <v>63.576700000000002</v>
      </c>
      <c r="J176" s="110">
        <f t="shared" si="44"/>
        <v>75</v>
      </c>
      <c r="K176" s="182">
        <v>30</v>
      </c>
      <c r="L176" s="5" t="s">
        <v>0</v>
      </c>
      <c r="M176" s="80">
        <f t="shared" si="36"/>
        <v>0.3</v>
      </c>
      <c r="N176" s="78">
        <f t="shared" si="37"/>
        <v>22.5</v>
      </c>
      <c r="O176" s="111">
        <f t="shared" si="38"/>
        <v>86.076700000000002</v>
      </c>
      <c r="P176" s="125">
        <v>107811</v>
      </c>
      <c r="Q176" s="4"/>
      <c r="R176" s="49"/>
    </row>
    <row r="177" spans="1:18" x14ac:dyDescent="0.25">
      <c r="A177" s="31"/>
      <c r="B177" s="4" t="s">
        <v>1189</v>
      </c>
      <c r="C177" s="5">
        <f>C173</f>
        <v>1</v>
      </c>
      <c r="D177" s="7">
        <v>0</v>
      </c>
      <c r="E177" s="3">
        <f t="shared" si="35"/>
        <v>1</v>
      </c>
      <c r="F177" s="3" t="s">
        <v>867</v>
      </c>
      <c r="G177" s="77">
        <v>36458.69</v>
      </c>
      <c r="H177" s="5" t="s">
        <v>0</v>
      </c>
      <c r="I177" s="78">
        <f t="shared" si="43"/>
        <v>364.58690000000001</v>
      </c>
      <c r="J177" s="110">
        <f t="shared" si="44"/>
        <v>75</v>
      </c>
      <c r="K177" s="182">
        <v>50</v>
      </c>
      <c r="L177" s="5" t="s">
        <v>0</v>
      </c>
      <c r="M177" s="80">
        <f t="shared" si="36"/>
        <v>0.5</v>
      </c>
      <c r="N177" s="78">
        <f t="shared" si="37"/>
        <v>37.5</v>
      </c>
      <c r="O177" s="111">
        <f t="shared" si="38"/>
        <v>402.08690000000001</v>
      </c>
      <c r="P177" s="125">
        <v>107820</v>
      </c>
      <c r="Q177" s="4"/>
      <c r="R177" s="49"/>
    </row>
    <row r="178" spans="1:18" x14ac:dyDescent="0.25">
      <c r="A178" s="31"/>
      <c r="B178" s="4" t="s">
        <v>1188</v>
      </c>
      <c r="C178" s="5">
        <f>C173</f>
        <v>1</v>
      </c>
      <c r="D178" s="7">
        <v>0</v>
      </c>
      <c r="E178" s="3">
        <f t="shared" si="35"/>
        <v>1</v>
      </c>
      <c r="F178" s="3" t="s">
        <v>867</v>
      </c>
      <c r="G178" s="77">
        <v>9582.59</v>
      </c>
      <c r="H178" s="5" t="s">
        <v>0</v>
      </c>
      <c r="I178" s="78">
        <f t="shared" si="43"/>
        <v>95.825900000000004</v>
      </c>
      <c r="J178" s="110">
        <f t="shared" si="44"/>
        <v>75</v>
      </c>
      <c r="K178" s="182">
        <v>30</v>
      </c>
      <c r="L178" s="5" t="s">
        <v>0</v>
      </c>
      <c r="M178" s="80">
        <f t="shared" si="36"/>
        <v>0.3</v>
      </c>
      <c r="N178" s="78">
        <f t="shared" si="37"/>
        <v>22.5</v>
      </c>
      <c r="O178" s="111">
        <f t="shared" si="38"/>
        <v>118.3259</v>
      </c>
      <c r="P178" s="125">
        <v>107841</v>
      </c>
      <c r="Q178" s="4"/>
      <c r="R178" s="49"/>
    </row>
    <row r="179" spans="1:18" x14ac:dyDescent="0.25">
      <c r="A179" s="31"/>
      <c r="B179" s="4" t="s">
        <v>1190</v>
      </c>
      <c r="C179" s="5">
        <f>C173</f>
        <v>1</v>
      </c>
      <c r="D179" s="7">
        <v>0</v>
      </c>
      <c r="E179" s="3">
        <f t="shared" si="35"/>
        <v>1</v>
      </c>
      <c r="F179" s="3" t="s">
        <v>867</v>
      </c>
      <c r="G179" s="77">
        <v>66943.91</v>
      </c>
      <c r="H179" s="5" t="s">
        <v>0</v>
      </c>
      <c r="I179" s="78">
        <f t="shared" si="43"/>
        <v>669.43910000000005</v>
      </c>
      <c r="J179" s="110">
        <f t="shared" si="44"/>
        <v>75</v>
      </c>
      <c r="K179" s="182">
        <v>50</v>
      </c>
      <c r="L179" s="5" t="s">
        <v>0</v>
      </c>
      <c r="M179" s="80">
        <f t="shared" si="36"/>
        <v>0.5</v>
      </c>
      <c r="N179" s="78">
        <f t="shared" si="37"/>
        <v>37.5</v>
      </c>
      <c r="O179" s="111">
        <f t="shared" si="38"/>
        <v>706.93910000000005</v>
      </c>
      <c r="P179" s="125">
        <v>107850</v>
      </c>
      <c r="Q179" s="4"/>
      <c r="R179" s="49"/>
    </row>
    <row r="180" spans="1:18" x14ac:dyDescent="0.25">
      <c r="A180" s="31"/>
      <c r="B180" s="4" t="s">
        <v>55</v>
      </c>
      <c r="C180" s="5">
        <f>C173*20</f>
        <v>20</v>
      </c>
      <c r="D180" s="7">
        <v>0</v>
      </c>
      <c r="E180" s="3">
        <f t="shared" si="35"/>
        <v>20</v>
      </c>
      <c r="F180" s="3" t="s">
        <v>868</v>
      </c>
      <c r="G180" s="77">
        <v>1308.7</v>
      </c>
      <c r="H180" s="5" t="s">
        <v>26</v>
      </c>
      <c r="I180" s="78">
        <f t="shared" si="43"/>
        <v>26.173999999999999</v>
      </c>
      <c r="J180" s="110">
        <f t="shared" si="44"/>
        <v>75</v>
      </c>
      <c r="K180" s="182">
        <v>11.9</v>
      </c>
      <c r="L180" s="5" t="s">
        <v>26</v>
      </c>
      <c r="M180" s="80">
        <f t="shared" si="36"/>
        <v>0.23800000000000002</v>
      </c>
      <c r="N180" s="78">
        <f t="shared" si="37"/>
        <v>17.850000000000001</v>
      </c>
      <c r="O180" s="111">
        <f t="shared" si="38"/>
        <v>44.024000000000001</v>
      </c>
      <c r="P180" s="125">
        <v>109263</v>
      </c>
      <c r="Q180" s="4"/>
      <c r="R180" s="49"/>
    </row>
    <row r="181" spans="1:18" x14ac:dyDescent="0.25">
      <c r="A181" s="31"/>
      <c r="B181" s="4" t="s">
        <v>51</v>
      </c>
      <c r="C181" s="5">
        <f>C173*3</f>
        <v>3</v>
      </c>
      <c r="D181" s="7">
        <v>0</v>
      </c>
      <c r="E181" s="3">
        <f t="shared" si="35"/>
        <v>3</v>
      </c>
      <c r="F181" s="3" t="s">
        <v>867</v>
      </c>
      <c r="G181" s="77">
        <v>986.22</v>
      </c>
      <c r="H181" s="5" t="s">
        <v>0</v>
      </c>
      <c r="I181" s="78">
        <f t="shared" si="43"/>
        <v>29.586599999999997</v>
      </c>
      <c r="J181" s="110">
        <f t="shared" si="44"/>
        <v>75</v>
      </c>
      <c r="K181" s="182">
        <v>30</v>
      </c>
      <c r="L181" s="5" t="s">
        <v>0</v>
      </c>
      <c r="M181" s="80">
        <f t="shared" si="36"/>
        <v>0.89999999999999991</v>
      </c>
      <c r="N181" s="78">
        <f t="shared" si="37"/>
        <v>67.5</v>
      </c>
      <c r="O181" s="111">
        <f t="shared" si="38"/>
        <v>97.086600000000004</v>
      </c>
      <c r="P181" s="125">
        <v>122625</v>
      </c>
      <c r="Q181" s="4"/>
      <c r="R181" s="49"/>
    </row>
    <row r="182" spans="1:18" x14ac:dyDescent="0.25">
      <c r="A182" s="31"/>
      <c r="B182" s="4" t="s">
        <v>57</v>
      </c>
      <c r="C182" s="5">
        <f>C173*4</f>
        <v>4</v>
      </c>
      <c r="D182" s="7">
        <v>0</v>
      </c>
      <c r="E182" s="3">
        <f t="shared" si="35"/>
        <v>4</v>
      </c>
      <c r="F182" s="3" t="s">
        <v>867</v>
      </c>
      <c r="G182" s="77">
        <v>2151.36</v>
      </c>
      <c r="H182" s="5" t="s">
        <v>0</v>
      </c>
      <c r="I182" s="78">
        <f t="shared" si="43"/>
        <v>86.054400000000001</v>
      </c>
      <c r="J182" s="110">
        <f t="shared" si="44"/>
        <v>75</v>
      </c>
      <c r="K182" s="182">
        <v>48</v>
      </c>
      <c r="L182" s="5" t="s">
        <v>0</v>
      </c>
      <c r="M182" s="80">
        <f t="shared" si="36"/>
        <v>1.92</v>
      </c>
      <c r="N182" s="78">
        <f t="shared" si="37"/>
        <v>144</v>
      </c>
      <c r="O182" s="111">
        <f t="shared" si="38"/>
        <v>230.05439999999999</v>
      </c>
      <c r="P182" s="125">
        <v>122640</v>
      </c>
      <c r="Q182" s="4"/>
      <c r="R182" s="49"/>
    </row>
    <row r="183" spans="1:18" x14ac:dyDescent="0.25">
      <c r="A183" s="31"/>
      <c r="B183" s="4" t="s">
        <v>41</v>
      </c>
      <c r="C183" s="5">
        <f>C173</f>
        <v>1</v>
      </c>
      <c r="D183" s="7">
        <v>0</v>
      </c>
      <c r="E183" s="3">
        <f t="shared" si="35"/>
        <v>1</v>
      </c>
      <c r="F183" s="3" t="s">
        <v>867</v>
      </c>
      <c r="G183" s="77">
        <v>48.37</v>
      </c>
      <c r="H183" s="5" t="s">
        <v>1</v>
      </c>
      <c r="I183" s="78">
        <f t="shared" si="43"/>
        <v>48.37</v>
      </c>
      <c r="J183" s="110">
        <f t="shared" si="44"/>
        <v>75</v>
      </c>
      <c r="K183" s="182">
        <v>0.25</v>
      </c>
      <c r="L183" s="5" t="s">
        <v>1</v>
      </c>
      <c r="M183" s="80">
        <f t="shared" si="36"/>
        <v>0.25</v>
      </c>
      <c r="N183" s="78">
        <f t="shared" si="37"/>
        <v>18.75</v>
      </c>
      <c r="O183" s="111">
        <f t="shared" si="38"/>
        <v>67.12</v>
      </c>
      <c r="P183" s="125">
        <v>157980</v>
      </c>
      <c r="Q183" s="4"/>
      <c r="R183" s="49"/>
    </row>
    <row r="184" spans="1:18" x14ac:dyDescent="0.25">
      <c r="A184" s="31"/>
      <c r="B184" s="4" t="s">
        <v>58</v>
      </c>
      <c r="C184" s="5">
        <f>C173*4</f>
        <v>4</v>
      </c>
      <c r="D184" s="7">
        <v>0</v>
      </c>
      <c r="E184" s="3">
        <f t="shared" si="35"/>
        <v>4</v>
      </c>
      <c r="F184" s="3" t="s">
        <v>867</v>
      </c>
      <c r="G184" s="77">
        <v>98.72</v>
      </c>
      <c r="H184" s="5" t="s">
        <v>0</v>
      </c>
      <c r="I184" s="78">
        <f t="shared" si="43"/>
        <v>3.9487999999999999</v>
      </c>
      <c r="J184" s="110">
        <f t="shared" si="44"/>
        <v>75</v>
      </c>
      <c r="K184" s="182">
        <v>12</v>
      </c>
      <c r="L184" s="5" t="s">
        <v>0</v>
      </c>
      <c r="M184" s="80">
        <f t="shared" si="36"/>
        <v>0.48</v>
      </c>
      <c r="N184" s="78">
        <f t="shared" si="37"/>
        <v>36</v>
      </c>
      <c r="O184" s="111">
        <f t="shared" si="38"/>
        <v>39.948799999999999</v>
      </c>
      <c r="P184" s="125">
        <v>139629</v>
      </c>
      <c r="Q184" s="4"/>
      <c r="R184" s="49"/>
    </row>
    <row r="185" spans="1:18" ht="15.75" thickBot="1" x14ac:dyDescent="0.3">
      <c r="A185" s="31"/>
      <c r="B185" s="4"/>
      <c r="C185" s="5"/>
      <c r="D185" s="7"/>
      <c r="E185" s="3"/>
      <c r="F185" s="3"/>
      <c r="G185" s="77" t="s">
        <v>1202</v>
      </c>
      <c r="H185" s="5"/>
      <c r="I185" s="78"/>
      <c r="J185" s="4"/>
      <c r="K185" s="182"/>
      <c r="L185" s="5"/>
      <c r="M185" s="80"/>
      <c r="N185" s="78"/>
      <c r="O185" s="111"/>
      <c r="P185" s="125"/>
      <c r="Q185" s="4"/>
      <c r="R185" s="49"/>
    </row>
    <row r="186" spans="1:18" ht="15.75" thickBot="1" x14ac:dyDescent="0.3">
      <c r="A186" s="31"/>
      <c r="B186" s="120" t="s">
        <v>85</v>
      </c>
      <c r="C186" s="5"/>
      <c r="D186" s="7"/>
      <c r="E186" s="3"/>
      <c r="F186" s="3"/>
      <c r="G186" s="77" t="s">
        <v>1202</v>
      </c>
      <c r="H186" s="5"/>
      <c r="I186" s="78"/>
      <c r="J186" s="4"/>
      <c r="K186" s="182"/>
      <c r="L186" s="5"/>
      <c r="M186" s="80"/>
      <c r="N186" s="78"/>
      <c r="O186" s="111"/>
      <c r="P186" s="125"/>
      <c r="Q186" s="4"/>
      <c r="R186" s="49"/>
    </row>
    <row r="187" spans="1:18" x14ac:dyDescent="0.25">
      <c r="A187" s="31">
        <v>1</v>
      </c>
      <c r="B187" s="4" t="s">
        <v>66</v>
      </c>
      <c r="C187" s="5">
        <v>1</v>
      </c>
      <c r="D187" s="7">
        <v>0</v>
      </c>
      <c r="E187" s="3">
        <f>C187+(C187*D187)</f>
        <v>1</v>
      </c>
      <c r="F187" s="3" t="s">
        <v>867</v>
      </c>
      <c r="G187" s="77">
        <v>11700</v>
      </c>
      <c r="H187" s="5" t="s">
        <v>1</v>
      </c>
      <c r="I187" s="78">
        <f t="shared" ref="I187:I197" si="45">IF(H187="C",(G187/100)*E187,IF(H187="M",(G187/1000)*E187,G187*E187))</f>
        <v>11700</v>
      </c>
      <c r="J187" s="110">
        <f t="shared" ref="J187:J197" si="46">$O$4</f>
        <v>75</v>
      </c>
      <c r="K187" s="182">
        <v>27.5</v>
      </c>
      <c r="L187" s="5" t="s">
        <v>1</v>
      </c>
      <c r="M187" s="80">
        <f>IF(L187="C",(K187/100)*E187,IF(L187="M",(K187/1000)*E187,K187*E187))</f>
        <v>27.5</v>
      </c>
      <c r="N187" s="78">
        <f>M187*J187</f>
        <v>2062.5</v>
      </c>
      <c r="O187" s="111">
        <f>N187+I187</f>
        <v>13762.5</v>
      </c>
      <c r="P187" s="125">
        <v>152781</v>
      </c>
      <c r="Q187" s="4"/>
      <c r="R187" s="49"/>
    </row>
    <row r="188" spans="1:18" x14ac:dyDescent="0.25">
      <c r="A188" s="31"/>
      <c r="B188" s="4" t="s">
        <v>80</v>
      </c>
      <c r="C188" s="5">
        <f>C187*4</f>
        <v>4</v>
      </c>
      <c r="D188" s="7">
        <v>0</v>
      </c>
      <c r="E188" s="3">
        <f t="shared" si="35"/>
        <v>4</v>
      </c>
      <c r="F188" s="3" t="s">
        <v>868</v>
      </c>
      <c r="G188" s="77">
        <v>1202.3900000000001</v>
      </c>
      <c r="H188" s="5" t="s">
        <v>0</v>
      </c>
      <c r="I188" s="78">
        <f t="shared" si="45"/>
        <v>48.095600000000005</v>
      </c>
      <c r="J188" s="110">
        <f t="shared" si="46"/>
        <v>75</v>
      </c>
      <c r="K188" s="182">
        <v>17.8</v>
      </c>
      <c r="L188" s="5" t="s">
        <v>0</v>
      </c>
      <c r="M188" s="80">
        <f t="shared" si="36"/>
        <v>0.71200000000000008</v>
      </c>
      <c r="N188" s="78">
        <f t="shared" si="37"/>
        <v>53.400000000000006</v>
      </c>
      <c r="O188" s="111">
        <f t="shared" si="38"/>
        <v>101.49560000000001</v>
      </c>
      <c r="P188" s="125">
        <v>107781</v>
      </c>
      <c r="Q188" s="4"/>
      <c r="R188" s="49"/>
    </row>
    <row r="189" spans="1:18" x14ac:dyDescent="0.25">
      <c r="A189" s="31"/>
      <c r="B189" s="4" t="s">
        <v>1183</v>
      </c>
      <c r="C189" s="5">
        <f>C187*8</f>
        <v>8</v>
      </c>
      <c r="D189" s="7">
        <v>0</v>
      </c>
      <c r="E189" s="3">
        <f t="shared" si="35"/>
        <v>8</v>
      </c>
      <c r="F189" s="3" t="s">
        <v>868</v>
      </c>
      <c r="G189" s="77">
        <v>1481.48</v>
      </c>
      <c r="H189" s="5" t="s">
        <v>0</v>
      </c>
      <c r="I189" s="78">
        <f t="shared" si="45"/>
        <v>118.5184</v>
      </c>
      <c r="J189" s="110">
        <f t="shared" si="46"/>
        <v>75</v>
      </c>
      <c r="K189" s="182">
        <v>20.5</v>
      </c>
      <c r="L189" s="5" t="s">
        <v>0</v>
      </c>
      <c r="M189" s="80">
        <f t="shared" si="36"/>
        <v>1.64</v>
      </c>
      <c r="N189" s="78">
        <f t="shared" si="37"/>
        <v>122.99999999999999</v>
      </c>
      <c r="O189" s="111">
        <f t="shared" si="38"/>
        <v>241.51839999999999</v>
      </c>
      <c r="P189" s="125">
        <v>107784</v>
      </c>
      <c r="Q189" s="4"/>
      <c r="R189" s="49"/>
    </row>
    <row r="190" spans="1:18" x14ac:dyDescent="0.25">
      <c r="A190" s="31"/>
      <c r="B190" s="4" t="s">
        <v>81</v>
      </c>
      <c r="C190" s="5">
        <f>C187</f>
        <v>1</v>
      </c>
      <c r="D190" s="7">
        <v>0</v>
      </c>
      <c r="E190" s="3">
        <f t="shared" si="35"/>
        <v>1</v>
      </c>
      <c r="F190" s="3" t="s">
        <v>867</v>
      </c>
      <c r="G190" s="77">
        <v>26128.07</v>
      </c>
      <c r="H190" s="5" t="s">
        <v>0</v>
      </c>
      <c r="I190" s="78">
        <f t="shared" si="45"/>
        <v>261.28070000000002</v>
      </c>
      <c r="J190" s="110">
        <f t="shared" si="46"/>
        <v>75</v>
      </c>
      <c r="K190" s="182">
        <v>32</v>
      </c>
      <c r="L190" s="5" t="s">
        <v>0</v>
      </c>
      <c r="M190" s="80">
        <f t="shared" si="36"/>
        <v>0.32</v>
      </c>
      <c r="N190" s="78">
        <f t="shared" si="37"/>
        <v>24</v>
      </c>
      <c r="O190" s="111">
        <f t="shared" si="38"/>
        <v>285.28070000000002</v>
      </c>
      <c r="P190" s="125">
        <v>107814</v>
      </c>
      <c r="Q190" s="4"/>
      <c r="R190" s="49"/>
    </row>
    <row r="191" spans="1:18" x14ac:dyDescent="0.25">
      <c r="A191" s="31"/>
      <c r="B191" s="4" t="s">
        <v>1191</v>
      </c>
      <c r="C191" s="5">
        <f>C187*2</f>
        <v>2</v>
      </c>
      <c r="D191" s="7">
        <v>0</v>
      </c>
      <c r="E191" s="3">
        <f t="shared" si="35"/>
        <v>2</v>
      </c>
      <c r="F191" s="3" t="s">
        <v>867</v>
      </c>
      <c r="G191" s="77">
        <v>31362.93</v>
      </c>
      <c r="H191" s="5" t="s">
        <v>0</v>
      </c>
      <c r="I191" s="78">
        <f t="shared" si="45"/>
        <v>627.2586</v>
      </c>
      <c r="J191" s="110">
        <f t="shared" si="46"/>
        <v>75</v>
      </c>
      <c r="K191" s="182">
        <v>35</v>
      </c>
      <c r="L191" s="5" t="s">
        <v>0</v>
      </c>
      <c r="M191" s="80">
        <f t="shared" si="36"/>
        <v>0.7</v>
      </c>
      <c r="N191" s="78">
        <f t="shared" si="37"/>
        <v>52.5</v>
      </c>
      <c r="O191" s="111">
        <f t="shared" si="38"/>
        <v>679.7586</v>
      </c>
      <c r="P191" s="125">
        <v>107817</v>
      </c>
      <c r="Q191" s="4"/>
      <c r="R191" s="49"/>
    </row>
    <row r="192" spans="1:18" x14ac:dyDescent="0.25">
      <c r="A192" s="31"/>
      <c r="B192" s="4" t="s">
        <v>82</v>
      </c>
      <c r="C192" s="5">
        <f>C187</f>
        <v>1</v>
      </c>
      <c r="D192" s="7">
        <v>0</v>
      </c>
      <c r="E192" s="3">
        <f t="shared" si="35"/>
        <v>1</v>
      </c>
      <c r="F192" s="3" t="s">
        <v>867</v>
      </c>
      <c r="G192" s="77">
        <v>34631.5</v>
      </c>
      <c r="H192" s="5" t="s">
        <v>0</v>
      </c>
      <c r="I192" s="78">
        <f t="shared" si="45"/>
        <v>346.315</v>
      </c>
      <c r="J192" s="110">
        <f t="shared" si="46"/>
        <v>75</v>
      </c>
      <c r="K192" s="182">
        <v>32</v>
      </c>
      <c r="L192" s="5" t="s">
        <v>0</v>
      </c>
      <c r="M192" s="80">
        <f t="shared" si="36"/>
        <v>0.32</v>
      </c>
      <c r="N192" s="78">
        <f t="shared" si="37"/>
        <v>24</v>
      </c>
      <c r="O192" s="111">
        <f t="shared" si="38"/>
        <v>370.315</v>
      </c>
      <c r="P192" s="125">
        <v>107844</v>
      </c>
      <c r="Q192" s="4"/>
      <c r="R192" s="49"/>
    </row>
    <row r="193" spans="1:18" x14ac:dyDescent="0.25">
      <c r="A193" s="31"/>
      <c r="B193" s="4" t="s">
        <v>1192</v>
      </c>
      <c r="C193" s="5">
        <f>C187*2</f>
        <v>2</v>
      </c>
      <c r="D193" s="7">
        <v>0</v>
      </c>
      <c r="E193" s="3">
        <f t="shared" si="35"/>
        <v>2</v>
      </c>
      <c r="F193" s="3" t="s">
        <v>867</v>
      </c>
      <c r="G193" s="77">
        <v>41681.760000000002</v>
      </c>
      <c r="H193" s="5" t="s">
        <v>0</v>
      </c>
      <c r="I193" s="78">
        <f t="shared" si="45"/>
        <v>833.63520000000005</v>
      </c>
      <c r="J193" s="110">
        <f t="shared" si="46"/>
        <v>75</v>
      </c>
      <c r="K193" s="182">
        <v>35</v>
      </c>
      <c r="L193" s="5" t="s">
        <v>0</v>
      </c>
      <c r="M193" s="80">
        <f t="shared" si="36"/>
        <v>0.7</v>
      </c>
      <c r="N193" s="78">
        <f t="shared" si="37"/>
        <v>52.5</v>
      </c>
      <c r="O193" s="111">
        <f t="shared" si="38"/>
        <v>886.13520000000005</v>
      </c>
      <c r="P193" s="125">
        <v>107847</v>
      </c>
      <c r="Q193" s="4"/>
      <c r="R193" s="49"/>
    </row>
    <row r="194" spans="1:18" x14ac:dyDescent="0.25">
      <c r="A194" s="31"/>
      <c r="B194" s="4" t="s">
        <v>63</v>
      </c>
      <c r="C194" s="5">
        <f>C187*20</f>
        <v>20</v>
      </c>
      <c r="D194" s="7">
        <v>0</v>
      </c>
      <c r="E194" s="3">
        <f t="shared" si="35"/>
        <v>20</v>
      </c>
      <c r="F194" s="3" t="s">
        <v>868</v>
      </c>
      <c r="G194" s="77">
        <v>2045.5</v>
      </c>
      <c r="H194" s="5" t="s">
        <v>26</v>
      </c>
      <c r="I194" s="78">
        <f t="shared" si="45"/>
        <v>40.910000000000004</v>
      </c>
      <c r="J194" s="110">
        <f t="shared" si="46"/>
        <v>75</v>
      </c>
      <c r="K194" s="182">
        <v>14</v>
      </c>
      <c r="L194" s="5" t="s">
        <v>26</v>
      </c>
      <c r="M194" s="80">
        <f t="shared" si="36"/>
        <v>0.28000000000000003</v>
      </c>
      <c r="N194" s="78">
        <f t="shared" si="37"/>
        <v>21.000000000000004</v>
      </c>
      <c r="O194" s="111">
        <f t="shared" si="38"/>
        <v>61.910000000000011</v>
      </c>
      <c r="P194" s="125">
        <v>109269</v>
      </c>
      <c r="Q194" s="4"/>
      <c r="R194" s="49"/>
    </row>
    <row r="195" spans="1:18" x14ac:dyDescent="0.25">
      <c r="A195" s="31"/>
      <c r="B195" s="4" t="s">
        <v>64</v>
      </c>
      <c r="C195" s="5">
        <f>C187*11</f>
        <v>11</v>
      </c>
      <c r="D195" s="7">
        <v>0</v>
      </c>
      <c r="E195" s="3">
        <f t="shared" si="35"/>
        <v>11</v>
      </c>
      <c r="F195" s="3" t="s">
        <v>867</v>
      </c>
      <c r="G195" s="77">
        <v>1590.7</v>
      </c>
      <c r="H195" s="5" t="s">
        <v>0</v>
      </c>
      <c r="I195" s="78">
        <f t="shared" si="45"/>
        <v>174.977</v>
      </c>
      <c r="J195" s="110">
        <f t="shared" si="46"/>
        <v>75</v>
      </c>
      <c r="K195" s="182">
        <v>40</v>
      </c>
      <c r="L195" s="5" t="s">
        <v>0</v>
      </c>
      <c r="M195" s="80">
        <f t="shared" si="36"/>
        <v>4.4000000000000004</v>
      </c>
      <c r="N195" s="78">
        <f t="shared" si="37"/>
        <v>330</v>
      </c>
      <c r="O195" s="111">
        <f t="shared" si="38"/>
        <v>504.97699999999998</v>
      </c>
      <c r="P195" s="125">
        <v>122634</v>
      </c>
      <c r="Q195" s="4"/>
      <c r="R195" s="49"/>
    </row>
    <row r="196" spans="1:18" x14ac:dyDescent="0.25">
      <c r="A196" s="31"/>
      <c r="B196" s="4" t="s">
        <v>65</v>
      </c>
      <c r="C196" s="5">
        <f>C187</f>
        <v>1</v>
      </c>
      <c r="D196" s="7">
        <v>0</v>
      </c>
      <c r="E196" s="3">
        <f t="shared" si="35"/>
        <v>1</v>
      </c>
      <c r="F196" s="3" t="s">
        <v>867</v>
      </c>
      <c r="G196" s="77">
        <v>73.72</v>
      </c>
      <c r="H196" s="5" t="s">
        <v>1</v>
      </c>
      <c r="I196" s="78">
        <f t="shared" si="45"/>
        <v>73.72</v>
      </c>
      <c r="J196" s="110">
        <f t="shared" si="46"/>
        <v>75</v>
      </c>
      <c r="K196" s="182">
        <v>0.35</v>
      </c>
      <c r="L196" s="5" t="s">
        <v>1</v>
      </c>
      <c r="M196" s="80">
        <f t="shared" si="36"/>
        <v>0.35</v>
      </c>
      <c r="N196" s="78">
        <f t="shared" si="37"/>
        <v>26.25</v>
      </c>
      <c r="O196" s="111">
        <f t="shared" si="38"/>
        <v>99.97</v>
      </c>
      <c r="P196" s="125">
        <v>157983</v>
      </c>
      <c r="Q196" s="4"/>
      <c r="R196" s="49"/>
    </row>
    <row r="197" spans="1:18" x14ac:dyDescent="0.25">
      <c r="A197" s="31"/>
      <c r="B197" s="4" t="s">
        <v>58</v>
      </c>
      <c r="C197" s="5">
        <f>C187*4</f>
        <v>4</v>
      </c>
      <c r="D197" s="7">
        <v>0</v>
      </c>
      <c r="E197" s="3">
        <f t="shared" si="35"/>
        <v>4</v>
      </c>
      <c r="F197" s="3" t="s">
        <v>867</v>
      </c>
      <c r="G197" s="77">
        <v>98.72</v>
      </c>
      <c r="H197" s="5" t="s">
        <v>0</v>
      </c>
      <c r="I197" s="78">
        <f t="shared" si="45"/>
        <v>3.9487999999999999</v>
      </c>
      <c r="J197" s="110">
        <f t="shared" si="46"/>
        <v>75</v>
      </c>
      <c r="K197" s="182">
        <v>12</v>
      </c>
      <c r="L197" s="5" t="s">
        <v>0</v>
      </c>
      <c r="M197" s="80">
        <f t="shared" si="36"/>
        <v>0.48</v>
      </c>
      <c r="N197" s="78">
        <f t="shared" si="37"/>
        <v>36</v>
      </c>
      <c r="O197" s="111">
        <f t="shared" si="38"/>
        <v>39.948799999999999</v>
      </c>
      <c r="P197" s="125">
        <v>139629</v>
      </c>
      <c r="Q197" s="4"/>
      <c r="R197" s="49"/>
    </row>
    <row r="198" spans="1:18" ht="15.75" thickBot="1" x14ac:dyDescent="0.3">
      <c r="A198" s="31"/>
      <c r="B198" s="4"/>
      <c r="C198" s="5"/>
      <c r="D198" s="7"/>
      <c r="E198" s="3"/>
      <c r="F198" s="3"/>
      <c r="G198" s="77" t="s">
        <v>1202</v>
      </c>
      <c r="H198" s="5"/>
      <c r="I198" s="78"/>
      <c r="J198" s="4"/>
      <c r="K198" s="182"/>
      <c r="L198" s="5"/>
      <c r="M198" s="80"/>
      <c r="N198" s="78"/>
      <c r="O198" s="111"/>
      <c r="P198" s="125"/>
      <c r="Q198" s="4"/>
      <c r="R198" s="49"/>
    </row>
    <row r="199" spans="1:18" ht="15.75" thickBot="1" x14ac:dyDescent="0.3">
      <c r="A199" s="31"/>
      <c r="B199" s="120" t="s">
        <v>86</v>
      </c>
      <c r="C199" s="5"/>
      <c r="D199" s="7"/>
      <c r="E199" s="3"/>
      <c r="F199" s="3"/>
      <c r="G199" s="77" t="s">
        <v>1202</v>
      </c>
      <c r="H199" s="5"/>
      <c r="I199" s="78"/>
      <c r="J199" s="4"/>
      <c r="K199" s="182"/>
      <c r="L199" s="5"/>
      <c r="M199" s="80"/>
      <c r="N199" s="78"/>
      <c r="O199" s="111"/>
      <c r="P199" s="125"/>
      <c r="Q199" s="4"/>
      <c r="R199" s="49"/>
    </row>
    <row r="200" spans="1:18" x14ac:dyDescent="0.25">
      <c r="A200" s="31">
        <v>1</v>
      </c>
      <c r="B200" s="4" t="s">
        <v>68</v>
      </c>
      <c r="C200" s="5">
        <v>1</v>
      </c>
      <c r="D200" s="7">
        <v>0</v>
      </c>
      <c r="E200" s="3">
        <f>C200+(C200*D200)</f>
        <v>1</v>
      </c>
      <c r="F200" s="3" t="s">
        <v>867</v>
      </c>
      <c r="G200" s="77">
        <v>19560</v>
      </c>
      <c r="H200" s="5" t="s">
        <v>1</v>
      </c>
      <c r="I200" s="78">
        <f t="shared" ref="I200:I211" si="47">IF(H200="C",(G200/100)*E200,IF(H200="M",(G200/1000)*E200,G200*E200))</f>
        <v>19560</v>
      </c>
      <c r="J200" s="110">
        <f t="shared" ref="J200:J263" si="48">$O$4</f>
        <v>75</v>
      </c>
      <c r="K200" s="182">
        <v>33.6</v>
      </c>
      <c r="L200" s="5" t="s">
        <v>1</v>
      </c>
      <c r="M200" s="80">
        <f>IF(L200="C",(K200/100)*E200,IF(L200="M",(K200/1000)*E200,K200*E200))</f>
        <v>33.6</v>
      </c>
      <c r="N200" s="78">
        <f>M200*J200</f>
        <v>2520</v>
      </c>
      <c r="O200" s="111">
        <f>N200+I200</f>
        <v>22080</v>
      </c>
      <c r="P200" s="125">
        <v>152784</v>
      </c>
      <c r="Q200" s="4"/>
      <c r="R200" s="49"/>
    </row>
    <row r="201" spans="1:18" x14ac:dyDescent="0.25">
      <c r="A201" s="31"/>
      <c r="B201" s="4" t="s">
        <v>1183</v>
      </c>
      <c r="C201" s="5">
        <f>C200*8</f>
        <v>8</v>
      </c>
      <c r="D201" s="7">
        <v>0</v>
      </c>
      <c r="E201" s="3">
        <f t="shared" ref="E201:E211" si="49">C201+(C201*D201)</f>
        <v>8</v>
      </c>
      <c r="F201" s="3" t="s">
        <v>868</v>
      </c>
      <c r="G201" s="77">
        <v>1481.48</v>
      </c>
      <c r="H201" s="5" t="s">
        <v>0</v>
      </c>
      <c r="I201" s="78">
        <f t="shared" si="47"/>
        <v>118.5184</v>
      </c>
      <c r="J201" s="110">
        <f t="shared" si="48"/>
        <v>75</v>
      </c>
      <c r="K201" s="182">
        <v>20.5</v>
      </c>
      <c r="L201" s="5" t="s">
        <v>0</v>
      </c>
      <c r="M201" s="80">
        <f t="shared" ref="M201:M231" si="50">IF(L201="C",(K201/100)*E201,IF(L201="M",(K201/1000)*E201,K201*E201))</f>
        <v>1.64</v>
      </c>
      <c r="N201" s="78">
        <f t="shared" ref="N201:N211" si="51">M201*J201</f>
        <v>122.99999999999999</v>
      </c>
      <c r="O201" s="111">
        <f t="shared" ref="O201:O211" si="52">N201+I201</f>
        <v>241.51839999999999</v>
      </c>
      <c r="P201" s="125">
        <v>107784</v>
      </c>
      <c r="Q201" s="4"/>
      <c r="R201" s="49"/>
    </row>
    <row r="202" spans="1:18" x14ac:dyDescent="0.25">
      <c r="A202" s="31"/>
      <c r="B202" s="4" t="s">
        <v>1185</v>
      </c>
      <c r="C202" s="5">
        <f>C200*16</f>
        <v>16</v>
      </c>
      <c r="D202" s="7">
        <v>0</v>
      </c>
      <c r="E202" s="3">
        <f t="shared" si="49"/>
        <v>16</v>
      </c>
      <c r="F202" s="3" t="s">
        <v>868</v>
      </c>
      <c r="G202" s="77">
        <v>2351.46</v>
      </c>
      <c r="H202" s="5" t="s">
        <v>0</v>
      </c>
      <c r="I202" s="78">
        <f t="shared" si="47"/>
        <v>376.23360000000002</v>
      </c>
      <c r="J202" s="110">
        <f t="shared" si="48"/>
        <v>75</v>
      </c>
      <c r="K202" s="182">
        <v>25.5</v>
      </c>
      <c r="L202" s="5" t="s">
        <v>0</v>
      </c>
      <c r="M202" s="80">
        <f t="shared" si="50"/>
        <v>4.08</v>
      </c>
      <c r="N202" s="78">
        <f t="shared" si="51"/>
        <v>306</v>
      </c>
      <c r="O202" s="111">
        <f t="shared" si="52"/>
        <v>682.23360000000002</v>
      </c>
      <c r="P202" s="125">
        <v>107790</v>
      </c>
      <c r="Q202" s="4"/>
      <c r="R202" s="49"/>
    </row>
    <row r="203" spans="1:18" x14ac:dyDescent="0.25">
      <c r="A203" s="31"/>
      <c r="B203" s="4" t="s">
        <v>1189</v>
      </c>
      <c r="C203" s="5">
        <f>C200*2</f>
        <v>2</v>
      </c>
      <c r="D203" s="7">
        <v>0</v>
      </c>
      <c r="E203" s="3">
        <f t="shared" si="49"/>
        <v>2</v>
      </c>
      <c r="F203" s="3" t="s">
        <v>867</v>
      </c>
      <c r="G203" s="77">
        <v>36458.69</v>
      </c>
      <c r="H203" s="5" t="s">
        <v>0</v>
      </c>
      <c r="I203" s="78">
        <f t="shared" si="47"/>
        <v>729.17380000000003</v>
      </c>
      <c r="J203" s="110">
        <f t="shared" si="48"/>
        <v>75</v>
      </c>
      <c r="K203" s="182">
        <v>35</v>
      </c>
      <c r="L203" s="5" t="s">
        <v>0</v>
      </c>
      <c r="M203" s="80">
        <f t="shared" si="50"/>
        <v>0.7</v>
      </c>
      <c r="N203" s="78">
        <f t="shared" si="51"/>
        <v>52.5</v>
      </c>
      <c r="O203" s="111">
        <f t="shared" si="52"/>
        <v>781.67380000000003</v>
      </c>
      <c r="P203" s="125">
        <v>107820</v>
      </c>
      <c r="Q203" s="4"/>
      <c r="R203" s="49"/>
    </row>
    <row r="204" spans="1:18" x14ac:dyDescent="0.25">
      <c r="A204" s="31"/>
      <c r="B204" s="4" t="s">
        <v>1189</v>
      </c>
      <c r="C204" s="5">
        <f>C200*4</f>
        <v>4</v>
      </c>
      <c r="D204" s="7">
        <v>0</v>
      </c>
      <c r="E204" s="3">
        <f t="shared" si="49"/>
        <v>4</v>
      </c>
      <c r="F204" s="3" t="s">
        <v>867</v>
      </c>
      <c r="G204" s="77">
        <v>36458.69</v>
      </c>
      <c r="H204" s="5" t="s">
        <v>0</v>
      </c>
      <c r="I204" s="78">
        <f t="shared" si="47"/>
        <v>1458.3476000000001</v>
      </c>
      <c r="J204" s="110">
        <f t="shared" si="48"/>
        <v>75</v>
      </c>
      <c r="K204" s="182">
        <v>50</v>
      </c>
      <c r="L204" s="5" t="s">
        <v>0</v>
      </c>
      <c r="M204" s="80">
        <f t="shared" si="50"/>
        <v>2</v>
      </c>
      <c r="N204" s="78">
        <f t="shared" si="51"/>
        <v>150</v>
      </c>
      <c r="O204" s="111">
        <f t="shared" si="52"/>
        <v>1608.3476000000001</v>
      </c>
      <c r="P204" s="125">
        <v>107820</v>
      </c>
      <c r="Q204" s="4"/>
      <c r="R204" s="49"/>
    </row>
    <row r="205" spans="1:18" x14ac:dyDescent="0.25">
      <c r="A205" s="31"/>
      <c r="B205" s="4" t="s">
        <v>1190</v>
      </c>
      <c r="C205" s="5">
        <f>C200*2</f>
        <v>2</v>
      </c>
      <c r="D205" s="7">
        <v>0</v>
      </c>
      <c r="E205" s="3">
        <f t="shared" si="49"/>
        <v>2</v>
      </c>
      <c r="F205" s="3" t="s">
        <v>867</v>
      </c>
      <c r="G205" s="77">
        <v>66943.91</v>
      </c>
      <c r="H205" s="5" t="s">
        <v>0</v>
      </c>
      <c r="I205" s="78">
        <f t="shared" si="47"/>
        <v>1338.8782000000001</v>
      </c>
      <c r="J205" s="110">
        <f t="shared" si="48"/>
        <v>75</v>
      </c>
      <c r="K205" s="182">
        <v>35</v>
      </c>
      <c r="L205" s="5" t="s">
        <v>0</v>
      </c>
      <c r="M205" s="80">
        <f t="shared" si="50"/>
        <v>0.7</v>
      </c>
      <c r="N205" s="78">
        <f t="shared" si="51"/>
        <v>52.5</v>
      </c>
      <c r="O205" s="111">
        <f t="shared" si="52"/>
        <v>1391.3782000000001</v>
      </c>
      <c r="P205" s="125">
        <v>107850</v>
      </c>
      <c r="Q205" s="4"/>
      <c r="R205" s="49"/>
    </row>
    <row r="206" spans="1:18" x14ac:dyDescent="0.25">
      <c r="A206" s="31"/>
      <c r="B206" s="4" t="s">
        <v>1190</v>
      </c>
      <c r="C206" s="5">
        <f>C200*4</f>
        <v>4</v>
      </c>
      <c r="D206" s="7">
        <v>0</v>
      </c>
      <c r="E206" s="3">
        <f t="shared" si="49"/>
        <v>4</v>
      </c>
      <c r="F206" s="3" t="s">
        <v>867</v>
      </c>
      <c r="G206" s="77">
        <v>66943.91</v>
      </c>
      <c r="H206" s="5" t="s">
        <v>0</v>
      </c>
      <c r="I206" s="78">
        <f t="shared" si="47"/>
        <v>2677.7564000000002</v>
      </c>
      <c r="J206" s="110">
        <f t="shared" si="48"/>
        <v>75</v>
      </c>
      <c r="K206" s="182">
        <v>50</v>
      </c>
      <c r="L206" s="5" t="s">
        <v>0</v>
      </c>
      <c r="M206" s="80">
        <f t="shared" si="50"/>
        <v>2</v>
      </c>
      <c r="N206" s="78">
        <f t="shared" si="51"/>
        <v>150</v>
      </c>
      <c r="O206" s="111">
        <f t="shared" si="52"/>
        <v>2827.7564000000002</v>
      </c>
      <c r="P206" s="125">
        <v>107850</v>
      </c>
      <c r="Q206" s="4"/>
      <c r="R206" s="49"/>
    </row>
    <row r="207" spans="1:18" x14ac:dyDescent="0.25">
      <c r="A207" s="31"/>
      <c r="B207" s="4" t="s">
        <v>63</v>
      </c>
      <c r="C207" s="5">
        <f>C200*20</f>
        <v>20</v>
      </c>
      <c r="D207" s="7">
        <v>0</v>
      </c>
      <c r="E207" s="3">
        <f t="shared" si="49"/>
        <v>20</v>
      </c>
      <c r="F207" s="3" t="s">
        <v>868</v>
      </c>
      <c r="G207" s="77">
        <v>2045.5</v>
      </c>
      <c r="H207" s="5" t="s">
        <v>26</v>
      </c>
      <c r="I207" s="78">
        <f t="shared" si="47"/>
        <v>40.910000000000004</v>
      </c>
      <c r="J207" s="110">
        <f t="shared" si="48"/>
        <v>75</v>
      </c>
      <c r="K207" s="182">
        <v>14</v>
      </c>
      <c r="L207" s="5" t="s">
        <v>26</v>
      </c>
      <c r="M207" s="80">
        <f t="shared" si="50"/>
        <v>0.28000000000000003</v>
      </c>
      <c r="N207" s="78">
        <f t="shared" si="51"/>
        <v>21.000000000000004</v>
      </c>
      <c r="O207" s="111">
        <f t="shared" si="52"/>
        <v>61.910000000000011</v>
      </c>
      <c r="P207" s="125">
        <v>109269</v>
      </c>
      <c r="Q207" s="4"/>
      <c r="R207" s="49"/>
    </row>
    <row r="208" spans="1:18" x14ac:dyDescent="0.25">
      <c r="A208" s="31"/>
      <c r="B208" s="4" t="s">
        <v>64</v>
      </c>
      <c r="C208" s="5">
        <f>C200*6</f>
        <v>6</v>
      </c>
      <c r="D208" s="7">
        <v>0</v>
      </c>
      <c r="E208" s="3">
        <f t="shared" si="49"/>
        <v>6</v>
      </c>
      <c r="F208" s="3" t="s">
        <v>867</v>
      </c>
      <c r="G208" s="77">
        <v>1590.7</v>
      </c>
      <c r="H208" s="5" t="s">
        <v>0</v>
      </c>
      <c r="I208" s="78">
        <f t="shared" si="47"/>
        <v>95.442000000000007</v>
      </c>
      <c r="J208" s="110">
        <f t="shared" si="48"/>
        <v>75</v>
      </c>
      <c r="K208" s="182">
        <v>40</v>
      </c>
      <c r="L208" s="5" t="s">
        <v>0</v>
      </c>
      <c r="M208" s="80">
        <f t="shared" si="50"/>
        <v>2.4000000000000004</v>
      </c>
      <c r="N208" s="78">
        <f t="shared" si="51"/>
        <v>180.00000000000003</v>
      </c>
      <c r="O208" s="111">
        <f t="shared" si="52"/>
        <v>275.44200000000001</v>
      </c>
      <c r="P208" s="125">
        <v>122634</v>
      </c>
      <c r="Q208" s="4"/>
      <c r="R208" s="49"/>
    </row>
    <row r="209" spans="1:18" x14ac:dyDescent="0.25">
      <c r="A209" s="31"/>
      <c r="B209" s="4" t="s">
        <v>57</v>
      </c>
      <c r="C209" s="5">
        <f>C200*16</f>
        <v>16</v>
      </c>
      <c r="D209" s="7">
        <v>0</v>
      </c>
      <c r="E209" s="3">
        <f t="shared" si="49"/>
        <v>16</v>
      </c>
      <c r="F209" s="3" t="s">
        <v>867</v>
      </c>
      <c r="G209" s="77">
        <v>2151.36</v>
      </c>
      <c r="H209" s="5" t="s">
        <v>0</v>
      </c>
      <c r="I209" s="78">
        <f t="shared" si="47"/>
        <v>344.2176</v>
      </c>
      <c r="J209" s="110">
        <f t="shared" si="48"/>
        <v>75</v>
      </c>
      <c r="K209" s="182">
        <v>48</v>
      </c>
      <c r="L209" s="5" t="s">
        <v>0</v>
      </c>
      <c r="M209" s="80">
        <f t="shared" si="50"/>
        <v>7.68</v>
      </c>
      <c r="N209" s="78">
        <f t="shared" si="51"/>
        <v>576</v>
      </c>
      <c r="O209" s="111">
        <f t="shared" si="52"/>
        <v>920.21759999999995</v>
      </c>
      <c r="P209" s="125">
        <v>122640</v>
      </c>
      <c r="Q209" s="4"/>
      <c r="R209" s="49"/>
    </row>
    <row r="210" spans="1:18" x14ac:dyDescent="0.25">
      <c r="A210" s="31"/>
      <c r="B210" s="4" t="s">
        <v>65</v>
      </c>
      <c r="C210" s="5">
        <f>C200</f>
        <v>1</v>
      </c>
      <c r="D210" s="7">
        <v>0</v>
      </c>
      <c r="E210" s="3">
        <f t="shared" si="49"/>
        <v>1</v>
      </c>
      <c r="F210" s="3" t="s">
        <v>867</v>
      </c>
      <c r="G210" s="77">
        <v>73.72</v>
      </c>
      <c r="H210" s="5" t="s">
        <v>1</v>
      </c>
      <c r="I210" s="78">
        <f t="shared" si="47"/>
        <v>73.72</v>
      </c>
      <c r="J210" s="110">
        <f t="shared" si="48"/>
        <v>75</v>
      </c>
      <c r="K210" s="182">
        <v>0.35</v>
      </c>
      <c r="L210" s="5" t="s">
        <v>1</v>
      </c>
      <c r="M210" s="80">
        <f t="shared" si="50"/>
        <v>0.35</v>
      </c>
      <c r="N210" s="78">
        <f t="shared" si="51"/>
        <v>26.25</v>
      </c>
      <c r="O210" s="111">
        <f t="shared" si="52"/>
        <v>99.97</v>
      </c>
      <c r="P210" s="125">
        <v>157983</v>
      </c>
      <c r="Q210" s="4"/>
      <c r="R210" s="49"/>
    </row>
    <row r="211" spans="1:18" ht="15.75" thickBot="1" x14ac:dyDescent="0.3">
      <c r="A211" s="31"/>
      <c r="B211" s="4" t="s">
        <v>58</v>
      </c>
      <c r="C211" s="5">
        <f>C200*4</f>
        <v>4</v>
      </c>
      <c r="D211" s="7">
        <v>0</v>
      </c>
      <c r="E211" s="3">
        <f t="shared" si="49"/>
        <v>4</v>
      </c>
      <c r="F211" s="3" t="s">
        <v>867</v>
      </c>
      <c r="G211" s="77">
        <v>98.72</v>
      </c>
      <c r="H211" s="5" t="s">
        <v>0</v>
      </c>
      <c r="I211" s="78">
        <f t="shared" si="47"/>
        <v>3.9487999999999999</v>
      </c>
      <c r="J211" s="110">
        <f t="shared" si="48"/>
        <v>75</v>
      </c>
      <c r="K211" s="182">
        <v>12</v>
      </c>
      <c r="L211" s="5" t="s">
        <v>0</v>
      </c>
      <c r="M211" s="80">
        <f t="shared" si="50"/>
        <v>0.48</v>
      </c>
      <c r="N211" s="78">
        <f t="shared" si="51"/>
        <v>36</v>
      </c>
      <c r="O211" s="111">
        <f t="shared" si="52"/>
        <v>39.948799999999999</v>
      </c>
      <c r="P211" s="125">
        <v>139629</v>
      </c>
      <c r="Q211" s="121"/>
      <c r="R211" s="122"/>
    </row>
    <row r="212" spans="1:18" ht="30.75" thickBot="1" x14ac:dyDescent="0.3">
      <c r="A212" s="31"/>
      <c r="B212" s="4"/>
      <c r="C212" s="5"/>
      <c r="D212" s="7"/>
      <c r="E212" s="3"/>
      <c r="F212" s="3"/>
      <c r="G212" s="77" t="s">
        <v>1202</v>
      </c>
      <c r="H212" s="5"/>
      <c r="I212" s="78"/>
      <c r="J212" s="110"/>
      <c r="K212" s="182"/>
      <c r="L212" s="5"/>
      <c r="M212" s="80"/>
      <c r="N212" s="78"/>
      <c r="O212" s="111"/>
      <c r="P212" s="135"/>
      <c r="Q212" s="84" t="s">
        <v>288</v>
      </c>
      <c r="R212" s="109" t="s">
        <v>289</v>
      </c>
    </row>
    <row r="213" spans="1:18" x14ac:dyDescent="0.25">
      <c r="A213" s="31">
        <v>1</v>
      </c>
      <c r="B213" s="4" t="s">
        <v>531</v>
      </c>
      <c r="C213" s="5">
        <v>1</v>
      </c>
      <c r="D213" s="7">
        <v>0</v>
      </c>
      <c r="E213" s="3">
        <f t="shared" ref="E213:E276" si="53">C213+(C213*D213)</f>
        <v>1</v>
      </c>
      <c r="F213" s="3" t="s">
        <v>867</v>
      </c>
      <c r="G213" s="77">
        <v>600</v>
      </c>
      <c r="H213" s="5" t="s">
        <v>1</v>
      </c>
      <c r="I213" s="78">
        <f t="shared" ref="I213:I275" si="54">IF(H213="C",(G213/100)*E213,IF(H213="M",(G213/1000)*E213,G213*E213))</f>
        <v>600</v>
      </c>
      <c r="J213" s="110">
        <f t="shared" si="48"/>
        <v>75</v>
      </c>
      <c r="K213" s="182">
        <v>4.9000000000000004</v>
      </c>
      <c r="L213" s="5" t="s">
        <v>1</v>
      </c>
      <c r="M213" s="80">
        <f t="shared" si="50"/>
        <v>4.9000000000000004</v>
      </c>
      <c r="N213" s="78">
        <f t="shared" ref="N213:N276" si="55">M213*J213</f>
        <v>367.5</v>
      </c>
      <c r="O213" s="111">
        <f t="shared" ref="O213:O276" si="56">N213+I213</f>
        <v>967.5</v>
      </c>
      <c r="P213" s="125">
        <v>152751</v>
      </c>
      <c r="Q213" s="97">
        <v>6.13</v>
      </c>
      <c r="R213" s="100">
        <v>7.35</v>
      </c>
    </row>
    <row r="214" spans="1:18" x14ac:dyDescent="0.25">
      <c r="A214" s="31">
        <v>2</v>
      </c>
      <c r="B214" s="4" t="s">
        <v>532</v>
      </c>
      <c r="C214" s="5">
        <v>1</v>
      </c>
      <c r="D214" s="7">
        <v>0</v>
      </c>
      <c r="E214" s="3">
        <f t="shared" si="53"/>
        <v>1</v>
      </c>
      <c r="F214" s="3" t="s">
        <v>867</v>
      </c>
      <c r="G214" s="77">
        <v>750</v>
      </c>
      <c r="H214" s="5" t="s">
        <v>1</v>
      </c>
      <c r="I214" s="78">
        <f t="shared" si="54"/>
        <v>750</v>
      </c>
      <c r="J214" s="110">
        <f t="shared" si="48"/>
        <v>75</v>
      </c>
      <c r="K214" s="182">
        <v>5.5</v>
      </c>
      <c r="L214" s="5" t="s">
        <v>1</v>
      </c>
      <c r="M214" s="80">
        <f t="shared" si="50"/>
        <v>5.5</v>
      </c>
      <c r="N214" s="78">
        <f t="shared" si="55"/>
        <v>412.5</v>
      </c>
      <c r="O214" s="111">
        <f t="shared" si="56"/>
        <v>1162.5</v>
      </c>
      <c r="P214" s="125">
        <v>152754</v>
      </c>
      <c r="Q214" s="4">
        <v>6.88</v>
      </c>
      <c r="R214" s="49">
        <v>8.25</v>
      </c>
    </row>
    <row r="215" spans="1:18" x14ac:dyDescent="0.25">
      <c r="A215" s="31">
        <v>3</v>
      </c>
      <c r="B215" s="4" t="s">
        <v>533</v>
      </c>
      <c r="C215" s="5">
        <v>1</v>
      </c>
      <c r="D215" s="7">
        <v>0</v>
      </c>
      <c r="E215" s="3">
        <f t="shared" si="53"/>
        <v>1</v>
      </c>
      <c r="F215" s="3" t="s">
        <v>867</v>
      </c>
      <c r="G215" s="77">
        <v>967</v>
      </c>
      <c r="H215" s="5" t="s">
        <v>1</v>
      </c>
      <c r="I215" s="78">
        <f t="shared" si="54"/>
        <v>967</v>
      </c>
      <c r="J215" s="110">
        <f t="shared" si="48"/>
        <v>75</v>
      </c>
      <c r="K215" s="182">
        <v>6.4</v>
      </c>
      <c r="L215" s="5" t="s">
        <v>1</v>
      </c>
      <c r="M215" s="80">
        <f t="shared" si="50"/>
        <v>6.4</v>
      </c>
      <c r="N215" s="78">
        <f t="shared" si="55"/>
        <v>480</v>
      </c>
      <c r="O215" s="111">
        <f t="shared" si="56"/>
        <v>1447</v>
      </c>
      <c r="P215" s="125">
        <v>152757</v>
      </c>
      <c r="Q215" s="4">
        <v>8</v>
      </c>
      <c r="R215" s="49">
        <v>9.6</v>
      </c>
    </row>
    <row r="216" spans="1:18" x14ac:dyDescent="0.25">
      <c r="A216" s="31">
        <v>4</v>
      </c>
      <c r="B216" s="4" t="s">
        <v>31</v>
      </c>
      <c r="C216" s="5">
        <v>1</v>
      </c>
      <c r="D216" s="7">
        <v>0</v>
      </c>
      <c r="E216" s="3">
        <f t="shared" si="53"/>
        <v>1</v>
      </c>
      <c r="F216" s="3" t="s">
        <v>867</v>
      </c>
      <c r="G216" s="77">
        <v>1400</v>
      </c>
      <c r="H216" s="5" t="s">
        <v>1</v>
      </c>
      <c r="I216" s="78">
        <f t="shared" si="54"/>
        <v>1400</v>
      </c>
      <c r="J216" s="110">
        <f t="shared" si="48"/>
        <v>75</v>
      </c>
      <c r="K216" s="182">
        <v>7.6</v>
      </c>
      <c r="L216" s="5" t="s">
        <v>1</v>
      </c>
      <c r="M216" s="80">
        <f t="shared" si="50"/>
        <v>7.6</v>
      </c>
      <c r="N216" s="78">
        <f t="shared" si="55"/>
        <v>570</v>
      </c>
      <c r="O216" s="111">
        <f t="shared" si="56"/>
        <v>1970</v>
      </c>
      <c r="P216" s="125">
        <v>152760</v>
      </c>
      <c r="Q216" s="4">
        <v>9.5</v>
      </c>
      <c r="R216" s="49">
        <v>11.4</v>
      </c>
    </row>
    <row r="217" spans="1:18" x14ac:dyDescent="0.25">
      <c r="A217" s="31">
        <v>5</v>
      </c>
      <c r="B217" s="4" t="s">
        <v>34</v>
      </c>
      <c r="C217" s="5">
        <v>1</v>
      </c>
      <c r="D217" s="7">
        <v>0</v>
      </c>
      <c r="E217" s="3">
        <f t="shared" si="53"/>
        <v>1</v>
      </c>
      <c r="F217" s="3" t="s">
        <v>867</v>
      </c>
      <c r="G217" s="77">
        <v>2900</v>
      </c>
      <c r="H217" s="5" t="s">
        <v>1</v>
      </c>
      <c r="I217" s="78">
        <f t="shared" si="54"/>
        <v>2900</v>
      </c>
      <c r="J217" s="110">
        <f t="shared" si="48"/>
        <v>75</v>
      </c>
      <c r="K217" s="182">
        <v>10</v>
      </c>
      <c r="L217" s="5" t="s">
        <v>1</v>
      </c>
      <c r="M217" s="80">
        <f t="shared" si="50"/>
        <v>10</v>
      </c>
      <c r="N217" s="78">
        <f t="shared" si="55"/>
        <v>750</v>
      </c>
      <c r="O217" s="111">
        <f t="shared" si="56"/>
        <v>3650</v>
      </c>
      <c r="P217" s="125">
        <v>152763</v>
      </c>
      <c r="Q217" s="4">
        <v>12.5</v>
      </c>
      <c r="R217" s="49">
        <v>15</v>
      </c>
    </row>
    <row r="218" spans="1:18" x14ac:dyDescent="0.25">
      <c r="A218" s="31">
        <v>6</v>
      </c>
      <c r="B218" s="4" t="s">
        <v>42</v>
      </c>
      <c r="C218" s="5">
        <v>1</v>
      </c>
      <c r="D218" s="7">
        <v>0</v>
      </c>
      <c r="E218" s="3">
        <f t="shared" si="53"/>
        <v>1</v>
      </c>
      <c r="F218" s="3" t="s">
        <v>867</v>
      </c>
      <c r="G218" s="77">
        <v>4500</v>
      </c>
      <c r="H218" s="5" t="s">
        <v>1</v>
      </c>
      <c r="I218" s="78">
        <f t="shared" si="54"/>
        <v>4500</v>
      </c>
      <c r="J218" s="110">
        <f t="shared" si="48"/>
        <v>75</v>
      </c>
      <c r="K218" s="182">
        <v>14.8</v>
      </c>
      <c r="L218" s="5" t="s">
        <v>1</v>
      </c>
      <c r="M218" s="80">
        <f t="shared" si="50"/>
        <v>14.8</v>
      </c>
      <c r="N218" s="78">
        <f t="shared" si="55"/>
        <v>1110</v>
      </c>
      <c r="O218" s="111">
        <f t="shared" si="56"/>
        <v>5610</v>
      </c>
      <c r="P218" s="125">
        <v>152766</v>
      </c>
      <c r="Q218" s="4">
        <v>18.5</v>
      </c>
      <c r="R218" s="49">
        <v>22.2</v>
      </c>
    </row>
    <row r="219" spans="1:18" x14ac:dyDescent="0.25">
      <c r="A219" s="31">
        <v>7</v>
      </c>
      <c r="B219" s="4" t="s">
        <v>47</v>
      </c>
      <c r="C219" s="5">
        <v>1</v>
      </c>
      <c r="D219" s="7">
        <v>0</v>
      </c>
      <c r="E219" s="3">
        <f t="shared" si="53"/>
        <v>1</v>
      </c>
      <c r="F219" s="3" t="s">
        <v>867</v>
      </c>
      <c r="G219" s="77">
        <v>4749</v>
      </c>
      <c r="H219" s="5" t="s">
        <v>1</v>
      </c>
      <c r="I219" s="78">
        <f t="shared" si="54"/>
        <v>4749</v>
      </c>
      <c r="J219" s="110">
        <f t="shared" si="48"/>
        <v>75</v>
      </c>
      <c r="K219" s="182">
        <v>16.2</v>
      </c>
      <c r="L219" s="5" t="s">
        <v>1</v>
      </c>
      <c r="M219" s="80">
        <f t="shared" si="50"/>
        <v>16.2</v>
      </c>
      <c r="N219" s="78">
        <f t="shared" si="55"/>
        <v>1215</v>
      </c>
      <c r="O219" s="111">
        <f t="shared" si="56"/>
        <v>5964</v>
      </c>
      <c r="P219" s="125">
        <v>152769</v>
      </c>
      <c r="Q219" s="4">
        <v>20.25</v>
      </c>
      <c r="R219" s="49">
        <v>24.3</v>
      </c>
    </row>
    <row r="220" spans="1:18" x14ac:dyDescent="0.25">
      <c r="A220" s="31">
        <v>8</v>
      </c>
      <c r="B220" s="4" t="s">
        <v>534</v>
      </c>
      <c r="C220" s="5">
        <v>1</v>
      </c>
      <c r="D220" s="7">
        <v>0</v>
      </c>
      <c r="E220" s="3">
        <f t="shared" si="53"/>
        <v>1</v>
      </c>
      <c r="F220" s="3" t="s">
        <v>867</v>
      </c>
      <c r="G220" s="77">
        <v>1998</v>
      </c>
      <c r="H220" s="5" t="s">
        <v>1</v>
      </c>
      <c r="I220" s="78">
        <f t="shared" si="54"/>
        <v>1998</v>
      </c>
      <c r="J220" s="110">
        <f t="shared" si="48"/>
        <v>75</v>
      </c>
      <c r="K220" s="182">
        <v>9.3000000000000007</v>
      </c>
      <c r="L220" s="5" t="s">
        <v>1</v>
      </c>
      <c r="M220" s="80">
        <f t="shared" si="50"/>
        <v>9.3000000000000007</v>
      </c>
      <c r="N220" s="78">
        <f t="shared" si="55"/>
        <v>697.5</v>
      </c>
      <c r="O220" s="111">
        <f t="shared" si="56"/>
        <v>2695.5</v>
      </c>
      <c r="P220" s="125">
        <v>224265</v>
      </c>
      <c r="Q220" s="4">
        <v>11.63</v>
      </c>
      <c r="R220" s="49">
        <v>13.95</v>
      </c>
    </row>
    <row r="221" spans="1:18" x14ac:dyDescent="0.25">
      <c r="A221" s="31">
        <v>9</v>
      </c>
      <c r="B221" s="4" t="s">
        <v>535</v>
      </c>
      <c r="C221" s="5">
        <v>1</v>
      </c>
      <c r="D221" s="7">
        <v>0</v>
      </c>
      <c r="E221" s="3">
        <f t="shared" si="53"/>
        <v>1</v>
      </c>
      <c r="F221" s="3" t="s">
        <v>867</v>
      </c>
      <c r="G221" s="77">
        <v>3800</v>
      </c>
      <c r="H221" s="5" t="s">
        <v>1</v>
      </c>
      <c r="I221" s="78">
        <f t="shared" si="54"/>
        <v>3800</v>
      </c>
      <c r="J221" s="110">
        <f t="shared" si="48"/>
        <v>75</v>
      </c>
      <c r="K221" s="182">
        <v>12.7</v>
      </c>
      <c r="L221" s="5" t="s">
        <v>1</v>
      </c>
      <c r="M221" s="80">
        <f t="shared" si="50"/>
        <v>12.7</v>
      </c>
      <c r="N221" s="78">
        <f t="shared" si="55"/>
        <v>952.5</v>
      </c>
      <c r="O221" s="111">
        <f t="shared" si="56"/>
        <v>4752.5</v>
      </c>
      <c r="P221" s="125">
        <v>224268</v>
      </c>
      <c r="Q221" s="4">
        <v>15.88</v>
      </c>
      <c r="R221" s="49">
        <v>19.05</v>
      </c>
    </row>
    <row r="222" spans="1:18" x14ac:dyDescent="0.25">
      <c r="A222" s="31">
        <v>10</v>
      </c>
      <c r="B222" s="4" t="s">
        <v>536</v>
      </c>
      <c r="C222" s="5">
        <v>1</v>
      </c>
      <c r="D222" s="7">
        <v>0</v>
      </c>
      <c r="E222" s="3">
        <f t="shared" si="53"/>
        <v>1</v>
      </c>
      <c r="F222" s="3" t="s">
        <v>867</v>
      </c>
      <c r="G222" s="77">
        <v>4370</v>
      </c>
      <c r="H222" s="5" t="s">
        <v>1</v>
      </c>
      <c r="I222" s="78">
        <f t="shared" si="54"/>
        <v>4370</v>
      </c>
      <c r="J222" s="110">
        <f t="shared" si="48"/>
        <v>75</v>
      </c>
      <c r="K222" s="182">
        <v>14.1</v>
      </c>
      <c r="L222" s="5" t="s">
        <v>1</v>
      </c>
      <c r="M222" s="80">
        <f t="shared" si="50"/>
        <v>14.1</v>
      </c>
      <c r="N222" s="78">
        <f t="shared" si="55"/>
        <v>1057.5</v>
      </c>
      <c r="O222" s="111">
        <f t="shared" si="56"/>
        <v>5427.5</v>
      </c>
      <c r="P222" s="125">
        <v>224271</v>
      </c>
      <c r="Q222" s="4">
        <v>17.63</v>
      </c>
      <c r="R222" s="49">
        <v>21.15</v>
      </c>
    </row>
    <row r="223" spans="1:18" x14ac:dyDescent="0.25">
      <c r="A223" s="31">
        <v>11</v>
      </c>
      <c r="B223" s="4" t="s">
        <v>52</v>
      </c>
      <c r="C223" s="5">
        <v>1</v>
      </c>
      <c r="D223" s="7">
        <v>0</v>
      </c>
      <c r="E223" s="3">
        <f t="shared" si="53"/>
        <v>1</v>
      </c>
      <c r="F223" s="3" t="s">
        <v>867</v>
      </c>
      <c r="G223" s="77">
        <v>5500</v>
      </c>
      <c r="H223" s="5" t="s">
        <v>1</v>
      </c>
      <c r="I223" s="78">
        <f t="shared" si="54"/>
        <v>5500</v>
      </c>
      <c r="J223" s="110">
        <f t="shared" si="48"/>
        <v>75</v>
      </c>
      <c r="K223" s="182">
        <v>16.5</v>
      </c>
      <c r="L223" s="5" t="s">
        <v>1</v>
      </c>
      <c r="M223" s="80">
        <f t="shared" si="50"/>
        <v>16.5</v>
      </c>
      <c r="N223" s="78">
        <f t="shared" si="55"/>
        <v>1237.5</v>
      </c>
      <c r="O223" s="111">
        <f t="shared" si="56"/>
        <v>6737.5</v>
      </c>
      <c r="P223" s="125">
        <v>152772</v>
      </c>
      <c r="Q223" s="4">
        <v>20.63</v>
      </c>
      <c r="R223" s="49">
        <v>24.75</v>
      </c>
    </row>
    <row r="224" spans="1:18" x14ac:dyDescent="0.25">
      <c r="A224" s="31">
        <v>12</v>
      </c>
      <c r="B224" s="4" t="s">
        <v>59</v>
      </c>
      <c r="C224" s="5">
        <v>1</v>
      </c>
      <c r="D224" s="7">
        <v>0</v>
      </c>
      <c r="E224" s="3">
        <f t="shared" si="53"/>
        <v>1</v>
      </c>
      <c r="F224" s="3" t="s">
        <v>867</v>
      </c>
      <c r="G224" s="77">
        <v>7500</v>
      </c>
      <c r="H224" s="5" t="s">
        <v>1</v>
      </c>
      <c r="I224" s="78">
        <f t="shared" si="54"/>
        <v>7500</v>
      </c>
      <c r="J224" s="110">
        <f t="shared" si="48"/>
        <v>75</v>
      </c>
      <c r="K224" s="182">
        <v>19.600000000000001</v>
      </c>
      <c r="L224" s="5" t="s">
        <v>1</v>
      </c>
      <c r="M224" s="80">
        <f t="shared" si="50"/>
        <v>19.600000000000001</v>
      </c>
      <c r="N224" s="78">
        <f t="shared" si="55"/>
        <v>1470</v>
      </c>
      <c r="O224" s="111">
        <f t="shared" si="56"/>
        <v>8970</v>
      </c>
      <c r="P224" s="125">
        <v>152775</v>
      </c>
      <c r="Q224" s="4">
        <v>24.5</v>
      </c>
      <c r="R224" s="49">
        <v>29.4</v>
      </c>
    </row>
    <row r="225" spans="1:18" x14ac:dyDescent="0.25">
      <c r="A225" s="31">
        <v>13</v>
      </c>
      <c r="B225" s="4" t="s">
        <v>61</v>
      </c>
      <c r="C225" s="5">
        <v>1</v>
      </c>
      <c r="D225" s="7">
        <v>0</v>
      </c>
      <c r="E225" s="3">
        <f t="shared" si="53"/>
        <v>1</v>
      </c>
      <c r="F225" s="3" t="s">
        <v>867</v>
      </c>
      <c r="G225" s="77">
        <v>8800</v>
      </c>
      <c r="H225" s="5" t="s">
        <v>1</v>
      </c>
      <c r="I225" s="78">
        <f t="shared" si="54"/>
        <v>8800</v>
      </c>
      <c r="J225" s="110">
        <f t="shared" si="48"/>
        <v>75</v>
      </c>
      <c r="K225" s="182">
        <v>22</v>
      </c>
      <c r="L225" s="5" t="s">
        <v>1</v>
      </c>
      <c r="M225" s="80">
        <f t="shared" si="50"/>
        <v>22</v>
      </c>
      <c r="N225" s="78">
        <f t="shared" si="55"/>
        <v>1650</v>
      </c>
      <c r="O225" s="111">
        <f t="shared" si="56"/>
        <v>10450</v>
      </c>
      <c r="P225" s="125">
        <v>152778</v>
      </c>
      <c r="Q225" s="4">
        <v>27.5</v>
      </c>
      <c r="R225" s="49">
        <v>33</v>
      </c>
    </row>
    <row r="226" spans="1:18" x14ac:dyDescent="0.25">
      <c r="A226" s="31">
        <v>14</v>
      </c>
      <c r="B226" s="4" t="s">
        <v>66</v>
      </c>
      <c r="C226" s="5">
        <v>1</v>
      </c>
      <c r="D226" s="7">
        <v>0</v>
      </c>
      <c r="E226" s="3">
        <f t="shared" si="53"/>
        <v>1</v>
      </c>
      <c r="F226" s="3" t="s">
        <v>867</v>
      </c>
      <c r="G226" s="77">
        <v>11700</v>
      </c>
      <c r="H226" s="5" t="s">
        <v>1</v>
      </c>
      <c r="I226" s="78">
        <f t="shared" si="54"/>
        <v>11700</v>
      </c>
      <c r="J226" s="110">
        <f t="shared" si="48"/>
        <v>75</v>
      </c>
      <c r="K226" s="182">
        <v>27.5</v>
      </c>
      <c r="L226" s="5" t="s">
        <v>1</v>
      </c>
      <c r="M226" s="80">
        <f t="shared" si="50"/>
        <v>27.5</v>
      </c>
      <c r="N226" s="78">
        <f t="shared" si="55"/>
        <v>2062.5</v>
      </c>
      <c r="O226" s="111">
        <f t="shared" si="56"/>
        <v>13762.5</v>
      </c>
      <c r="P226" s="125">
        <v>152781</v>
      </c>
      <c r="Q226" s="4">
        <v>34.380000000000003</v>
      </c>
      <c r="R226" s="49">
        <v>41.25</v>
      </c>
    </row>
    <row r="227" spans="1:18" x14ac:dyDescent="0.25">
      <c r="A227" s="31">
        <v>15</v>
      </c>
      <c r="B227" s="4" t="s">
        <v>68</v>
      </c>
      <c r="C227" s="5">
        <v>1</v>
      </c>
      <c r="D227" s="7">
        <v>0</v>
      </c>
      <c r="E227" s="3">
        <f t="shared" si="53"/>
        <v>1</v>
      </c>
      <c r="F227" s="3" t="s">
        <v>867</v>
      </c>
      <c r="G227" s="77">
        <v>19560</v>
      </c>
      <c r="H227" s="5" t="s">
        <v>1</v>
      </c>
      <c r="I227" s="78">
        <f t="shared" si="54"/>
        <v>19560</v>
      </c>
      <c r="J227" s="110">
        <f t="shared" si="48"/>
        <v>75</v>
      </c>
      <c r="K227" s="182">
        <v>33.6</v>
      </c>
      <c r="L227" s="5" t="s">
        <v>1</v>
      </c>
      <c r="M227" s="80">
        <f t="shared" si="50"/>
        <v>33.6</v>
      </c>
      <c r="N227" s="78">
        <f t="shared" si="55"/>
        <v>2520</v>
      </c>
      <c r="O227" s="111">
        <f t="shared" si="56"/>
        <v>22080</v>
      </c>
      <c r="P227" s="125">
        <v>152784</v>
      </c>
      <c r="Q227" s="4">
        <v>42</v>
      </c>
      <c r="R227" s="49">
        <v>50.4</v>
      </c>
    </row>
    <row r="228" spans="1:18" x14ac:dyDescent="0.25">
      <c r="A228" s="31">
        <v>16</v>
      </c>
      <c r="B228" s="4" t="s">
        <v>537</v>
      </c>
      <c r="C228" s="5">
        <v>1</v>
      </c>
      <c r="D228" s="7">
        <v>0</v>
      </c>
      <c r="E228" s="3">
        <f t="shared" si="53"/>
        <v>1</v>
      </c>
      <c r="F228" s="3" t="s">
        <v>867</v>
      </c>
      <c r="G228" s="77">
        <v>29740</v>
      </c>
      <c r="H228" s="5" t="s">
        <v>1</v>
      </c>
      <c r="I228" s="78">
        <f t="shared" si="54"/>
        <v>29740</v>
      </c>
      <c r="J228" s="110">
        <f t="shared" si="48"/>
        <v>75</v>
      </c>
      <c r="K228" s="182">
        <v>38</v>
      </c>
      <c r="L228" s="5" t="s">
        <v>1</v>
      </c>
      <c r="M228" s="80">
        <f t="shared" si="50"/>
        <v>38</v>
      </c>
      <c r="N228" s="78">
        <f t="shared" si="55"/>
        <v>2850</v>
      </c>
      <c r="O228" s="111">
        <f t="shared" si="56"/>
        <v>32590</v>
      </c>
      <c r="P228" s="125">
        <v>224274</v>
      </c>
      <c r="Q228" s="4">
        <v>47.5</v>
      </c>
      <c r="R228" s="49">
        <v>57</v>
      </c>
    </row>
    <row r="229" spans="1:18" x14ac:dyDescent="0.25">
      <c r="A229" s="31">
        <v>17</v>
      </c>
      <c r="B229" s="4" t="s">
        <v>538</v>
      </c>
      <c r="C229" s="5">
        <v>1</v>
      </c>
      <c r="D229" s="7">
        <v>0</v>
      </c>
      <c r="E229" s="3">
        <f t="shared" si="53"/>
        <v>1</v>
      </c>
      <c r="F229" s="3" t="s">
        <v>867</v>
      </c>
      <c r="G229" s="77">
        <v>33450</v>
      </c>
      <c r="H229" s="5" t="s">
        <v>1</v>
      </c>
      <c r="I229" s="78">
        <f t="shared" si="54"/>
        <v>33450</v>
      </c>
      <c r="J229" s="110">
        <f t="shared" si="48"/>
        <v>75</v>
      </c>
      <c r="K229" s="182">
        <v>40.4</v>
      </c>
      <c r="L229" s="5" t="s">
        <v>1</v>
      </c>
      <c r="M229" s="80">
        <f t="shared" si="50"/>
        <v>40.4</v>
      </c>
      <c r="N229" s="78">
        <f t="shared" si="55"/>
        <v>3030</v>
      </c>
      <c r="O229" s="111">
        <f t="shared" si="56"/>
        <v>36480</v>
      </c>
      <c r="P229" s="125">
        <v>152787</v>
      </c>
      <c r="Q229" s="4">
        <v>50.5</v>
      </c>
      <c r="R229" s="49">
        <v>60.6</v>
      </c>
    </row>
    <row r="230" spans="1:18" x14ac:dyDescent="0.25">
      <c r="A230" s="31">
        <v>18</v>
      </c>
      <c r="B230" s="4" t="s">
        <v>539</v>
      </c>
      <c r="C230" s="5">
        <v>1</v>
      </c>
      <c r="D230" s="7">
        <v>0</v>
      </c>
      <c r="E230" s="3">
        <f t="shared" si="53"/>
        <v>1</v>
      </c>
      <c r="F230" s="3" t="s">
        <v>867</v>
      </c>
      <c r="G230" s="77">
        <v>37028</v>
      </c>
      <c r="H230" s="5" t="s">
        <v>1</v>
      </c>
      <c r="I230" s="78">
        <f t="shared" si="54"/>
        <v>37028</v>
      </c>
      <c r="J230" s="110">
        <f t="shared" si="48"/>
        <v>75</v>
      </c>
      <c r="K230" s="182">
        <v>42.5</v>
      </c>
      <c r="L230" s="5" t="s">
        <v>1</v>
      </c>
      <c r="M230" s="80">
        <f t="shared" si="50"/>
        <v>42.5</v>
      </c>
      <c r="N230" s="78">
        <f t="shared" si="55"/>
        <v>3187.5</v>
      </c>
      <c r="O230" s="111">
        <f t="shared" si="56"/>
        <v>40215.5</v>
      </c>
      <c r="P230" s="125">
        <v>152790</v>
      </c>
      <c r="Q230" s="4">
        <v>53.13</v>
      </c>
      <c r="R230" s="49">
        <v>63.75</v>
      </c>
    </row>
    <row r="231" spans="1:18" x14ac:dyDescent="0.25">
      <c r="A231" s="31">
        <v>19</v>
      </c>
      <c r="B231" s="4" t="s">
        <v>540</v>
      </c>
      <c r="C231" s="5">
        <v>1</v>
      </c>
      <c r="D231" s="7">
        <v>0</v>
      </c>
      <c r="E231" s="3">
        <f t="shared" si="53"/>
        <v>1</v>
      </c>
      <c r="F231" s="3" t="s">
        <v>867</v>
      </c>
      <c r="G231" s="77">
        <v>44237</v>
      </c>
      <c r="H231" s="5" t="s">
        <v>1</v>
      </c>
      <c r="I231" s="78">
        <f t="shared" si="54"/>
        <v>44237</v>
      </c>
      <c r="J231" s="110">
        <f t="shared" si="48"/>
        <v>75</v>
      </c>
      <c r="K231" s="182">
        <v>47.5</v>
      </c>
      <c r="L231" s="5" t="s">
        <v>1</v>
      </c>
      <c r="M231" s="80">
        <f t="shared" si="50"/>
        <v>47.5</v>
      </c>
      <c r="N231" s="78">
        <f t="shared" si="55"/>
        <v>3562.5</v>
      </c>
      <c r="O231" s="111">
        <f t="shared" si="56"/>
        <v>47799.5</v>
      </c>
      <c r="P231" s="125">
        <v>152793</v>
      </c>
      <c r="Q231" s="4">
        <v>59.38</v>
      </c>
      <c r="R231" s="49">
        <v>71.25</v>
      </c>
    </row>
    <row r="232" spans="1:18" x14ac:dyDescent="0.25">
      <c r="A232" s="31">
        <v>20</v>
      </c>
      <c r="B232" s="4" t="s">
        <v>541</v>
      </c>
      <c r="C232" s="5">
        <v>1</v>
      </c>
      <c r="D232" s="7">
        <v>0</v>
      </c>
      <c r="E232" s="3">
        <f t="shared" si="53"/>
        <v>1</v>
      </c>
      <c r="F232" s="3" t="s">
        <v>867</v>
      </c>
      <c r="G232" s="77">
        <v>48380</v>
      </c>
      <c r="H232" s="5" t="s">
        <v>1</v>
      </c>
      <c r="I232" s="78">
        <f t="shared" si="54"/>
        <v>48380</v>
      </c>
      <c r="J232" s="110">
        <f t="shared" si="48"/>
        <v>75</v>
      </c>
      <c r="K232" s="182">
        <v>52.4</v>
      </c>
      <c r="L232" s="5" t="s">
        <v>1</v>
      </c>
      <c r="M232" s="80">
        <f t="shared" ref="M232:M295" si="57">IF(L232="C",(K232/100)*E232,IF(L232="M",(K232/1000)*E232,K232*E232))</f>
        <v>52.4</v>
      </c>
      <c r="N232" s="78">
        <f t="shared" si="55"/>
        <v>3930</v>
      </c>
      <c r="O232" s="111">
        <f t="shared" si="56"/>
        <v>52310</v>
      </c>
      <c r="P232" s="125">
        <v>152796</v>
      </c>
      <c r="Q232" s="4">
        <v>65.5</v>
      </c>
      <c r="R232" s="49">
        <v>78.599999999999994</v>
      </c>
    </row>
    <row r="233" spans="1:18" x14ac:dyDescent="0.25">
      <c r="A233" s="31">
        <v>21</v>
      </c>
      <c r="B233" s="4" t="s">
        <v>542</v>
      </c>
      <c r="C233" s="5">
        <v>1</v>
      </c>
      <c r="D233" s="7">
        <v>0</v>
      </c>
      <c r="E233" s="3">
        <f t="shared" si="53"/>
        <v>1</v>
      </c>
      <c r="F233" s="3" t="s">
        <v>867</v>
      </c>
      <c r="G233" s="77">
        <v>57522</v>
      </c>
      <c r="H233" s="5" t="s">
        <v>1</v>
      </c>
      <c r="I233" s="78">
        <f t="shared" si="54"/>
        <v>57522</v>
      </c>
      <c r="J233" s="110">
        <f t="shared" si="48"/>
        <v>75</v>
      </c>
      <c r="K233" s="182">
        <v>57.5</v>
      </c>
      <c r="L233" s="5" t="s">
        <v>1</v>
      </c>
      <c r="M233" s="80">
        <f t="shared" si="57"/>
        <v>57.5</v>
      </c>
      <c r="N233" s="78">
        <f t="shared" si="55"/>
        <v>4312.5</v>
      </c>
      <c r="O233" s="111">
        <f t="shared" si="56"/>
        <v>61834.5</v>
      </c>
      <c r="P233" s="125">
        <v>152799</v>
      </c>
      <c r="Q233" s="4">
        <v>71.88</v>
      </c>
      <c r="R233" s="49">
        <v>86.25</v>
      </c>
    </row>
    <row r="234" spans="1:18" x14ac:dyDescent="0.25">
      <c r="A234" s="31">
        <v>22</v>
      </c>
      <c r="B234" s="4" t="s">
        <v>543</v>
      </c>
      <c r="C234" s="5">
        <v>1</v>
      </c>
      <c r="D234" s="7">
        <v>0</v>
      </c>
      <c r="E234" s="3">
        <f t="shared" si="53"/>
        <v>1</v>
      </c>
      <c r="F234" s="3" t="s">
        <v>867</v>
      </c>
      <c r="G234" s="77">
        <v>76888</v>
      </c>
      <c r="H234" s="5" t="s">
        <v>1</v>
      </c>
      <c r="I234" s="78">
        <f t="shared" si="54"/>
        <v>76888</v>
      </c>
      <c r="J234" s="110">
        <f t="shared" si="48"/>
        <v>75</v>
      </c>
      <c r="K234" s="182">
        <v>0</v>
      </c>
      <c r="L234" s="5" t="s">
        <v>1</v>
      </c>
      <c r="M234" s="80">
        <f t="shared" si="57"/>
        <v>0</v>
      </c>
      <c r="N234" s="78">
        <f t="shared" si="55"/>
        <v>0</v>
      </c>
      <c r="O234" s="111">
        <f t="shared" si="56"/>
        <v>76888</v>
      </c>
      <c r="P234" s="125">
        <v>152802</v>
      </c>
      <c r="Q234" s="4"/>
      <c r="R234" s="49"/>
    </row>
    <row r="235" spans="1:18" x14ac:dyDescent="0.25">
      <c r="A235" s="31">
        <v>23</v>
      </c>
      <c r="B235" s="4" t="s">
        <v>544</v>
      </c>
      <c r="C235" s="5">
        <v>1</v>
      </c>
      <c r="D235" s="7">
        <v>0</v>
      </c>
      <c r="E235" s="3">
        <f t="shared" si="53"/>
        <v>1</v>
      </c>
      <c r="F235" s="3" t="s">
        <v>867</v>
      </c>
      <c r="G235" s="77">
        <v>82973</v>
      </c>
      <c r="H235" s="5" t="s">
        <v>1</v>
      </c>
      <c r="I235" s="78">
        <f t="shared" si="54"/>
        <v>82973</v>
      </c>
      <c r="J235" s="110">
        <f t="shared" si="48"/>
        <v>75</v>
      </c>
      <c r="K235" s="182">
        <v>0</v>
      </c>
      <c r="L235" s="5" t="s">
        <v>1</v>
      </c>
      <c r="M235" s="80">
        <f t="shared" si="57"/>
        <v>0</v>
      </c>
      <c r="N235" s="78">
        <f t="shared" si="55"/>
        <v>0</v>
      </c>
      <c r="O235" s="111">
        <f t="shared" si="56"/>
        <v>82973</v>
      </c>
      <c r="P235" s="125">
        <v>152805</v>
      </c>
      <c r="Q235" s="4"/>
      <c r="R235" s="49"/>
    </row>
    <row r="236" spans="1:18" x14ac:dyDescent="0.25">
      <c r="A236" s="31"/>
      <c r="B236" s="4"/>
      <c r="C236" s="5"/>
      <c r="D236" s="7"/>
      <c r="E236" s="3"/>
      <c r="F236" s="3"/>
      <c r="G236" s="77" t="s">
        <v>1202</v>
      </c>
      <c r="H236" s="5"/>
      <c r="I236" s="78"/>
      <c r="J236" s="4"/>
      <c r="K236" s="182"/>
      <c r="L236" s="5"/>
      <c r="M236" s="80"/>
      <c r="N236" s="78"/>
      <c r="O236" s="111"/>
      <c r="P236" s="125"/>
      <c r="Q236" s="4"/>
      <c r="R236" s="49"/>
    </row>
    <row r="237" spans="1:18" x14ac:dyDescent="0.25">
      <c r="A237" s="31">
        <v>1</v>
      </c>
      <c r="B237" s="4" t="s">
        <v>545</v>
      </c>
      <c r="C237" s="5">
        <v>1</v>
      </c>
      <c r="D237" s="7">
        <v>0</v>
      </c>
      <c r="E237" s="3">
        <f t="shared" si="53"/>
        <v>1</v>
      </c>
      <c r="F237" s="3" t="s">
        <v>867</v>
      </c>
      <c r="G237" s="77">
        <v>2093</v>
      </c>
      <c r="H237" s="5" t="s">
        <v>1</v>
      </c>
      <c r="I237" s="78">
        <f t="shared" si="54"/>
        <v>2093</v>
      </c>
      <c r="J237" s="110">
        <f t="shared" si="48"/>
        <v>75</v>
      </c>
      <c r="K237" s="182">
        <v>6.4</v>
      </c>
      <c r="L237" s="5" t="s">
        <v>1</v>
      </c>
      <c r="M237" s="80">
        <f t="shared" si="57"/>
        <v>6.4</v>
      </c>
      <c r="N237" s="78">
        <f t="shared" si="55"/>
        <v>480</v>
      </c>
      <c r="O237" s="111">
        <f t="shared" si="56"/>
        <v>2573</v>
      </c>
      <c r="P237" s="125">
        <v>224277</v>
      </c>
      <c r="Q237" s="4">
        <v>8</v>
      </c>
      <c r="R237" s="49">
        <v>9.6</v>
      </c>
    </row>
    <row r="238" spans="1:18" x14ac:dyDescent="0.25">
      <c r="A238" s="31">
        <v>2</v>
      </c>
      <c r="B238" s="4" t="s">
        <v>546</v>
      </c>
      <c r="C238" s="5">
        <v>1</v>
      </c>
      <c r="D238" s="7">
        <v>0</v>
      </c>
      <c r="E238" s="3">
        <f t="shared" si="53"/>
        <v>1</v>
      </c>
      <c r="F238" s="3" t="s">
        <v>867</v>
      </c>
      <c r="G238" s="77">
        <v>2093</v>
      </c>
      <c r="H238" s="5" t="s">
        <v>1</v>
      </c>
      <c r="I238" s="78">
        <f t="shared" si="54"/>
        <v>2093</v>
      </c>
      <c r="J238" s="110">
        <f t="shared" si="48"/>
        <v>75</v>
      </c>
      <c r="K238" s="182">
        <v>7.6</v>
      </c>
      <c r="L238" s="5" t="s">
        <v>1</v>
      </c>
      <c r="M238" s="80">
        <f t="shared" si="57"/>
        <v>7.6</v>
      </c>
      <c r="N238" s="78">
        <f t="shared" si="55"/>
        <v>570</v>
      </c>
      <c r="O238" s="111">
        <f t="shared" si="56"/>
        <v>2663</v>
      </c>
      <c r="P238" s="125">
        <v>152868</v>
      </c>
      <c r="Q238" s="4">
        <v>9.5</v>
      </c>
      <c r="R238" s="49">
        <v>11.4</v>
      </c>
    </row>
    <row r="239" spans="1:18" x14ac:dyDescent="0.25">
      <c r="A239" s="31">
        <v>3</v>
      </c>
      <c r="B239" s="4" t="s">
        <v>547</v>
      </c>
      <c r="C239" s="5">
        <v>1</v>
      </c>
      <c r="D239" s="7">
        <v>0</v>
      </c>
      <c r="E239" s="3">
        <f t="shared" si="53"/>
        <v>1</v>
      </c>
      <c r="F239" s="3" t="s">
        <v>867</v>
      </c>
      <c r="G239" s="77">
        <v>2093</v>
      </c>
      <c r="H239" s="5" t="s">
        <v>1</v>
      </c>
      <c r="I239" s="78">
        <f t="shared" si="54"/>
        <v>2093</v>
      </c>
      <c r="J239" s="110">
        <f t="shared" si="48"/>
        <v>75</v>
      </c>
      <c r="K239" s="182">
        <v>10</v>
      </c>
      <c r="L239" s="5" t="s">
        <v>1</v>
      </c>
      <c r="M239" s="80">
        <f t="shared" si="57"/>
        <v>10</v>
      </c>
      <c r="N239" s="78">
        <f t="shared" si="55"/>
        <v>750</v>
      </c>
      <c r="O239" s="111">
        <f t="shared" si="56"/>
        <v>2843</v>
      </c>
      <c r="P239" s="125">
        <v>152871</v>
      </c>
      <c r="Q239" s="4">
        <v>12.5</v>
      </c>
      <c r="R239" s="49">
        <v>15</v>
      </c>
    </row>
    <row r="240" spans="1:18" x14ac:dyDescent="0.25">
      <c r="A240" s="31">
        <v>4</v>
      </c>
      <c r="B240" s="4" t="s">
        <v>548</v>
      </c>
      <c r="C240" s="5">
        <v>1</v>
      </c>
      <c r="D240" s="7">
        <v>0</v>
      </c>
      <c r="E240" s="3">
        <f t="shared" si="53"/>
        <v>1</v>
      </c>
      <c r="F240" s="3" t="s">
        <v>867</v>
      </c>
      <c r="G240" s="77">
        <v>2144</v>
      </c>
      <c r="H240" s="5" t="s">
        <v>1</v>
      </c>
      <c r="I240" s="78">
        <f t="shared" si="54"/>
        <v>2144</v>
      </c>
      <c r="J240" s="110">
        <f t="shared" si="48"/>
        <v>75</v>
      </c>
      <c r="K240" s="182">
        <v>14.8</v>
      </c>
      <c r="L240" s="5" t="s">
        <v>1</v>
      </c>
      <c r="M240" s="80">
        <f t="shared" si="57"/>
        <v>14.8</v>
      </c>
      <c r="N240" s="78">
        <f t="shared" si="55"/>
        <v>1110</v>
      </c>
      <c r="O240" s="111">
        <f t="shared" si="56"/>
        <v>3254</v>
      </c>
      <c r="P240" s="125">
        <v>152874</v>
      </c>
      <c r="Q240" s="4">
        <v>18.5</v>
      </c>
      <c r="R240" s="49">
        <v>22.2</v>
      </c>
    </row>
    <row r="241" spans="1:18" x14ac:dyDescent="0.25">
      <c r="A241" s="31">
        <v>5</v>
      </c>
      <c r="B241" s="4" t="s">
        <v>549</v>
      </c>
      <c r="C241" s="5">
        <v>1</v>
      </c>
      <c r="D241" s="7">
        <v>0</v>
      </c>
      <c r="E241" s="3">
        <f t="shared" si="53"/>
        <v>1</v>
      </c>
      <c r="F241" s="3" t="s">
        <v>867</v>
      </c>
      <c r="G241" s="77">
        <v>2287</v>
      </c>
      <c r="H241" s="5" t="s">
        <v>1</v>
      </c>
      <c r="I241" s="78">
        <f t="shared" si="54"/>
        <v>2287</v>
      </c>
      <c r="J241" s="110">
        <f t="shared" si="48"/>
        <v>75</v>
      </c>
      <c r="K241" s="182">
        <v>16.2</v>
      </c>
      <c r="L241" s="5" t="s">
        <v>1</v>
      </c>
      <c r="M241" s="80">
        <f t="shared" si="57"/>
        <v>16.2</v>
      </c>
      <c r="N241" s="78">
        <f t="shared" si="55"/>
        <v>1215</v>
      </c>
      <c r="O241" s="111">
        <f t="shared" si="56"/>
        <v>3502</v>
      </c>
      <c r="P241" s="125">
        <v>152877</v>
      </c>
      <c r="Q241" s="4">
        <v>20.25</v>
      </c>
      <c r="R241" s="49">
        <v>24.3</v>
      </c>
    </row>
    <row r="242" spans="1:18" x14ac:dyDescent="0.25">
      <c r="A242" s="31">
        <v>6</v>
      </c>
      <c r="B242" s="4" t="s">
        <v>550</v>
      </c>
      <c r="C242" s="5">
        <v>1</v>
      </c>
      <c r="D242" s="7">
        <v>0</v>
      </c>
      <c r="E242" s="3">
        <f t="shared" si="53"/>
        <v>1</v>
      </c>
      <c r="F242" s="3" t="s">
        <v>867</v>
      </c>
      <c r="G242" s="77">
        <v>2093</v>
      </c>
      <c r="H242" s="5" t="s">
        <v>1</v>
      </c>
      <c r="I242" s="78">
        <f t="shared" si="54"/>
        <v>2093</v>
      </c>
      <c r="J242" s="110">
        <f t="shared" si="48"/>
        <v>75</v>
      </c>
      <c r="K242" s="182">
        <v>9.3000000000000007</v>
      </c>
      <c r="L242" s="5" t="s">
        <v>1</v>
      </c>
      <c r="M242" s="80">
        <f t="shared" si="57"/>
        <v>9.3000000000000007</v>
      </c>
      <c r="N242" s="78">
        <f t="shared" si="55"/>
        <v>697.5</v>
      </c>
      <c r="O242" s="111">
        <f t="shared" si="56"/>
        <v>2790.5</v>
      </c>
      <c r="P242" s="125">
        <v>224280</v>
      </c>
      <c r="Q242" s="4">
        <v>11.63</v>
      </c>
      <c r="R242" s="49">
        <v>13.95</v>
      </c>
    </row>
    <row r="243" spans="1:18" x14ac:dyDescent="0.25">
      <c r="A243" s="31">
        <v>7</v>
      </c>
      <c r="B243" s="4" t="s">
        <v>551</v>
      </c>
      <c r="C243" s="5">
        <v>1</v>
      </c>
      <c r="D243" s="7">
        <v>0</v>
      </c>
      <c r="E243" s="3">
        <f t="shared" si="53"/>
        <v>1</v>
      </c>
      <c r="F243" s="3" t="s">
        <v>867</v>
      </c>
      <c r="G243" s="77">
        <v>2144</v>
      </c>
      <c r="H243" s="5" t="s">
        <v>1</v>
      </c>
      <c r="I243" s="78">
        <f t="shared" si="54"/>
        <v>2144</v>
      </c>
      <c r="J243" s="110">
        <f t="shared" si="48"/>
        <v>75</v>
      </c>
      <c r="K243" s="182">
        <v>12.7</v>
      </c>
      <c r="L243" s="5" t="s">
        <v>1</v>
      </c>
      <c r="M243" s="80">
        <f t="shared" si="57"/>
        <v>12.7</v>
      </c>
      <c r="N243" s="78">
        <f t="shared" si="55"/>
        <v>952.5</v>
      </c>
      <c r="O243" s="111">
        <f t="shared" si="56"/>
        <v>3096.5</v>
      </c>
      <c r="P243" s="125">
        <v>224283</v>
      </c>
      <c r="Q243" s="4">
        <v>15.88</v>
      </c>
      <c r="R243" s="49">
        <v>19.05</v>
      </c>
    </row>
    <row r="244" spans="1:18" x14ac:dyDescent="0.25">
      <c r="A244" s="31">
        <v>8</v>
      </c>
      <c r="B244" s="4" t="s">
        <v>552</v>
      </c>
      <c r="C244" s="5">
        <v>1</v>
      </c>
      <c r="D244" s="7">
        <v>0</v>
      </c>
      <c r="E244" s="3">
        <f t="shared" si="53"/>
        <v>1</v>
      </c>
      <c r="F244" s="3" t="s">
        <v>867</v>
      </c>
      <c r="G244" s="77">
        <v>2287</v>
      </c>
      <c r="H244" s="5" t="s">
        <v>1</v>
      </c>
      <c r="I244" s="78">
        <f t="shared" si="54"/>
        <v>2287</v>
      </c>
      <c r="J244" s="110">
        <f t="shared" si="48"/>
        <v>75</v>
      </c>
      <c r="K244" s="182">
        <v>14.1</v>
      </c>
      <c r="L244" s="5" t="s">
        <v>1</v>
      </c>
      <c r="M244" s="80">
        <f t="shared" si="57"/>
        <v>14.1</v>
      </c>
      <c r="N244" s="78">
        <f t="shared" si="55"/>
        <v>1057.5</v>
      </c>
      <c r="O244" s="111">
        <f t="shared" si="56"/>
        <v>3344.5</v>
      </c>
      <c r="P244" s="125">
        <v>224286</v>
      </c>
      <c r="Q244" s="4">
        <v>17.63</v>
      </c>
      <c r="R244" s="49">
        <v>21.15</v>
      </c>
    </row>
    <row r="245" spans="1:18" x14ac:dyDescent="0.25">
      <c r="A245" s="31">
        <v>9</v>
      </c>
      <c r="B245" s="4" t="s">
        <v>553</v>
      </c>
      <c r="C245" s="5">
        <v>1</v>
      </c>
      <c r="D245" s="7">
        <v>0</v>
      </c>
      <c r="E245" s="3">
        <f t="shared" si="53"/>
        <v>1</v>
      </c>
      <c r="F245" s="3" t="s">
        <v>867</v>
      </c>
      <c r="G245" s="77">
        <v>3737</v>
      </c>
      <c r="H245" s="5" t="s">
        <v>1</v>
      </c>
      <c r="I245" s="78">
        <f t="shared" si="54"/>
        <v>3737</v>
      </c>
      <c r="J245" s="110">
        <f t="shared" si="48"/>
        <v>75</v>
      </c>
      <c r="K245" s="182">
        <v>16.5</v>
      </c>
      <c r="L245" s="5" t="s">
        <v>1</v>
      </c>
      <c r="M245" s="80">
        <f t="shared" si="57"/>
        <v>16.5</v>
      </c>
      <c r="N245" s="78">
        <f t="shared" si="55"/>
        <v>1237.5</v>
      </c>
      <c r="O245" s="111">
        <f t="shared" si="56"/>
        <v>4974.5</v>
      </c>
      <c r="P245" s="125">
        <v>152880</v>
      </c>
      <c r="Q245" s="4">
        <v>20.63</v>
      </c>
      <c r="R245" s="49">
        <v>24.75</v>
      </c>
    </row>
    <row r="246" spans="1:18" x14ac:dyDescent="0.25">
      <c r="A246" s="31">
        <v>10</v>
      </c>
      <c r="B246" s="4" t="s">
        <v>554</v>
      </c>
      <c r="C246" s="5">
        <v>1</v>
      </c>
      <c r="D246" s="7">
        <v>0</v>
      </c>
      <c r="E246" s="3">
        <f t="shared" si="53"/>
        <v>1</v>
      </c>
      <c r="F246" s="3" t="s">
        <v>867</v>
      </c>
      <c r="G246" s="77">
        <v>6359</v>
      </c>
      <c r="H246" s="5" t="s">
        <v>1</v>
      </c>
      <c r="I246" s="78">
        <f t="shared" si="54"/>
        <v>6359</v>
      </c>
      <c r="J246" s="110">
        <f t="shared" si="48"/>
        <v>75</v>
      </c>
      <c r="K246" s="182">
        <v>19.600000000000001</v>
      </c>
      <c r="L246" s="5" t="s">
        <v>1</v>
      </c>
      <c r="M246" s="80">
        <f t="shared" si="57"/>
        <v>19.600000000000001</v>
      </c>
      <c r="N246" s="78">
        <f t="shared" si="55"/>
        <v>1470</v>
      </c>
      <c r="O246" s="111">
        <f t="shared" si="56"/>
        <v>7829</v>
      </c>
      <c r="P246" s="125">
        <v>152883</v>
      </c>
      <c r="Q246" s="4">
        <v>24.5</v>
      </c>
      <c r="R246" s="49">
        <v>29.4</v>
      </c>
    </row>
    <row r="247" spans="1:18" x14ac:dyDescent="0.25">
      <c r="A247" s="31">
        <v>11</v>
      </c>
      <c r="B247" s="4" t="s">
        <v>555</v>
      </c>
      <c r="C247" s="5">
        <v>1</v>
      </c>
      <c r="D247" s="7">
        <v>0</v>
      </c>
      <c r="E247" s="3">
        <f t="shared" si="53"/>
        <v>1</v>
      </c>
      <c r="F247" s="3" t="s">
        <v>867</v>
      </c>
      <c r="G247" s="77">
        <v>8487</v>
      </c>
      <c r="H247" s="5" t="s">
        <v>1</v>
      </c>
      <c r="I247" s="78">
        <f t="shared" si="54"/>
        <v>8487</v>
      </c>
      <c r="J247" s="110">
        <f t="shared" si="48"/>
        <v>75</v>
      </c>
      <c r="K247" s="182">
        <v>22</v>
      </c>
      <c r="L247" s="5" t="s">
        <v>1</v>
      </c>
      <c r="M247" s="80">
        <f t="shared" si="57"/>
        <v>22</v>
      </c>
      <c r="N247" s="78">
        <f t="shared" si="55"/>
        <v>1650</v>
      </c>
      <c r="O247" s="111">
        <f t="shared" si="56"/>
        <v>10137</v>
      </c>
      <c r="P247" s="125">
        <v>152886</v>
      </c>
      <c r="Q247" s="4">
        <v>27.5</v>
      </c>
      <c r="R247" s="49">
        <v>33</v>
      </c>
    </row>
    <row r="248" spans="1:18" x14ac:dyDescent="0.25">
      <c r="A248" s="31">
        <v>12</v>
      </c>
      <c r="B248" s="4" t="s">
        <v>556</v>
      </c>
      <c r="C248" s="5">
        <v>1</v>
      </c>
      <c r="D248" s="7">
        <v>0</v>
      </c>
      <c r="E248" s="3">
        <f t="shared" si="53"/>
        <v>1</v>
      </c>
      <c r="F248" s="3" t="s">
        <v>867</v>
      </c>
      <c r="G248" s="77">
        <v>10792</v>
      </c>
      <c r="H248" s="5" t="s">
        <v>1</v>
      </c>
      <c r="I248" s="78">
        <f t="shared" si="54"/>
        <v>10792</v>
      </c>
      <c r="J248" s="110">
        <f t="shared" si="48"/>
        <v>75</v>
      </c>
      <c r="K248" s="182">
        <v>27.5</v>
      </c>
      <c r="L248" s="5" t="s">
        <v>1</v>
      </c>
      <c r="M248" s="80">
        <f t="shared" si="57"/>
        <v>27.5</v>
      </c>
      <c r="N248" s="78">
        <f t="shared" si="55"/>
        <v>2062.5</v>
      </c>
      <c r="O248" s="111">
        <f t="shared" si="56"/>
        <v>12854.5</v>
      </c>
      <c r="P248" s="125">
        <v>224289</v>
      </c>
      <c r="Q248" s="4">
        <v>34.380000000000003</v>
      </c>
      <c r="R248" s="49">
        <v>41.25</v>
      </c>
    </row>
    <row r="249" spans="1:18" x14ac:dyDescent="0.25">
      <c r="A249" s="31">
        <v>13</v>
      </c>
      <c r="B249" s="4" t="s">
        <v>557</v>
      </c>
      <c r="C249" s="5">
        <v>1</v>
      </c>
      <c r="D249" s="7">
        <v>0</v>
      </c>
      <c r="E249" s="3">
        <f t="shared" si="53"/>
        <v>1</v>
      </c>
      <c r="F249" s="3" t="s">
        <v>867</v>
      </c>
      <c r="G249" s="77">
        <v>15395</v>
      </c>
      <c r="H249" s="5" t="s">
        <v>1</v>
      </c>
      <c r="I249" s="78">
        <f t="shared" si="54"/>
        <v>15395</v>
      </c>
      <c r="J249" s="110">
        <f t="shared" si="48"/>
        <v>75</v>
      </c>
      <c r="K249" s="182">
        <v>33.6</v>
      </c>
      <c r="L249" s="5" t="s">
        <v>1</v>
      </c>
      <c r="M249" s="80">
        <f t="shared" si="57"/>
        <v>33.6</v>
      </c>
      <c r="N249" s="78">
        <f t="shared" si="55"/>
        <v>2520</v>
      </c>
      <c r="O249" s="111">
        <f t="shared" si="56"/>
        <v>17915</v>
      </c>
      <c r="P249" s="125">
        <v>224292</v>
      </c>
      <c r="Q249" s="4">
        <v>42</v>
      </c>
      <c r="R249" s="49">
        <v>50.4</v>
      </c>
    </row>
    <row r="250" spans="1:18" x14ac:dyDescent="0.25">
      <c r="A250" s="31">
        <v>14</v>
      </c>
      <c r="B250" s="4" t="s">
        <v>558</v>
      </c>
      <c r="C250" s="5">
        <v>1</v>
      </c>
      <c r="D250" s="7">
        <v>0</v>
      </c>
      <c r="E250" s="3">
        <f t="shared" si="53"/>
        <v>1</v>
      </c>
      <c r="F250" s="3" t="s">
        <v>867</v>
      </c>
      <c r="G250" s="77">
        <v>0</v>
      </c>
      <c r="H250" s="5" t="s">
        <v>1</v>
      </c>
      <c r="I250" s="78">
        <f t="shared" si="54"/>
        <v>0</v>
      </c>
      <c r="J250" s="110">
        <f t="shared" si="48"/>
        <v>75</v>
      </c>
      <c r="K250" s="182">
        <v>38</v>
      </c>
      <c r="L250" s="5" t="s">
        <v>1</v>
      </c>
      <c r="M250" s="80">
        <f t="shared" si="57"/>
        <v>38</v>
      </c>
      <c r="N250" s="78">
        <f t="shared" si="55"/>
        <v>2850</v>
      </c>
      <c r="O250" s="111">
        <f t="shared" si="56"/>
        <v>2850</v>
      </c>
      <c r="P250" s="125">
        <v>224295</v>
      </c>
      <c r="Q250" s="4">
        <v>47.5</v>
      </c>
      <c r="R250" s="49">
        <v>57</v>
      </c>
    </row>
    <row r="251" spans="1:18" x14ac:dyDescent="0.25">
      <c r="A251" s="31">
        <v>15</v>
      </c>
      <c r="B251" s="4" t="s">
        <v>559</v>
      </c>
      <c r="C251" s="5">
        <v>1</v>
      </c>
      <c r="D251" s="7">
        <v>0</v>
      </c>
      <c r="E251" s="3">
        <f t="shared" si="53"/>
        <v>1</v>
      </c>
      <c r="F251" s="3" t="s">
        <v>867</v>
      </c>
      <c r="G251" s="77">
        <v>0</v>
      </c>
      <c r="H251" s="5" t="s">
        <v>1</v>
      </c>
      <c r="I251" s="78">
        <f t="shared" si="54"/>
        <v>0</v>
      </c>
      <c r="J251" s="110">
        <f t="shared" si="48"/>
        <v>75</v>
      </c>
      <c r="K251" s="182">
        <v>40.4</v>
      </c>
      <c r="L251" s="5" t="s">
        <v>1</v>
      </c>
      <c r="M251" s="80">
        <f t="shared" si="57"/>
        <v>40.4</v>
      </c>
      <c r="N251" s="78">
        <f t="shared" si="55"/>
        <v>3030</v>
      </c>
      <c r="O251" s="111">
        <f t="shared" si="56"/>
        <v>3030</v>
      </c>
      <c r="P251" s="125">
        <v>224298</v>
      </c>
      <c r="Q251" s="4">
        <v>50.5</v>
      </c>
      <c r="R251" s="49">
        <v>60.6</v>
      </c>
    </row>
    <row r="252" spans="1:18" x14ac:dyDescent="0.25">
      <c r="A252" s="31">
        <v>16</v>
      </c>
      <c r="B252" s="4" t="s">
        <v>560</v>
      </c>
      <c r="C252" s="5">
        <v>1</v>
      </c>
      <c r="D252" s="7">
        <v>0</v>
      </c>
      <c r="E252" s="3">
        <f t="shared" si="53"/>
        <v>1</v>
      </c>
      <c r="F252" s="3" t="s">
        <v>867</v>
      </c>
      <c r="G252" s="77">
        <v>18600</v>
      </c>
      <c r="H252" s="5" t="s">
        <v>1</v>
      </c>
      <c r="I252" s="78">
        <f t="shared" si="54"/>
        <v>18600</v>
      </c>
      <c r="J252" s="110">
        <f t="shared" si="48"/>
        <v>75</v>
      </c>
      <c r="K252" s="182">
        <v>42.5</v>
      </c>
      <c r="L252" s="5" t="s">
        <v>1</v>
      </c>
      <c r="M252" s="80">
        <f t="shared" si="57"/>
        <v>42.5</v>
      </c>
      <c r="N252" s="78">
        <f t="shared" si="55"/>
        <v>3187.5</v>
      </c>
      <c r="O252" s="111">
        <f t="shared" si="56"/>
        <v>21787.5</v>
      </c>
      <c r="P252" s="125">
        <v>224301</v>
      </c>
      <c r="Q252" s="4">
        <v>53.13</v>
      </c>
      <c r="R252" s="49">
        <v>63.75</v>
      </c>
    </row>
    <row r="253" spans="1:18" x14ac:dyDescent="0.25">
      <c r="A253" s="31">
        <v>17</v>
      </c>
      <c r="B253" s="4" t="s">
        <v>561</v>
      </c>
      <c r="C253" s="5">
        <v>1</v>
      </c>
      <c r="D253" s="7">
        <v>0</v>
      </c>
      <c r="E253" s="3">
        <f t="shared" si="53"/>
        <v>1</v>
      </c>
      <c r="F253" s="3" t="s">
        <v>867</v>
      </c>
      <c r="G253" s="77">
        <v>0</v>
      </c>
      <c r="H253" s="5" t="s">
        <v>1</v>
      </c>
      <c r="I253" s="78">
        <f t="shared" si="54"/>
        <v>0</v>
      </c>
      <c r="J253" s="110">
        <f t="shared" si="48"/>
        <v>75</v>
      </c>
      <c r="K253" s="182">
        <v>47.5</v>
      </c>
      <c r="L253" s="5" t="s">
        <v>1</v>
      </c>
      <c r="M253" s="80">
        <f t="shared" si="57"/>
        <v>47.5</v>
      </c>
      <c r="N253" s="78">
        <f t="shared" si="55"/>
        <v>3562.5</v>
      </c>
      <c r="O253" s="111">
        <f t="shared" si="56"/>
        <v>3562.5</v>
      </c>
      <c r="P253" s="125">
        <v>224304</v>
      </c>
      <c r="Q253" s="4">
        <v>59.38</v>
      </c>
      <c r="R253" s="49">
        <v>71.25</v>
      </c>
    </row>
    <row r="254" spans="1:18" x14ac:dyDescent="0.25">
      <c r="A254" s="31">
        <v>18</v>
      </c>
      <c r="B254" s="4" t="s">
        <v>562</v>
      </c>
      <c r="C254" s="5">
        <v>1</v>
      </c>
      <c r="D254" s="7">
        <v>0</v>
      </c>
      <c r="E254" s="3">
        <f t="shared" si="53"/>
        <v>1</v>
      </c>
      <c r="F254" s="3" t="s">
        <v>867</v>
      </c>
      <c r="G254" s="77">
        <v>70000</v>
      </c>
      <c r="H254" s="5" t="s">
        <v>1</v>
      </c>
      <c r="I254" s="78">
        <f t="shared" si="54"/>
        <v>70000</v>
      </c>
      <c r="J254" s="110">
        <f t="shared" si="48"/>
        <v>75</v>
      </c>
      <c r="K254" s="182">
        <v>52.4</v>
      </c>
      <c r="L254" s="5" t="s">
        <v>1</v>
      </c>
      <c r="M254" s="80">
        <f t="shared" si="57"/>
        <v>52.4</v>
      </c>
      <c r="N254" s="78">
        <f t="shared" si="55"/>
        <v>3930</v>
      </c>
      <c r="O254" s="111">
        <f t="shared" si="56"/>
        <v>73930</v>
      </c>
      <c r="P254" s="125">
        <v>224307</v>
      </c>
      <c r="Q254" s="4">
        <v>65.5</v>
      </c>
      <c r="R254" s="49">
        <v>78.599999999999994</v>
      </c>
    </row>
    <row r="255" spans="1:18" x14ac:dyDescent="0.25">
      <c r="A255" s="31"/>
      <c r="B255" s="4"/>
      <c r="C255" s="5"/>
      <c r="D255" s="7"/>
      <c r="E255" s="3"/>
      <c r="F255" s="3"/>
      <c r="G255" s="77" t="s">
        <v>1202</v>
      </c>
      <c r="H255" s="5"/>
      <c r="I255" s="78"/>
      <c r="J255" s="4"/>
      <c r="K255" s="182"/>
      <c r="L255" s="5"/>
      <c r="M255" s="80"/>
      <c r="N255" s="78"/>
      <c r="O255" s="111"/>
      <c r="P255" s="125"/>
      <c r="Q255" s="4"/>
      <c r="R255" s="49"/>
    </row>
    <row r="256" spans="1:18" x14ac:dyDescent="0.25">
      <c r="A256" s="31">
        <v>1</v>
      </c>
      <c r="B256" s="4" t="s">
        <v>563</v>
      </c>
      <c r="C256" s="5">
        <v>1</v>
      </c>
      <c r="D256" s="7">
        <v>0</v>
      </c>
      <c r="E256" s="3">
        <f t="shared" si="53"/>
        <v>1</v>
      </c>
      <c r="F256" s="3" t="s">
        <v>867</v>
      </c>
      <c r="G256" s="77">
        <v>2460</v>
      </c>
      <c r="H256" s="5" t="s">
        <v>1</v>
      </c>
      <c r="I256" s="78">
        <f t="shared" si="54"/>
        <v>2460</v>
      </c>
      <c r="J256" s="110">
        <f t="shared" si="48"/>
        <v>75</v>
      </c>
      <c r="K256" s="182">
        <v>10.199999999999999</v>
      </c>
      <c r="L256" s="5" t="s">
        <v>1</v>
      </c>
      <c r="M256" s="80">
        <f t="shared" si="57"/>
        <v>10.199999999999999</v>
      </c>
      <c r="N256" s="78">
        <f t="shared" si="55"/>
        <v>765</v>
      </c>
      <c r="O256" s="111">
        <f t="shared" si="56"/>
        <v>3225</v>
      </c>
      <c r="P256" s="125">
        <v>153333</v>
      </c>
      <c r="Q256" s="4">
        <v>12.75</v>
      </c>
      <c r="R256" s="49">
        <v>15.3</v>
      </c>
    </row>
    <row r="257" spans="1:18" x14ac:dyDescent="0.25">
      <c r="A257" s="31">
        <v>2</v>
      </c>
      <c r="B257" s="4" t="s">
        <v>564</v>
      </c>
      <c r="C257" s="5">
        <v>1</v>
      </c>
      <c r="D257" s="7">
        <v>0</v>
      </c>
      <c r="E257" s="3">
        <f t="shared" si="53"/>
        <v>1</v>
      </c>
      <c r="F257" s="3" t="s">
        <v>867</v>
      </c>
      <c r="G257" s="77">
        <v>2960</v>
      </c>
      <c r="H257" s="5" t="s">
        <v>1</v>
      </c>
      <c r="I257" s="78">
        <f t="shared" si="54"/>
        <v>2960</v>
      </c>
      <c r="J257" s="110">
        <f t="shared" si="48"/>
        <v>75</v>
      </c>
      <c r="K257" s="182">
        <v>12</v>
      </c>
      <c r="L257" s="5" t="s">
        <v>1</v>
      </c>
      <c r="M257" s="80">
        <f t="shared" si="57"/>
        <v>12</v>
      </c>
      <c r="N257" s="78">
        <f t="shared" si="55"/>
        <v>900</v>
      </c>
      <c r="O257" s="111">
        <f t="shared" si="56"/>
        <v>3860</v>
      </c>
      <c r="P257" s="125">
        <v>153336</v>
      </c>
      <c r="Q257" s="4">
        <v>15</v>
      </c>
      <c r="R257" s="49">
        <v>18</v>
      </c>
    </row>
    <row r="258" spans="1:18" x14ac:dyDescent="0.25">
      <c r="A258" s="31">
        <v>3</v>
      </c>
      <c r="B258" s="4" t="s">
        <v>565</v>
      </c>
      <c r="C258" s="5">
        <v>1</v>
      </c>
      <c r="D258" s="7">
        <v>0</v>
      </c>
      <c r="E258" s="3">
        <f t="shared" si="53"/>
        <v>1</v>
      </c>
      <c r="F258" s="3" t="s">
        <v>867</v>
      </c>
      <c r="G258" s="77">
        <v>4130</v>
      </c>
      <c r="H258" s="5" t="s">
        <v>1</v>
      </c>
      <c r="I258" s="78">
        <f t="shared" si="54"/>
        <v>4130</v>
      </c>
      <c r="J258" s="110">
        <f t="shared" si="48"/>
        <v>75</v>
      </c>
      <c r="K258" s="182">
        <v>16.2</v>
      </c>
      <c r="L258" s="5" t="s">
        <v>1</v>
      </c>
      <c r="M258" s="80">
        <f t="shared" si="57"/>
        <v>16.2</v>
      </c>
      <c r="N258" s="78">
        <f t="shared" si="55"/>
        <v>1215</v>
      </c>
      <c r="O258" s="111">
        <f t="shared" si="56"/>
        <v>5345</v>
      </c>
      <c r="P258" s="125">
        <v>153339</v>
      </c>
      <c r="Q258" s="4">
        <v>20.25</v>
      </c>
      <c r="R258" s="49">
        <v>24.3</v>
      </c>
    </row>
    <row r="259" spans="1:18" x14ac:dyDescent="0.25">
      <c r="A259" s="31">
        <v>4</v>
      </c>
      <c r="B259" s="4" t="s">
        <v>566</v>
      </c>
      <c r="C259" s="5">
        <v>1</v>
      </c>
      <c r="D259" s="7">
        <v>0</v>
      </c>
      <c r="E259" s="3">
        <f t="shared" si="53"/>
        <v>1</v>
      </c>
      <c r="F259" s="3" t="s">
        <v>867</v>
      </c>
      <c r="G259" s="77">
        <v>4740</v>
      </c>
      <c r="H259" s="5" t="s">
        <v>1</v>
      </c>
      <c r="I259" s="78">
        <f t="shared" si="54"/>
        <v>4740</v>
      </c>
      <c r="J259" s="110">
        <f t="shared" si="48"/>
        <v>75</v>
      </c>
      <c r="K259" s="182">
        <v>18</v>
      </c>
      <c r="L259" s="5" t="s">
        <v>1</v>
      </c>
      <c r="M259" s="80">
        <f t="shared" si="57"/>
        <v>18</v>
      </c>
      <c r="N259" s="78">
        <f t="shared" si="55"/>
        <v>1350</v>
      </c>
      <c r="O259" s="111">
        <f t="shared" si="56"/>
        <v>6090</v>
      </c>
      <c r="P259" s="125">
        <v>153342</v>
      </c>
      <c r="Q259" s="4">
        <v>22.5</v>
      </c>
      <c r="R259" s="49">
        <v>27</v>
      </c>
    </row>
    <row r="260" spans="1:18" x14ac:dyDescent="0.25">
      <c r="A260" s="31">
        <v>5</v>
      </c>
      <c r="B260" s="4" t="s">
        <v>567</v>
      </c>
      <c r="C260" s="5">
        <v>1</v>
      </c>
      <c r="D260" s="7">
        <v>0</v>
      </c>
      <c r="E260" s="3">
        <f t="shared" si="53"/>
        <v>1</v>
      </c>
      <c r="F260" s="3" t="s">
        <v>867</v>
      </c>
      <c r="G260" s="77">
        <v>5856.93</v>
      </c>
      <c r="H260" s="5" t="s">
        <v>1</v>
      </c>
      <c r="I260" s="78">
        <f t="shared" si="54"/>
        <v>5856.93</v>
      </c>
      <c r="J260" s="110">
        <f t="shared" si="48"/>
        <v>75</v>
      </c>
      <c r="K260" s="182">
        <v>19.8</v>
      </c>
      <c r="L260" s="5" t="s">
        <v>1</v>
      </c>
      <c r="M260" s="80">
        <f t="shared" si="57"/>
        <v>19.8</v>
      </c>
      <c r="N260" s="78">
        <f t="shared" si="55"/>
        <v>1485</v>
      </c>
      <c r="O260" s="111">
        <f t="shared" si="56"/>
        <v>7341.93</v>
      </c>
      <c r="P260" s="125">
        <v>153345</v>
      </c>
      <c r="Q260" s="4">
        <v>24.75</v>
      </c>
      <c r="R260" s="49">
        <v>29.7</v>
      </c>
    </row>
    <row r="261" spans="1:18" x14ac:dyDescent="0.25">
      <c r="A261" s="31">
        <v>6</v>
      </c>
      <c r="B261" s="4" t="s">
        <v>568</v>
      </c>
      <c r="C261" s="5">
        <v>1</v>
      </c>
      <c r="D261" s="7">
        <v>0</v>
      </c>
      <c r="E261" s="3">
        <f t="shared" si="53"/>
        <v>1</v>
      </c>
      <c r="F261" s="3" t="s">
        <v>867</v>
      </c>
      <c r="G261" s="77">
        <v>7790</v>
      </c>
      <c r="H261" s="5" t="s">
        <v>1</v>
      </c>
      <c r="I261" s="78">
        <f t="shared" si="54"/>
        <v>7790</v>
      </c>
      <c r="J261" s="110">
        <f t="shared" si="48"/>
        <v>75</v>
      </c>
      <c r="K261" s="182">
        <v>22</v>
      </c>
      <c r="L261" s="5" t="s">
        <v>1</v>
      </c>
      <c r="M261" s="80">
        <f t="shared" si="57"/>
        <v>22</v>
      </c>
      <c r="N261" s="78">
        <f t="shared" si="55"/>
        <v>1650</v>
      </c>
      <c r="O261" s="111">
        <f t="shared" si="56"/>
        <v>9440</v>
      </c>
      <c r="P261" s="125">
        <v>153348</v>
      </c>
      <c r="Q261" s="4">
        <v>27.5</v>
      </c>
      <c r="R261" s="49">
        <v>33</v>
      </c>
    </row>
    <row r="262" spans="1:18" x14ac:dyDescent="0.25">
      <c r="A262" s="31">
        <v>7</v>
      </c>
      <c r="B262" s="4" t="s">
        <v>569</v>
      </c>
      <c r="C262" s="5">
        <v>1</v>
      </c>
      <c r="D262" s="7">
        <v>0</v>
      </c>
      <c r="E262" s="3">
        <f t="shared" si="53"/>
        <v>1</v>
      </c>
      <c r="F262" s="3" t="s">
        <v>867</v>
      </c>
      <c r="G262" s="77">
        <v>8130</v>
      </c>
      <c r="H262" s="5" t="s">
        <v>1</v>
      </c>
      <c r="I262" s="78">
        <f t="shared" si="54"/>
        <v>8130</v>
      </c>
      <c r="J262" s="110">
        <f t="shared" si="48"/>
        <v>75</v>
      </c>
      <c r="K262" s="182">
        <v>24</v>
      </c>
      <c r="L262" s="5" t="s">
        <v>1</v>
      </c>
      <c r="M262" s="80">
        <f t="shared" si="57"/>
        <v>24</v>
      </c>
      <c r="N262" s="78">
        <f t="shared" si="55"/>
        <v>1800</v>
      </c>
      <c r="O262" s="111">
        <f t="shared" si="56"/>
        <v>9930</v>
      </c>
      <c r="P262" s="125">
        <v>153351</v>
      </c>
      <c r="Q262" s="4">
        <v>30</v>
      </c>
      <c r="R262" s="49">
        <v>36</v>
      </c>
    </row>
    <row r="263" spans="1:18" x14ac:dyDescent="0.25">
      <c r="A263" s="31">
        <v>8</v>
      </c>
      <c r="B263" s="4" t="s">
        <v>570</v>
      </c>
      <c r="C263" s="5">
        <v>1</v>
      </c>
      <c r="D263" s="7">
        <v>0</v>
      </c>
      <c r="E263" s="3">
        <f t="shared" si="53"/>
        <v>1</v>
      </c>
      <c r="F263" s="3" t="s">
        <v>867</v>
      </c>
      <c r="G263" s="77">
        <v>9576</v>
      </c>
      <c r="H263" s="5" t="s">
        <v>1</v>
      </c>
      <c r="I263" s="78">
        <f t="shared" si="54"/>
        <v>9576</v>
      </c>
      <c r="J263" s="110">
        <f t="shared" si="48"/>
        <v>75</v>
      </c>
      <c r="K263" s="182">
        <v>25.2</v>
      </c>
      <c r="L263" s="5" t="s">
        <v>1</v>
      </c>
      <c r="M263" s="80">
        <f t="shared" si="57"/>
        <v>25.2</v>
      </c>
      <c r="N263" s="78">
        <f t="shared" si="55"/>
        <v>1890</v>
      </c>
      <c r="O263" s="111">
        <f t="shared" si="56"/>
        <v>11466</v>
      </c>
      <c r="P263" s="125">
        <v>153354</v>
      </c>
      <c r="Q263" s="4">
        <v>31.5</v>
      </c>
      <c r="R263" s="49">
        <v>37.799999999999997</v>
      </c>
    </row>
    <row r="264" spans="1:18" x14ac:dyDescent="0.25">
      <c r="A264" s="31">
        <v>9</v>
      </c>
      <c r="B264" s="4" t="s">
        <v>571</v>
      </c>
      <c r="C264" s="5">
        <v>1</v>
      </c>
      <c r="D264" s="7">
        <v>0</v>
      </c>
      <c r="E264" s="3">
        <f t="shared" si="53"/>
        <v>1</v>
      </c>
      <c r="F264" s="3" t="s">
        <v>867</v>
      </c>
      <c r="G264" s="77">
        <v>10920</v>
      </c>
      <c r="H264" s="5" t="s">
        <v>1</v>
      </c>
      <c r="I264" s="78">
        <f t="shared" si="54"/>
        <v>10920</v>
      </c>
      <c r="J264" s="110">
        <f t="shared" ref="J264:J329" si="58">$O$4</f>
        <v>75</v>
      </c>
      <c r="K264" s="182">
        <v>26.6</v>
      </c>
      <c r="L264" s="5" t="s">
        <v>1</v>
      </c>
      <c r="M264" s="80">
        <f t="shared" si="57"/>
        <v>26.6</v>
      </c>
      <c r="N264" s="78">
        <f t="shared" si="55"/>
        <v>1995</v>
      </c>
      <c r="O264" s="111">
        <f t="shared" si="56"/>
        <v>12915</v>
      </c>
      <c r="P264" s="125">
        <v>153357</v>
      </c>
      <c r="Q264" s="4">
        <v>33.25</v>
      </c>
      <c r="R264" s="49">
        <v>39.9</v>
      </c>
    </row>
    <row r="265" spans="1:18" x14ac:dyDescent="0.25">
      <c r="A265" s="31">
        <v>10</v>
      </c>
      <c r="B265" s="4" t="s">
        <v>572</v>
      </c>
      <c r="C265" s="5">
        <v>1</v>
      </c>
      <c r="D265" s="7">
        <v>0</v>
      </c>
      <c r="E265" s="3">
        <f t="shared" si="53"/>
        <v>1</v>
      </c>
      <c r="F265" s="3" t="s">
        <v>867</v>
      </c>
      <c r="G265" s="77">
        <v>11372</v>
      </c>
      <c r="H265" s="5" t="s">
        <v>1</v>
      </c>
      <c r="I265" s="78">
        <f t="shared" si="54"/>
        <v>11372</v>
      </c>
      <c r="J265" s="110">
        <f t="shared" si="58"/>
        <v>75</v>
      </c>
      <c r="K265" s="182">
        <v>30</v>
      </c>
      <c r="L265" s="5" t="s">
        <v>1</v>
      </c>
      <c r="M265" s="80">
        <f t="shared" si="57"/>
        <v>30</v>
      </c>
      <c r="N265" s="78">
        <f t="shared" si="55"/>
        <v>2250</v>
      </c>
      <c r="O265" s="111">
        <f t="shared" si="56"/>
        <v>13622</v>
      </c>
      <c r="P265" s="125">
        <v>153360</v>
      </c>
      <c r="Q265" s="4">
        <v>37.5</v>
      </c>
      <c r="R265" s="49">
        <v>45</v>
      </c>
    </row>
    <row r="266" spans="1:18" x14ac:dyDescent="0.25">
      <c r="A266" s="31">
        <v>11</v>
      </c>
      <c r="B266" s="4" t="s">
        <v>573</v>
      </c>
      <c r="C266" s="5">
        <v>1</v>
      </c>
      <c r="D266" s="7">
        <v>0</v>
      </c>
      <c r="E266" s="3">
        <f t="shared" si="53"/>
        <v>1</v>
      </c>
      <c r="F266" s="3" t="s">
        <v>867</v>
      </c>
      <c r="G266" s="77">
        <v>15890</v>
      </c>
      <c r="H266" s="5" t="s">
        <v>1</v>
      </c>
      <c r="I266" s="78">
        <f t="shared" si="54"/>
        <v>15890</v>
      </c>
      <c r="J266" s="110">
        <f t="shared" si="58"/>
        <v>75</v>
      </c>
      <c r="K266" s="182">
        <v>33.5</v>
      </c>
      <c r="L266" s="5" t="s">
        <v>1</v>
      </c>
      <c r="M266" s="80">
        <f t="shared" si="57"/>
        <v>33.5</v>
      </c>
      <c r="N266" s="78">
        <f t="shared" si="55"/>
        <v>2512.5</v>
      </c>
      <c r="O266" s="111">
        <f t="shared" si="56"/>
        <v>18402.5</v>
      </c>
      <c r="P266" s="125">
        <v>153363</v>
      </c>
      <c r="Q266" s="4">
        <v>41.88</v>
      </c>
      <c r="R266" s="49">
        <v>50.25</v>
      </c>
    </row>
    <row r="267" spans="1:18" x14ac:dyDescent="0.25">
      <c r="A267" s="31">
        <v>12</v>
      </c>
      <c r="B267" s="4" t="s">
        <v>574</v>
      </c>
      <c r="C267" s="5">
        <v>1</v>
      </c>
      <c r="D267" s="7">
        <v>0</v>
      </c>
      <c r="E267" s="3">
        <f t="shared" si="53"/>
        <v>1</v>
      </c>
      <c r="F267" s="3" t="s">
        <v>867</v>
      </c>
      <c r="G267" s="77">
        <v>17127</v>
      </c>
      <c r="H267" s="5" t="s">
        <v>1</v>
      </c>
      <c r="I267" s="78">
        <f t="shared" si="54"/>
        <v>17127</v>
      </c>
      <c r="J267" s="110">
        <f t="shared" si="58"/>
        <v>75</v>
      </c>
      <c r="K267" s="182">
        <v>36</v>
      </c>
      <c r="L267" s="5" t="s">
        <v>1</v>
      </c>
      <c r="M267" s="80">
        <f t="shared" si="57"/>
        <v>36</v>
      </c>
      <c r="N267" s="78">
        <f t="shared" si="55"/>
        <v>2700</v>
      </c>
      <c r="O267" s="111">
        <f t="shared" si="56"/>
        <v>19827</v>
      </c>
      <c r="P267" s="125">
        <v>153366</v>
      </c>
      <c r="Q267" s="4">
        <v>45</v>
      </c>
      <c r="R267" s="49">
        <v>54</v>
      </c>
    </row>
    <row r="268" spans="1:18" x14ac:dyDescent="0.25">
      <c r="A268" s="31">
        <v>13</v>
      </c>
      <c r="B268" s="4" t="s">
        <v>575</v>
      </c>
      <c r="C268" s="5">
        <v>1</v>
      </c>
      <c r="D268" s="7">
        <v>0</v>
      </c>
      <c r="E268" s="3">
        <f t="shared" si="53"/>
        <v>1</v>
      </c>
      <c r="F268" s="3" t="s">
        <v>867</v>
      </c>
      <c r="G268" s="77">
        <v>19677</v>
      </c>
      <c r="H268" s="5" t="s">
        <v>1</v>
      </c>
      <c r="I268" s="78">
        <f t="shared" si="54"/>
        <v>19677</v>
      </c>
      <c r="J268" s="110">
        <f t="shared" si="58"/>
        <v>75</v>
      </c>
      <c r="K268" s="182">
        <v>38</v>
      </c>
      <c r="L268" s="5" t="s">
        <v>1</v>
      </c>
      <c r="M268" s="80">
        <f t="shared" si="57"/>
        <v>38</v>
      </c>
      <c r="N268" s="78">
        <f t="shared" si="55"/>
        <v>2850</v>
      </c>
      <c r="O268" s="111">
        <f t="shared" si="56"/>
        <v>22527</v>
      </c>
      <c r="P268" s="125">
        <v>153369</v>
      </c>
      <c r="Q268" s="4">
        <v>47.5</v>
      </c>
      <c r="R268" s="49">
        <v>57</v>
      </c>
    </row>
    <row r="269" spans="1:18" x14ac:dyDescent="0.25">
      <c r="A269" s="31">
        <v>14</v>
      </c>
      <c r="B269" s="4" t="s">
        <v>576</v>
      </c>
      <c r="C269" s="5">
        <v>1</v>
      </c>
      <c r="D269" s="7">
        <v>0</v>
      </c>
      <c r="E269" s="3">
        <f t="shared" si="53"/>
        <v>1</v>
      </c>
      <c r="F269" s="3" t="s">
        <v>867</v>
      </c>
      <c r="G269" s="77">
        <v>21729</v>
      </c>
      <c r="H269" s="5" t="s">
        <v>1</v>
      </c>
      <c r="I269" s="78">
        <f t="shared" si="54"/>
        <v>21729</v>
      </c>
      <c r="J269" s="110">
        <f t="shared" si="58"/>
        <v>75</v>
      </c>
      <c r="K269" s="182">
        <v>39</v>
      </c>
      <c r="L269" s="5" t="s">
        <v>1</v>
      </c>
      <c r="M269" s="80">
        <f t="shared" si="57"/>
        <v>39</v>
      </c>
      <c r="N269" s="78">
        <f t="shared" si="55"/>
        <v>2925</v>
      </c>
      <c r="O269" s="111">
        <f t="shared" si="56"/>
        <v>24654</v>
      </c>
      <c r="P269" s="125">
        <v>153372</v>
      </c>
      <c r="Q269" s="4">
        <v>48.75</v>
      </c>
      <c r="R269" s="49">
        <v>58.5</v>
      </c>
    </row>
    <row r="270" spans="1:18" x14ac:dyDescent="0.25">
      <c r="A270" s="31">
        <v>15</v>
      </c>
      <c r="B270" s="4" t="s">
        <v>577</v>
      </c>
      <c r="C270" s="5">
        <v>1</v>
      </c>
      <c r="D270" s="7">
        <v>0</v>
      </c>
      <c r="E270" s="3">
        <f t="shared" si="53"/>
        <v>1</v>
      </c>
      <c r="F270" s="3" t="s">
        <v>867</v>
      </c>
      <c r="G270" s="77">
        <v>30246</v>
      </c>
      <c r="H270" s="5" t="s">
        <v>1</v>
      </c>
      <c r="I270" s="78">
        <f t="shared" si="54"/>
        <v>30246</v>
      </c>
      <c r="J270" s="110">
        <f t="shared" si="58"/>
        <v>75</v>
      </c>
      <c r="K270" s="182">
        <v>46.4</v>
      </c>
      <c r="L270" s="5" t="s">
        <v>1</v>
      </c>
      <c r="M270" s="80">
        <f t="shared" si="57"/>
        <v>46.4</v>
      </c>
      <c r="N270" s="78">
        <f t="shared" si="55"/>
        <v>3480</v>
      </c>
      <c r="O270" s="111">
        <f t="shared" si="56"/>
        <v>33726</v>
      </c>
      <c r="P270" s="125">
        <v>153375</v>
      </c>
      <c r="Q270" s="4">
        <v>58</v>
      </c>
      <c r="R270" s="49">
        <v>69.599999999999994</v>
      </c>
    </row>
    <row r="271" spans="1:18" x14ac:dyDescent="0.25">
      <c r="A271" s="31"/>
      <c r="B271" s="4"/>
      <c r="C271" s="5"/>
      <c r="D271" s="7"/>
      <c r="E271" s="3"/>
      <c r="F271" s="3"/>
      <c r="G271" s="77" t="s">
        <v>1202</v>
      </c>
      <c r="H271" s="5"/>
      <c r="I271" s="78"/>
      <c r="J271" s="4"/>
      <c r="K271" s="182"/>
      <c r="L271" s="5"/>
      <c r="M271" s="80"/>
      <c r="N271" s="78"/>
      <c r="O271" s="111"/>
      <c r="P271" s="125"/>
      <c r="Q271" s="4"/>
      <c r="R271" s="49"/>
    </row>
    <row r="272" spans="1:18" x14ac:dyDescent="0.25">
      <c r="A272" s="31">
        <v>1</v>
      </c>
      <c r="B272" s="4" t="s">
        <v>578</v>
      </c>
      <c r="C272" s="5">
        <v>1</v>
      </c>
      <c r="D272" s="7">
        <v>0</v>
      </c>
      <c r="E272" s="3">
        <f t="shared" si="53"/>
        <v>1</v>
      </c>
      <c r="F272" s="3" t="s">
        <v>867</v>
      </c>
      <c r="G272" s="77">
        <v>478</v>
      </c>
      <c r="H272" s="5" t="s">
        <v>1</v>
      </c>
      <c r="I272" s="78">
        <f t="shared" si="54"/>
        <v>478</v>
      </c>
      <c r="J272" s="110">
        <f t="shared" si="58"/>
        <v>75</v>
      </c>
      <c r="K272" s="182">
        <v>4.9000000000000004</v>
      </c>
      <c r="L272" s="5" t="s">
        <v>1</v>
      </c>
      <c r="M272" s="80">
        <f t="shared" si="57"/>
        <v>4.9000000000000004</v>
      </c>
      <c r="N272" s="78">
        <f t="shared" si="55"/>
        <v>367.5</v>
      </c>
      <c r="O272" s="111">
        <f t="shared" si="56"/>
        <v>845.5</v>
      </c>
      <c r="P272" s="125">
        <v>153297</v>
      </c>
      <c r="Q272" s="4">
        <v>6.13</v>
      </c>
      <c r="R272" s="49">
        <v>7.35</v>
      </c>
    </row>
    <row r="273" spans="1:18" x14ac:dyDescent="0.25">
      <c r="A273" s="31">
        <v>2</v>
      </c>
      <c r="B273" s="4" t="s">
        <v>579</v>
      </c>
      <c r="C273" s="5">
        <v>1</v>
      </c>
      <c r="D273" s="7">
        <v>0</v>
      </c>
      <c r="E273" s="3">
        <f t="shared" si="53"/>
        <v>1</v>
      </c>
      <c r="F273" s="3" t="s">
        <v>867</v>
      </c>
      <c r="G273" s="77">
        <v>502</v>
      </c>
      <c r="H273" s="5" t="s">
        <v>1</v>
      </c>
      <c r="I273" s="78">
        <f t="shared" si="54"/>
        <v>502</v>
      </c>
      <c r="J273" s="110">
        <f t="shared" si="58"/>
        <v>75</v>
      </c>
      <c r="K273" s="182">
        <v>5.7</v>
      </c>
      <c r="L273" s="5" t="s">
        <v>1</v>
      </c>
      <c r="M273" s="80">
        <f t="shared" si="57"/>
        <v>5.7</v>
      </c>
      <c r="N273" s="78">
        <f t="shared" si="55"/>
        <v>427.5</v>
      </c>
      <c r="O273" s="111">
        <f t="shared" si="56"/>
        <v>929.5</v>
      </c>
      <c r="P273" s="125">
        <v>153300</v>
      </c>
      <c r="Q273" s="4">
        <v>7.13</v>
      </c>
      <c r="R273" s="49">
        <v>8.5500000000000007</v>
      </c>
    </row>
    <row r="274" spans="1:18" x14ac:dyDescent="0.25">
      <c r="A274" s="31">
        <v>3</v>
      </c>
      <c r="B274" s="4" t="s">
        <v>580</v>
      </c>
      <c r="C274" s="5">
        <v>1</v>
      </c>
      <c r="D274" s="7">
        <v>0</v>
      </c>
      <c r="E274" s="3">
        <f t="shared" si="53"/>
        <v>1</v>
      </c>
      <c r="F274" s="3" t="s">
        <v>867</v>
      </c>
      <c r="G274" s="77">
        <v>576</v>
      </c>
      <c r="H274" s="5" t="s">
        <v>1</v>
      </c>
      <c r="I274" s="78">
        <f t="shared" si="54"/>
        <v>576</v>
      </c>
      <c r="J274" s="110">
        <f t="shared" si="58"/>
        <v>75</v>
      </c>
      <c r="K274" s="182">
        <v>6.8</v>
      </c>
      <c r="L274" s="5" t="s">
        <v>1</v>
      </c>
      <c r="M274" s="80">
        <f t="shared" si="57"/>
        <v>6.8</v>
      </c>
      <c r="N274" s="78">
        <f t="shared" si="55"/>
        <v>510</v>
      </c>
      <c r="O274" s="111">
        <f t="shared" si="56"/>
        <v>1086</v>
      </c>
      <c r="P274" s="125">
        <v>153303</v>
      </c>
      <c r="Q274" s="4">
        <v>8.5</v>
      </c>
      <c r="R274" s="49">
        <v>10.199999999999999</v>
      </c>
    </row>
    <row r="275" spans="1:18" x14ac:dyDescent="0.25">
      <c r="A275" s="31">
        <v>4</v>
      </c>
      <c r="B275" s="4" t="s">
        <v>581</v>
      </c>
      <c r="C275" s="5">
        <v>1</v>
      </c>
      <c r="D275" s="7">
        <v>0</v>
      </c>
      <c r="E275" s="3">
        <f t="shared" si="53"/>
        <v>1</v>
      </c>
      <c r="F275" s="3" t="s">
        <v>867</v>
      </c>
      <c r="G275" s="77">
        <v>657</v>
      </c>
      <c r="H275" s="5" t="s">
        <v>1</v>
      </c>
      <c r="I275" s="78">
        <f t="shared" si="54"/>
        <v>657</v>
      </c>
      <c r="J275" s="110">
        <f t="shared" si="58"/>
        <v>75</v>
      </c>
      <c r="K275" s="182">
        <v>9</v>
      </c>
      <c r="L275" s="5" t="s">
        <v>1</v>
      </c>
      <c r="M275" s="80">
        <f t="shared" si="57"/>
        <v>9</v>
      </c>
      <c r="N275" s="78">
        <f t="shared" si="55"/>
        <v>675</v>
      </c>
      <c r="O275" s="111">
        <f t="shared" si="56"/>
        <v>1332</v>
      </c>
      <c r="P275" s="125">
        <v>153306</v>
      </c>
      <c r="Q275" s="4">
        <v>11.25</v>
      </c>
      <c r="R275" s="49">
        <v>13.5</v>
      </c>
    </row>
    <row r="276" spans="1:18" x14ac:dyDescent="0.25">
      <c r="A276" s="31">
        <v>5</v>
      </c>
      <c r="B276" s="4" t="s">
        <v>582</v>
      </c>
      <c r="C276" s="5">
        <v>1</v>
      </c>
      <c r="D276" s="7">
        <v>0</v>
      </c>
      <c r="E276" s="3">
        <f t="shared" si="53"/>
        <v>1</v>
      </c>
      <c r="F276" s="3" t="s">
        <v>867</v>
      </c>
      <c r="G276" s="77">
        <v>698</v>
      </c>
      <c r="H276" s="5" t="s">
        <v>1</v>
      </c>
      <c r="I276" s="78">
        <f t="shared" ref="I276:I339" si="59">IF(H276="C",(G276/100)*E276,IF(H276="M",(G276/1000)*E276,G276*E276))</f>
        <v>698</v>
      </c>
      <c r="J276" s="110">
        <f t="shared" si="58"/>
        <v>75</v>
      </c>
      <c r="K276" s="182">
        <v>13.4</v>
      </c>
      <c r="L276" s="5" t="s">
        <v>1</v>
      </c>
      <c r="M276" s="80">
        <f t="shared" si="57"/>
        <v>13.4</v>
      </c>
      <c r="N276" s="78">
        <f t="shared" si="55"/>
        <v>1005</v>
      </c>
      <c r="O276" s="111">
        <f t="shared" si="56"/>
        <v>1703</v>
      </c>
      <c r="P276" s="125">
        <v>153309</v>
      </c>
      <c r="Q276" s="4">
        <v>16.75</v>
      </c>
      <c r="R276" s="49">
        <v>20.100000000000001</v>
      </c>
    </row>
    <row r="277" spans="1:18" x14ac:dyDescent="0.25">
      <c r="A277" s="31">
        <v>6</v>
      </c>
      <c r="B277" s="4" t="s">
        <v>583</v>
      </c>
      <c r="C277" s="5">
        <v>1</v>
      </c>
      <c r="D277" s="7">
        <v>0</v>
      </c>
      <c r="E277" s="3">
        <f t="shared" ref="E277:E340" si="60">C277+(C277*D277)</f>
        <v>1</v>
      </c>
      <c r="F277" s="3" t="s">
        <v>867</v>
      </c>
      <c r="G277" s="77">
        <v>1005</v>
      </c>
      <c r="H277" s="5" t="s">
        <v>1</v>
      </c>
      <c r="I277" s="78">
        <f t="shared" si="59"/>
        <v>1005</v>
      </c>
      <c r="J277" s="110">
        <f t="shared" si="58"/>
        <v>75</v>
      </c>
      <c r="K277" s="182">
        <v>14.6</v>
      </c>
      <c r="L277" s="5" t="s">
        <v>1</v>
      </c>
      <c r="M277" s="80">
        <f t="shared" si="57"/>
        <v>14.6</v>
      </c>
      <c r="N277" s="78">
        <f t="shared" ref="N277:N340" si="61">M277*J277</f>
        <v>1095</v>
      </c>
      <c r="O277" s="111">
        <f t="shared" ref="O277:O340" si="62">N277+I277</f>
        <v>2100</v>
      </c>
      <c r="P277" s="125">
        <v>153312</v>
      </c>
      <c r="Q277" s="4">
        <v>18.25</v>
      </c>
      <c r="R277" s="49">
        <v>21.9</v>
      </c>
    </row>
    <row r="278" spans="1:18" x14ac:dyDescent="0.25">
      <c r="A278" s="31">
        <v>7</v>
      </c>
      <c r="B278" s="4" t="s">
        <v>584</v>
      </c>
      <c r="C278" s="5">
        <v>1</v>
      </c>
      <c r="D278" s="7">
        <v>0</v>
      </c>
      <c r="E278" s="3">
        <f t="shared" si="60"/>
        <v>1</v>
      </c>
      <c r="F278" s="3" t="s">
        <v>867</v>
      </c>
      <c r="G278" s="77">
        <v>496</v>
      </c>
      <c r="H278" s="5" t="s">
        <v>1</v>
      </c>
      <c r="I278" s="78">
        <f t="shared" si="59"/>
        <v>496</v>
      </c>
      <c r="J278" s="110">
        <f t="shared" si="58"/>
        <v>75</v>
      </c>
      <c r="K278" s="182">
        <v>8.4</v>
      </c>
      <c r="L278" s="5" t="s">
        <v>1</v>
      </c>
      <c r="M278" s="80">
        <f t="shared" si="57"/>
        <v>8.4</v>
      </c>
      <c r="N278" s="78">
        <f t="shared" si="61"/>
        <v>630</v>
      </c>
      <c r="O278" s="111">
        <f t="shared" si="62"/>
        <v>1126</v>
      </c>
      <c r="P278" s="125">
        <v>224310</v>
      </c>
      <c r="Q278" s="4">
        <v>10.5</v>
      </c>
      <c r="R278" s="49">
        <v>12.6</v>
      </c>
    </row>
    <row r="279" spans="1:18" x14ac:dyDescent="0.25">
      <c r="A279" s="31">
        <v>8</v>
      </c>
      <c r="B279" s="4" t="s">
        <v>585</v>
      </c>
      <c r="C279" s="5">
        <v>1</v>
      </c>
      <c r="D279" s="7">
        <v>0</v>
      </c>
      <c r="E279" s="3">
        <f t="shared" si="60"/>
        <v>1</v>
      </c>
      <c r="F279" s="3" t="s">
        <v>867</v>
      </c>
      <c r="G279" s="77">
        <v>688</v>
      </c>
      <c r="H279" s="5" t="s">
        <v>1</v>
      </c>
      <c r="I279" s="78">
        <f t="shared" si="59"/>
        <v>688</v>
      </c>
      <c r="J279" s="110">
        <f t="shared" si="58"/>
        <v>75</v>
      </c>
      <c r="K279" s="182">
        <v>11.6</v>
      </c>
      <c r="L279" s="5" t="s">
        <v>1</v>
      </c>
      <c r="M279" s="80">
        <f t="shared" si="57"/>
        <v>11.6</v>
      </c>
      <c r="N279" s="78">
        <f t="shared" si="61"/>
        <v>870</v>
      </c>
      <c r="O279" s="111">
        <f t="shared" si="62"/>
        <v>1558</v>
      </c>
      <c r="P279" s="125">
        <v>224313</v>
      </c>
      <c r="Q279" s="4">
        <v>14.5</v>
      </c>
      <c r="R279" s="49">
        <v>17.399999999999999</v>
      </c>
    </row>
    <row r="280" spans="1:18" x14ac:dyDescent="0.25">
      <c r="A280" s="31">
        <v>9</v>
      </c>
      <c r="B280" s="4" t="s">
        <v>586</v>
      </c>
      <c r="C280" s="5">
        <v>1</v>
      </c>
      <c r="D280" s="7">
        <v>0</v>
      </c>
      <c r="E280" s="3">
        <f t="shared" si="60"/>
        <v>1</v>
      </c>
      <c r="F280" s="3" t="s">
        <v>867</v>
      </c>
      <c r="G280" s="77">
        <v>910</v>
      </c>
      <c r="H280" s="5" t="s">
        <v>1</v>
      </c>
      <c r="I280" s="78">
        <f t="shared" si="59"/>
        <v>910</v>
      </c>
      <c r="J280" s="110">
        <f t="shared" si="58"/>
        <v>75</v>
      </c>
      <c r="K280" s="182">
        <v>12.8</v>
      </c>
      <c r="L280" s="5" t="s">
        <v>1</v>
      </c>
      <c r="M280" s="80">
        <f t="shared" si="57"/>
        <v>12.8</v>
      </c>
      <c r="N280" s="78">
        <f t="shared" si="61"/>
        <v>960</v>
      </c>
      <c r="O280" s="111">
        <f t="shared" si="62"/>
        <v>1870</v>
      </c>
      <c r="P280" s="125">
        <v>224316</v>
      </c>
      <c r="Q280" s="4">
        <v>16</v>
      </c>
      <c r="R280" s="49">
        <v>19.2</v>
      </c>
    </row>
    <row r="281" spans="1:18" x14ac:dyDescent="0.25">
      <c r="A281" s="31">
        <v>10</v>
      </c>
      <c r="B281" s="4" t="s">
        <v>587</v>
      </c>
      <c r="C281" s="5">
        <v>1</v>
      </c>
      <c r="D281" s="7">
        <v>0</v>
      </c>
      <c r="E281" s="3">
        <f t="shared" si="60"/>
        <v>1</v>
      </c>
      <c r="F281" s="3" t="s">
        <v>867</v>
      </c>
      <c r="G281" s="77">
        <v>1195</v>
      </c>
      <c r="H281" s="5" t="s">
        <v>1</v>
      </c>
      <c r="I281" s="78">
        <f t="shared" si="59"/>
        <v>1195</v>
      </c>
      <c r="J281" s="110">
        <f t="shared" si="58"/>
        <v>75</v>
      </c>
      <c r="K281" s="182">
        <v>15</v>
      </c>
      <c r="L281" s="5" t="s">
        <v>1</v>
      </c>
      <c r="M281" s="80">
        <f t="shared" si="57"/>
        <v>15</v>
      </c>
      <c r="N281" s="78">
        <f t="shared" si="61"/>
        <v>1125</v>
      </c>
      <c r="O281" s="111">
        <f t="shared" si="62"/>
        <v>2320</v>
      </c>
      <c r="P281" s="125">
        <v>153315</v>
      </c>
      <c r="Q281" s="4">
        <v>18.75</v>
      </c>
      <c r="R281" s="49">
        <v>22.5</v>
      </c>
    </row>
    <row r="282" spans="1:18" x14ac:dyDescent="0.25">
      <c r="A282" s="31">
        <v>11</v>
      </c>
      <c r="B282" s="4" t="s">
        <v>588</v>
      </c>
      <c r="C282" s="5">
        <v>1</v>
      </c>
      <c r="D282" s="7">
        <v>0</v>
      </c>
      <c r="E282" s="3">
        <f t="shared" si="60"/>
        <v>1</v>
      </c>
      <c r="F282" s="3" t="s">
        <v>867</v>
      </c>
      <c r="G282" s="77">
        <v>1496</v>
      </c>
      <c r="H282" s="5" t="s">
        <v>1</v>
      </c>
      <c r="I282" s="78">
        <f t="shared" si="59"/>
        <v>1496</v>
      </c>
      <c r="J282" s="110">
        <f t="shared" si="58"/>
        <v>75</v>
      </c>
      <c r="K282" s="182">
        <v>17.8</v>
      </c>
      <c r="L282" s="5" t="s">
        <v>1</v>
      </c>
      <c r="M282" s="80">
        <f t="shared" si="57"/>
        <v>17.8</v>
      </c>
      <c r="N282" s="78">
        <f t="shared" si="61"/>
        <v>1335</v>
      </c>
      <c r="O282" s="111">
        <f t="shared" si="62"/>
        <v>2831</v>
      </c>
      <c r="P282" s="125">
        <v>153318</v>
      </c>
      <c r="Q282" s="4">
        <v>22.25</v>
      </c>
      <c r="R282" s="49">
        <v>26.7</v>
      </c>
    </row>
    <row r="283" spans="1:18" x14ac:dyDescent="0.25">
      <c r="A283" s="31">
        <v>12</v>
      </c>
      <c r="B283" s="4" t="s">
        <v>589</v>
      </c>
      <c r="C283" s="5">
        <v>1</v>
      </c>
      <c r="D283" s="7">
        <v>0</v>
      </c>
      <c r="E283" s="3">
        <f t="shared" si="60"/>
        <v>1</v>
      </c>
      <c r="F283" s="3" t="s">
        <v>867</v>
      </c>
      <c r="G283" s="77">
        <v>1940</v>
      </c>
      <c r="H283" s="5" t="s">
        <v>1</v>
      </c>
      <c r="I283" s="78">
        <f t="shared" si="59"/>
        <v>1940</v>
      </c>
      <c r="J283" s="110">
        <f t="shared" si="58"/>
        <v>75</v>
      </c>
      <c r="K283" s="182">
        <v>20</v>
      </c>
      <c r="L283" s="5" t="s">
        <v>1</v>
      </c>
      <c r="M283" s="80">
        <f t="shared" si="57"/>
        <v>20</v>
      </c>
      <c r="N283" s="78">
        <f t="shared" si="61"/>
        <v>1500</v>
      </c>
      <c r="O283" s="111">
        <f t="shared" si="62"/>
        <v>3440</v>
      </c>
      <c r="P283" s="125">
        <v>153321</v>
      </c>
      <c r="Q283" s="4">
        <v>25</v>
      </c>
      <c r="R283" s="49">
        <v>30</v>
      </c>
    </row>
    <row r="284" spans="1:18" x14ac:dyDescent="0.25">
      <c r="A284" s="31">
        <v>13</v>
      </c>
      <c r="B284" s="4" t="s">
        <v>590</v>
      </c>
      <c r="C284" s="5">
        <v>1</v>
      </c>
      <c r="D284" s="7">
        <v>0</v>
      </c>
      <c r="E284" s="3">
        <f t="shared" si="60"/>
        <v>1</v>
      </c>
      <c r="F284" s="3" t="s">
        <v>867</v>
      </c>
      <c r="G284" s="77">
        <v>3499</v>
      </c>
      <c r="H284" s="5" t="s">
        <v>1</v>
      </c>
      <c r="I284" s="78">
        <f t="shared" si="59"/>
        <v>3499</v>
      </c>
      <c r="J284" s="110">
        <f t="shared" si="58"/>
        <v>75</v>
      </c>
      <c r="K284" s="182">
        <v>25</v>
      </c>
      <c r="L284" s="5" t="s">
        <v>1</v>
      </c>
      <c r="M284" s="80">
        <f t="shared" si="57"/>
        <v>25</v>
      </c>
      <c r="N284" s="78">
        <f t="shared" si="61"/>
        <v>1875</v>
      </c>
      <c r="O284" s="111">
        <f t="shared" si="62"/>
        <v>5374</v>
      </c>
      <c r="P284" s="125">
        <v>153324</v>
      </c>
      <c r="Q284" s="4">
        <v>31.25</v>
      </c>
      <c r="R284" s="49">
        <v>37.5</v>
      </c>
    </row>
    <row r="285" spans="1:18" x14ac:dyDescent="0.25">
      <c r="A285" s="31">
        <v>14</v>
      </c>
      <c r="B285" s="4" t="s">
        <v>591</v>
      </c>
      <c r="C285" s="5">
        <v>1</v>
      </c>
      <c r="D285" s="7">
        <v>0</v>
      </c>
      <c r="E285" s="3">
        <f t="shared" si="60"/>
        <v>1</v>
      </c>
      <c r="F285" s="3" t="s">
        <v>867</v>
      </c>
      <c r="G285" s="77">
        <v>4134</v>
      </c>
      <c r="H285" s="5" t="s">
        <v>1</v>
      </c>
      <c r="I285" s="78">
        <f t="shared" si="59"/>
        <v>4134</v>
      </c>
      <c r="J285" s="110">
        <f t="shared" si="58"/>
        <v>75</v>
      </c>
      <c r="K285" s="182">
        <v>30.5</v>
      </c>
      <c r="L285" s="5" t="s">
        <v>1</v>
      </c>
      <c r="M285" s="80">
        <f t="shared" si="57"/>
        <v>30.5</v>
      </c>
      <c r="N285" s="78">
        <f t="shared" si="61"/>
        <v>2287.5</v>
      </c>
      <c r="O285" s="111">
        <f t="shared" si="62"/>
        <v>6421.5</v>
      </c>
      <c r="P285" s="125">
        <v>153327</v>
      </c>
      <c r="Q285" s="4">
        <v>38.130000000000003</v>
      </c>
      <c r="R285" s="49">
        <v>45.75</v>
      </c>
    </row>
    <row r="286" spans="1:18" x14ac:dyDescent="0.25">
      <c r="A286" s="31">
        <v>15</v>
      </c>
      <c r="B286" s="4" t="s">
        <v>592</v>
      </c>
      <c r="C286" s="5">
        <v>1</v>
      </c>
      <c r="D286" s="7">
        <v>0</v>
      </c>
      <c r="E286" s="3">
        <f t="shared" si="60"/>
        <v>1</v>
      </c>
      <c r="F286" s="3" t="s">
        <v>867</v>
      </c>
      <c r="G286" s="77">
        <v>4576</v>
      </c>
      <c r="H286" s="5" t="s">
        <v>1</v>
      </c>
      <c r="I286" s="78">
        <f t="shared" si="59"/>
        <v>4576</v>
      </c>
      <c r="J286" s="110">
        <f t="shared" si="58"/>
        <v>75</v>
      </c>
      <c r="K286" s="182">
        <v>34.4</v>
      </c>
      <c r="L286" s="5" t="s">
        <v>1</v>
      </c>
      <c r="M286" s="80">
        <f t="shared" si="57"/>
        <v>34.4</v>
      </c>
      <c r="N286" s="78">
        <f t="shared" si="61"/>
        <v>2580</v>
      </c>
      <c r="O286" s="111">
        <f t="shared" si="62"/>
        <v>7156</v>
      </c>
      <c r="P286" s="125">
        <v>224319</v>
      </c>
      <c r="Q286" s="4">
        <v>43</v>
      </c>
      <c r="R286" s="49">
        <v>51.6</v>
      </c>
    </row>
    <row r="287" spans="1:18" x14ac:dyDescent="0.25">
      <c r="A287" s="31">
        <v>16</v>
      </c>
      <c r="B287" s="4" t="s">
        <v>593</v>
      </c>
      <c r="C287" s="5">
        <v>1</v>
      </c>
      <c r="D287" s="7">
        <v>0</v>
      </c>
      <c r="E287" s="3">
        <f t="shared" si="60"/>
        <v>1</v>
      </c>
      <c r="F287" s="3" t="s">
        <v>867</v>
      </c>
      <c r="G287" s="77">
        <v>4801</v>
      </c>
      <c r="H287" s="5" t="s">
        <v>1</v>
      </c>
      <c r="I287" s="78">
        <f t="shared" si="59"/>
        <v>4801</v>
      </c>
      <c r="J287" s="110">
        <f t="shared" si="58"/>
        <v>75</v>
      </c>
      <c r="K287" s="182">
        <v>36.5</v>
      </c>
      <c r="L287" s="5" t="s">
        <v>1</v>
      </c>
      <c r="M287" s="80">
        <f t="shared" si="57"/>
        <v>36.5</v>
      </c>
      <c r="N287" s="78">
        <f t="shared" si="61"/>
        <v>2737.5</v>
      </c>
      <c r="O287" s="111">
        <f t="shared" si="62"/>
        <v>7538.5</v>
      </c>
      <c r="P287" s="125">
        <v>224322</v>
      </c>
      <c r="Q287" s="4">
        <v>45.63</v>
      </c>
      <c r="R287" s="49">
        <v>54.75</v>
      </c>
    </row>
    <row r="288" spans="1:18" x14ac:dyDescent="0.25">
      <c r="A288" s="31">
        <v>17</v>
      </c>
      <c r="B288" s="4" t="s">
        <v>594</v>
      </c>
      <c r="C288" s="5">
        <v>1</v>
      </c>
      <c r="D288" s="7">
        <v>0</v>
      </c>
      <c r="E288" s="3">
        <f t="shared" si="60"/>
        <v>1</v>
      </c>
      <c r="F288" s="3" t="s">
        <v>867</v>
      </c>
      <c r="G288" s="77">
        <v>5655</v>
      </c>
      <c r="H288" s="5" t="s">
        <v>1</v>
      </c>
      <c r="I288" s="78">
        <f t="shared" si="59"/>
        <v>5655</v>
      </c>
      <c r="J288" s="110">
        <f t="shared" si="58"/>
        <v>75</v>
      </c>
      <c r="K288" s="182">
        <v>38.799999999999997</v>
      </c>
      <c r="L288" s="5" t="s">
        <v>1</v>
      </c>
      <c r="M288" s="80">
        <f t="shared" si="57"/>
        <v>38.799999999999997</v>
      </c>
      <c r="N288" s="78">
        <f t="shared" si="61"/>
        <v>2910</v>
      </c>
      <c r="O288" s="111">
        <f t="shared" si="62"/>
        <v>8565</v>
      </c>
      <c r="P288" s="125">
        <v>153330</v>
      </c>
      <c r="Q288" s="4">
        <v>48.5</v>
      </c>
      <c r="R288" s="49">
        <v>58.2</v>
      </c>
    </row>
    <row r="289" spans="1:18" x14ac:dyDescent="0.25">
      <c r="A289" s="31">
        <v>18</v>
      </c>
      <c r="B289" s="4" t="s">
        <v>595</v>
      </c>
      <c r="C289" s="5">
        <v>1</v>
      </c>
      <c r="D289" s="7">
        <v>0</v>
      </c>
      <c r="E289" s="3">
        <f t="shared" si="60"/>
        <v>1</v>
      </c>
      <c r="F289" s="3" t="s">
        <v>867</v>
      </c>
      <c r="G289" s="77">
        <v>6941</v>
      </c>
      <c r="H289" s="5" t="s">
        <v>1</v>
      </c>
      <c r="I289" s="78">
        <f t="shared" si="59"/>
        <v>6941</v>
      </c>
      <c r="J289" s="110">
        <f t="shared" si="58"/>
        <v>75</v>
      </c>
      <c r="K289" s="182">
        <v>43.2</v>
      </c>
      <c r="L289" s="5" t="s">
        <v>1</v>
      </c>
      <c r="M289" s="80">
        <f t="shared" si="57"/>
        <v>43.2</v>
      </c>
      <c r="N289" s="78">
        <f t="shared" si="61"/>
        <v>3240</v>
      </c>
      <c r="O289" s="111">
        <f t="shared" si="62"/>
        <v>10181</v>
      </c>
      <c r="P289" s="125">
        <v>224325</v>
      </c>
      <c r="Q289" s="4">
        <v>54</v>
      </c>
      <c r="R289" s="49">
        <v>64.8</v>
      </c>
    </row>
    <row r="290" spans="1:18" x14ac:dyDescent="0.25">
      <c r="A290" s="31">
        <v>19</v>
      </c>
      <c r="B290" s="4" t="s">
        <v>596</v>
      </c>
      <c r="C290" s="5">
        <v>1</v>
      </c>
      <c r="D290" s="7">
        <v>0</v>
      </c>
      <c r="E290" s="3">
        <f t="shared" si="60"/>
        <v>1</v>
      </c>
      <c r="F290" s="3" t="s">
        <v>867</v>
      </c>
      <c r="G290" s="77">
        <v>8979</v>
      </c>
      <c r="H290" s="5" t="s">
        <v>1</v>
      </c>
      <c r="I290" s="78">
        <f t="shared" si="59"/>
        <v>8979</v>
      </c>
      <c r="J290" s="110">
        <f t="shared" si="58"/>
        <v>75</v>
      </c>
      <c r="K290" s="182">
        <v>47.6</v>
      </c>
      <c r="L290" s="5" t="s">
        <v>1</v>
      </c>
      <c r="M290" s="80">
        <f t="shared" si="57"/>
        <v>47.6</v>
      </c>
      <c r="N290" s="78">
        <f t="shared" si="61"/>
        <v>3570</v>
      </c>
      <c r="O290" s="111">
        <f t="shared" si="62"/>
        <v>12549</v>
      </c>
      <c r="P290" s="125">
        <v>224328</v>
      </c>
      <c r="Q290" s="4">
        <v>59.5</v>
      </c>
      <c r="R290" s="49">
        <v>71.400000000000006</v>
      </c>
    </row>
    <row r="291" spans="1:18" x14ac:dyDescent="0.25">
      <c r="A291" s="31"/>
      <c r="B291" s="4"/>
      <c r="C291" s="5"/>
      <c r="D291" s="7"/>
      <c r="E291" s="3"/>
      <c r="F291" s="3"/>
      <c r="G291" s="77" t="s">
        <v>1202</v>
      </c>
      <c r="H291" s="5"/>
      <c r="I291" s="78"/>
      <c r="J291" s="4"/>
      <c r="K291" s="182"/>
      <c r="L291" s="5"/>
      <c r="M291" s="80"/>
      <c r="N291" s="78"/>
      <c r="O291" s="111"/>
      <c r="P291" s="125"/>
      <c r="Q291" s="4"/>
      <c r="R291" s="49"/>
    </row>
    <row r="292" spans="1:18" x14ac:dyDescent="0.25">
      <c r="A292" s="31">
        <v>1</v>
      </c>
      <c r="B292" s="4" t="s">
        <v>597</v>
      </c>
      <c r="C292" s="5">
        <v>1</v>
      </c>
      <c r="D292" s="7">
        <v>0</v>
      </c>
      <c r="E292" s="3">
        <f t="shared" si="60"/>
        <v>1</v>
      </c>
      <c r="F292" s="3" t="s">
        <v>867</v>
      </c>
      <c r="G292" s="77">
        <v>1080</v>
      </c>
      <c r="H292" s="5" t="s">
        <v>1</v>
      </c>
      <c r="I292" s="78">
        <f t="shared" si="59"/>
        <v>1080</v>
      </c>
      <c r="J292" s="110">
        <f t="shared" si="58"/>
        <v>75</v>
      </c>
      <c r="K292" s="182">
        <v>7.8</v>
      </c>
      <c r="L292" s="5" t="s">
        <v>1</v>
      </c>
      <c r="M292" s="80">
        <f t="shared" si="57"/>
        <v>7.8</v>
      </c>
      <c r="N292" s="78">
        <f t="shared" si="61"/>
        <v>585</v>
      </c>
      <c r="O292" s="111">
        <f t="shared" si="62"/>
        <v>1665</v>
      </c>
      <c r="P292" s="125">
        <v>224331</v>
      </c>
      <c r="Q292" s="4">
        <v>9.75</v>
      </c>
      <c r="R292" s="49">
        <v>11.7</v>
      </c>
    </row>
    <row r="293" spans="1:18" x14ac:dyDescent="0.25">
      <c r="A293" s="31">
        <v>2</v>
      </c>
      <c r="B293" s="4" t="s">
        <v>598</v>
      </c>
      <c r="C293" s="5">
        <v>1</v>
      </c>
      <c r="D293" s="7">
        <v>0</v>
      </c>
      <c r="E293" s="3">
        <f t="shared" si="60"/>
        <v>1</v>
      </c>
      <c r="F293" s="3" t="s">
        <v>867</v>
      </c>
      <c r="G293" s="77">
        <v>1224</v>
      </c>
      <c r="H293" s="5" t="s">
        <v>1</v>
      </c>
      <c r="I293" s="78">
        <f t="shared" si="59"/>
        <v>1224</v>
      </c>
      <c r="J293" s="110">
        <f t="shared" si="58"/>
        <v>75</v>
      </c>
      <c r="K293" s="182">
        <v>9</v>
      </c>
      <c r="L293" s="5" t="s">
        <v>1</v>
      </c>
      <c r="M293" s="80">
        <f t="shared" si="57"/>
        <v>9</v>
      </c>
      <c r="N293" s="78">
        <f t="shared" si="61"/>
        <v>675</v>
      </c>
      <c r="O293" s="111">
        <f t="shared" si="62"/>
        <v>1899</v>
      </c>
      <c r="P293" s="125">
        <v>224334</v>
      </c>
      <c r="Q293" s="4">
        <v>11.25</v>
      </c>
      <c r="R293" s="49">
        <v>13.5</v>
      </c>
    </row>
    <row r="294" spans="1:18" x14ac:dyDescent="0.25">
      <c r="A294" s="31">
        <v>3</v>
      </c>
      <c r="B294" s="4" t="s">
        <v>599</v>
      </c>
      <c r="C294" s="5">
        <v>1</v>
      </c>
      <c r="D294" s="7">
        <v>0</v>
      </c>
      <c r="E294" s="3">
        <f t="shared" si="60"/>
        <v>1</v>
      </c>
      <c r="F294" s="3" t="s">
        <v>867</v>
      </c>
      <c r="G294" s="77">
        <v>1732</v>
      </c>
      <c r="H294" s="5" t="s">
        <v>1</v>
      </c>
      <c r="I294" s="78">
        <f t="shared" si="59"/>
        <v>1732</v>
      </c>
      <c r="J294" s="110">
        <f t="shared" si="58"/>
        <v>75</v>
      </c>
      <c r="K294" s="182">
        <v>11</v>
      </c>
      <c r="L294" s="5" t="s">
        <v>1</v>
      </c>
      <c r="M294" s="80">
        <f t="shared" si="57"/>
        <v>11</v>
      </c>
      <c r="N294" s="78">
        <f t="shared" si="61"/>
        <v>825</v>
      </c>
      <c r="O294" s="111">
        <f t="shared" si="62"/>
        <v>2557</v>
      </c>
      <c r="P294" s="125">
        <v>224337</v>
      </c>
      <c r="Q294" s="4">
        <v>13.75</v>
      </c>
      <c r="R294" s="49">
        <v>16.5</v>
      </c>
    </row>
    <row r="295" spans="1:18" x14ac:dyDescent="0.25">
      <c r="A295" s="31">
        <v>4</v>
      </c>
      <c r="B295" s="4" t="s">
        <v>600</v>
      </c>
      <c r="C295" s="5">
        <v>1</v>
      </c>
      <c r="D295" s="7">
        <v>0</v>
      </c>
      <c r="E295" s="3">
        <f t="shared" si="60"/>
        <v>1</v>
      </c>
      <c r="F295" s="3" t="s">
        <v>867</v>
      </c>
      <c r="G295" s="77">
        <v>1850</v>
      </c>
      <c r="H295" s="5" t="s">
        <v>1</v>
      </c>
      <c r="I295" s="78">
        <f t="shared" si="59"/>
        <v>1850</v>
      </c>
      <c r="J295" s="110">
        <f t="shared" si="58"/>
        <v>75</v>
      </c>
      <c r="K295" s="182">
        <v>12.4</v>
      </c>
      <c r="L295" s="5" t="s">
        <v>1</v>
      </c>
      <c r="M295" s="80">
        <f t="shared" si="57"/>
        <v>12.4</v>
      </c>
      <c r="N295" s="78">
        <f t="shared" si="61"/>
        <v>930</v>
      </c>
      <c r="O295" s="111">
        <f t="shared" si="62"/>
        <v>2780</v>
      </c>
      <c r="P295" s="125">
        <v>224340</v>
      </c>
      <c r="Q295" s="4">
        <v>15.5</v>
      </c>
      <c r="R295" s="49">
        <v>18.600000000000001</v>
      </c>
    </row>
    <row r="296" spans="1:18" x14ac:dyDescent="0.25">
      <c r="A296" s="31">
        <v>5</v>
      </c>
      <c r="B296" s="4" t="s">
        <v>601</v>
      </c>
      <c r="C296" s="5">
        <v>1</v>
      </c>
      <c r="D296" s="7">
        <v>0</v>
      </c>
      <c r="E296" s="3">
        <f t="shared" si="60"/>
        <v>1</v>
      </c>
      <c r="F296" s="3" t="s">
        <v>867</v>
      </c>
      <c r="G296" s="77">
        <v>2174</v>
      </c>
      <c r="H296" s="5" t="s">
        <v>1</v>
      </c>
      <c r="I296" s="78">
        <f t="shared" si="59"/>
        <v>2174</v>
      </c>
      <c r="J296" s="110">
        <f t="shared" si="58"/>
        <v>75</v>
      </c>
      <c r="K296" s="182">
        <v>14</v>
      </c>
      <c r="L296" s="5" t="s">
        <v>1</v>
      </c>
      <c r="M296" s="80">
        <f t="shared" ref="M296:M359" si="63">IF(L296="C",(K296/100)*E296,IF(L296="M",(K296/1000)*E296,K296*E296))</f>
        <v>14</v>
      </c>
      <c r="N296" s="78">
        <f t="shared" si="61"/>
        <v>1050</v>
      </c>
      <c r="O296" s="111">
        <f t="shared" si="62"/>
        <v>3224</v>
      </c>
      <c r="P296" s="125">
        <v>224343</v>
      </c>
      <c r="Q296" s="4">
        <v>17.5</v>
      </c>
      <c r="R296" s="49">
        <v>21</v>
      </c>
    </row>
    <row r="297" spans="1:18" x14ac:dyDescent="0.25">
      <c r="A297" s="31">
        <v>6</v>
      </c>
      <c r="B297" s="4" t="s">
        <v>602</v>
      </c>
      <c r="C297" s="5">
        <v>1</v>
      </c>
      <c r="D297" s="7">
        <v>0</v>
      </c>
      <c r="E297" s="3">
        <f t="shared" si="60"/>
        <v>1</v>
      </c>
      <c r="F297" s="3" t="s">
        <v>867</v>
      </c>
      <c r="G297" s="77">
        <v>2530</v>
      </c>
      <c r="H297" s="5" t="s">
        <v>1</v>
      </c>
      <c r="I297" s="78">
        <f t="shared" si="59"/>
        <v>2530</v>
      </c>
      <c r="J297" s="110">
        <f t="shared" si="58"/>
        <v>75</v>
      </c>
      <c r="K297" s="182">
        <v>17</v>
      </c>
      <c r="L297" s="5" t="s">
        <v>1</v>
      </c>
      <c r="M297" s="80">
        <f t="shared" si="63"/>
        <v>17</v>
      </c>
      <c r="N297" s="78">
        <f t="shared" si="61"/>
        <v>1275</v>
      </c>
      <c r="O297" s="111">
        <f t="shared" si="62"/>
        <v>3805</v>
      </c>
      <c r="P297" s="125">
        <v>224346</v>
      </c>
      <c r="Q297" s="4">
        <v>21.25</v>
      </c>
      <c r="R297" s="49">
        <v>25.5</v>
      </c>
    </row>
    <row r="298" spans="1:18" x14ac:dyDescent="0.25">
      <c r="A298" s="31">
        <v>7</v>
      </c>
      <c r="B298" s="4" t="s">
        <v>603</v>
      </c>
      <c r="C298" s="5">
        <v>1</v>
      </c>
      <c r="D298" s="7">
        <v>0</v>
      </c>
      <c r="E298" s="3">
        <f t="shared" si="60"/>
        <v>1</v>
      </c>
      <c r="F298" s="3" t="s">
        <v>867</v>
      </c>
      <c r="G298" s="77">
        <v>2926.69</v>
      </c>
      <c r="H298" s="5" t="s">
        <v>1</v>
      </c>
      <c r="I298" s="78">
        <f t="shared" si="59"/>
        <v>2926.69</v>
      </c>
      <c r="J298" s="110">
        <f t="shared" si="58"/>
        <v>75</v>
      </c>
      <c r="K298" s="182">
        <v>17.8</v>
      </c>
      <c r="L298" s="5" t="s">
        <v>1</v>
      </c>
      <c r="M298" s="80">
        <f t="shared" si="63"/>
        <v>17.8</v>
      </c>
      <c r="N298" s="78">
        <f t="shared" si="61"/>
        <v>1335</v>
      </c>
      <c r="O298" s="111">
        <f t="shared" si="62"/>
        <v>4261.6900000000005</v>
      </c>
      <c r="P298" s="125">
        <v>224349</v>
      </c>
      <c r="Q298" s="4">
        <v>22.25</v>
      </c>
      <c r="R298" s="49">
        <v>26.7</v>
      </c>
    </row>
    <row r="299" spans="1:18" x14ac:dyDescent="0.25">
      <c r="A299" s="31">
        <v>8</v>
      </c>
      <c r="B299" s="4" t="s">
        <v>604</v>
      </c>
      <c r="C299" s="5">
        <v>1</v>
      </c>
      <c r="D299" s="7">
        <v>0</v>
      </c>
      <c r="E299" s="3">
        <f t="shared" si="60"/>
        <v>1</v>
      </c>
      <c r="F299" s="3" t="s">
        <v>867</v>
      </c>
      <c r="G299" s="77">
        <v>3345</v>
      </c>
      <c r="H299" s="5" t="s">
        <v>1</v>
      </c>
      <c r="I299" s="78">
        <f t="shared" si="59"/>
        <v>3345</v>
      </c>
      <c r="J299" s="110">
        <f t="shared" si="58"/>
        <v>75</v>
      </c>
      <c r="K299" s="182">
        <v>19.399999999999999</v>
      </c>
      <c r="L299" s="5" t="s">
        <v>1</v>
      </c>
      <c r="M299" s="80">
        <f t="shared" si="63"/>
        <v>19.399999999999999</v>
      </c>
      <c r="N299" s="78">
        <f t="shared" si="61"/>
        <v>1455</v>
      </c>
      <c r="O299" s="111">
        <f t="shared" si="62"/>
        <v>4800</v>
      </c>
      <c r="P299" s="125">
        <v>224352</v>
      </c>
      <c r="Q299" s="4">
        <v>24.25</v>
      </c>
      <c r="R299" s="49">
        <v>29.1</v>
      </c>
    </row>
    <row r="300" spans="1:18" x14ac:dyDescent="0.25">
      <c r="A300" s="31">
        <v>9</v>
      </c>
      <c r="B300" s="4" t="s">
        <v>605</v>
      </c>
      <c r="C300" s="5">
        <v>1</v>
      </c>
      <c r="D300" s="7">
        <v>0</v>
      </c>
      <c r="E300" s="3">
        <f t="shared" si="60"/>
        <v>1</v>
      </c>
      <c r="F300" s="3" t="s">
        <v>867</v>
      </c>
      <c r="G300" s="77">
        <v>1732</v>
      </c>
      <c r="H300" s="5" t="s">
        <v>1</v>
      </c>
      <c r="I300" s="78">
        <f t="shared" si="59"/>
        <v>1732</v>
      </c>
      <c r="J300" s="110">
        <f t="shared" si="58"/>
        <v>75</v>
      </c>
      <c r="K300" s="182">
        <v>10.199999999999999</v>
      </c>
      <c r="L300" s="5" t="s">
        <v>1</v>
      </c>
      <c r="M300" s="80">
        <f t="shared" si="63"/>
        <v>10.199999999999999</v>
      </c>
      <c r="N300" s="78">
        <f t="shared" si="61"/>
        <v>765</v>
      </c>
      <c r="O300" s="111">
        <f t="shared" si="62"/>
        <v>2497</v>
      </c>
      <c r="P300" s="125">
        <v>224355</v>
      </c>
      <c r="Q300" s="4">
        <v>12.75</v>
      </c>
      <c r="R300" s="49">
        <v>15.3</v>
      </c>
    </row>
    <row r="301" spans="1:18" x14ac:dyDescent="0.25">
      <c r="A301" s="31">
        <v>10</v>
      </c>
      <c r="B301" s="4" t="s">
        <v>606</v>
      </c>
      <c r="C301" s="5">
        <v>1</v>
      </c>
      <c r="D301" s="7">
        <v>0</v>
      </c>
      <c r="E301" s="3">
        <f t="shared" si="60"/>
        <v>1</v>
      </c>
      <c r="F301" s="3" t="s">
        <v>867</v>
      </c>
      <c r="G301" s="77">
        <v>1850</v>
      </c>
      <c r="H301" s="5" t="s">
        <v>1</v>
      </c>
      <c r="I301" s="78">
        <f t="shared" si="59"/>
        <v>1850</v>
      </c>
      <c r="J301" s="110">
        <f t="shared" si="58"/>
        <v>75</v>
      </c>
      <c r="K301" s="182">
        <v>11</v>
      </c>
      <c r="L301" s="5" t="s">
        <v>1</v>
      </c>
      <c r="M301" s="80">
        <f t="shared" si="63"/>
        <v>11</v>
      </c>
      <c r="N301" s="78">
        <f t="shared" si="61"/>
        <v>825</v>
      </c>
      <c r="O301" s="111">
        <f t="shared" si="62"/>
        <v>2675</v>
      </c>
      <c r="P301" s="125">
        <v>224358</v>
      </c>
      <c r="Q301" s="4">
        <v>13.75</v>
      </c>
      <c r="R301" s="49">
        <v>16.5</v>
      </c>
    </row>
    <row r="302" spans="1:18" x14ac:dyDescent="0.25">
      <c r="A302" s="31">
        <v>11</v>
      </c>
      <c r="B302" s="4" t="s">
        <v>607</v>
      </c>
      <c r="C302" s="5">
        <v>1</v>
      </c>
      <c r="D302" s="7">
        <v>0</v>
      </c>
      <c r="E302" s="3">
        <f t="shared" si="60"/>
        <v>1</v>
      </c>
      <c r="F302" s="3" t="s">
        <v>867</v>
      </c>
      <c r="G302" s="77">
        <v>2174</v>
      </c>
      <c r="H302" s="5" t="s">
        <v>1</v>
      </c>
      <c r="I302" s="78">
        <f t="shared" si="59"/>
        <v>2174</v>
      </c>
      <c r="J302" s="110">
        <f t="shared" si="58"/>
        <v>75</v>
      </c>
      <c r="K302" s="182">
        <v>12</v>
      </c>
      <c r="L302" s="5" t="s">
        <v>1</v>
      </c>
      <c r="M302" s="80">
        <f t="shared" si="63"/>
        <v>12</v>
      </c>
      <c r="N302" s="78">
        <f t="shared" si="61"/>
        <v>900</v>
      </c>
      <c r="O302" s="111">
        <f t="shared" si="62"/>
        <v>3074</v>
      </c>
      <c r="P302" s="125">
        <v>224361</v>
      </c>
      <c r="Q302" s="4">
        <v>15</v>
      </c>
      <c r="R302" s="49">
        <v>18</v>
      </c>
    </row>
    <row r="303" spans="1:18" x14ac:dyDescent="0.25">
      <c r="A303" s="31">
        <v>12</v>
      </c>
      <c r="B303" s="4" t="s">
        <v>608</v>
      </c>
      <c r="C303" s="5">
        <v>1</v>
      </c>
      <c r="D303" s="7">
        <v>0</v>
      </c>
      <c r="E303" s="3">
        <f t="shared" si="60"/>
        <v>1</v>
      </c>
      <c r="F303" s="3" t="s">
        <v>867</v>
      </c>
      <c r="G303" s="77">
        <v>2530</v>
      </c>
      <c r="H303" s="5" t="s">
        <v>1</v>
      </c>
      <c r="I303" s="78">
        <f t="shared" si="59"/>
        <v>2530</v>
      </c>
      <c r="J303" s="110">
        <f t="shared" si="58"/>
        <v>75</v>
      </c>
      <c r="K303" s="182">
        <v>14.6</v>
      </c>
      <c r="L303" s="5" t="s">
        <v>1</v>
      </c>
      <c r="M303" s="80">
        <f t="shared" si="63"/>
        <v>14.6</v>
      </c>
      <c r="N303" s="78">
        <f t="shared" si="61"/>
        <v>1095</v>
      </c>
      <c r="O303" s="111">
        <f t="shared" si="62"/>
        <v>3625</v>
      </c>
      <c r="P303" s="125">
        <v>224364</v>
      </c>
      <c r="Q303" s="4">
        <v>18.25</v>
      </c>
      <c r="R303" s="49">
        <v>21.9</v>
      </c>
    </row>
    <row r="304" spans="1:18" x14ac:dyDescent="0.25">
      <c r="A304" s="31">
        <v>13</v>
      </c>
      <c r="B304" s="4" t="s">
        <v>609</v>
      </c>
      <c r="C304" s="5">
        <v>1</v>
      </c>
      <c r="D304" s="7">
        <v>0</v>
      </c>
      <c r="E304" s="3">
        <f t="shared" si="60"/>
        <v>1</v>
      </c>
      <c r="F304" s="3" t="s">
        <v>867</v>
      </c>
      <c r="G304" s="77">
        <v>2926.69</v>
      </c>
      <c r="H304" s="5" t="s">
        <v>1</v>
      </c>
      <c r="I304" s="78">
        <f t="shared" si="59"/>
        <v>2926.69</v>
      </c>
      <c r="J304" s="110">
        <f t="shared" si="58"/>
        <v>75</v>
      </c>
      <c r="K304" s="182">
        <v>15.4</v>
      </c>
      <c r="L304" s="5" t="s">
        <v>1</v>
      </c>
      <c r="M304" s="80">
        <f t="shared" si="63"/>
        <v>15.4</v>
      </c>
      <c r="N304" s="78">
        <f t="shared" si="61"/>
        <v>1155</v>
      </c>
      <c r="O304" s="111">
        <f t="shared" si="62"/>
        <v>4081.69</v>
      </c>
      <c r="P304" s="125">
        <v>224367</v>
      </c>
      <c r="Q304" s="4">
        <v>19.25</v>
      </c>
      <c r="R304" s="49">
        <v>23.1</v>
      </c>
    </row>
    <row r="305" spans="1:18" x14ac:dyDescent="0.25">
      <c r="A305" s="31">
        <v>14</v>
      </c>
      <c r="B305" s="4" t="s">
        <v>610</v>
      </c>
      <c r="C305" s="5">
        <v>1</v>
      </c>
      <c r="D305" s="7">
        <v>0</v>
      </c>
      <c r="E305" s="3">
        <f t="shared" si="60"/>
        <v>1</v>
      </c>
      <c r="F305" s="3" t="s">
        <v>867</v>
      </c>
      <c r="G305" s="77">
        <v>3345</v>
      </c>
      <c r="H305" s="5" t="s">
        <v>1</v>
      </c>
      <c r="I305" s="78">
        <f t="shared" si="59"/>
        <v>3345</v>
      </c>
      <c r="J305" s="110">
        <f t="shared" si="58"/>
        <v>75</v>
      </c>
      <c r="K305" s="182">
        <v>16.2</v>
      </c>
      <c r="L305" s="5" t="s">
        <v>1</v>
      </c>
      <c r="M305" s="80">
        <f t="shared" si="63"/>
        <v>16.2</v>
      </c>
      <c r="N305" s="78">
        <f t="shared" si="61"/>
        <v>1215</v>
      </c>
      <c r="O305" s="111">
        <f t="shared" si="62"/>
        <v>4560</v>
      </c>
      <c r="P305" s="125">
        <v>224370</v>
      </c>
      <c r="Q305" s="4">
        <v>20.25</v>
      </c>
      <c r="R305" s="49">
        <v>24.3</v>
      </c>
    </row>
    <row r="306" spans="1:18" x14ac:dyDescent="0.25">
      <c r="A306" s="31">
        <v>15</v>
      </c>
      <c r="B306" s="4" t="s">
        <v>611</v>
      </c>
      <c r="C306" s="5">
        <v>1</v>
      </c>
      <c r="D306" s="7">
        <v>0</v>
      </c>
      <c r="E306" s="3">
        <f t="shared" si="60"/>
        <v>1</v>
      </c>
      <c r="F306" s="3" t="s">
        <v>867</v>
      </c>
      <c r="G306" s="77">
        <v>3408</v>
      </c>
      <c r="H306" s="5" t="s">
        <v>1</v>
      </c>
      <c r="I306" s="78">
        <f t="shared" si="59"/>
        <v>3408</v>
      </c>
      <c r="J306" s="110">
        <f t="shared" si="58"/>
        <v>75</v>
      </c>
      <c r="K306" s="182">
        <v>17</v>
      </c>
      <c r="L306" s="5" t="s">
        <v>1</v>
      </c>
      <c r="M306" s="80">
        <f t="shared" si="63"/>
        <v>17</v>
      </c>
      <c r="N306" s="78">
        <f t="shared" si="61"/>
        <v>1275</v>
      </c>
      <c r="O306" s="111">
        <f t="shared" si="62"/>
        <v>4683</v>
      </c>
      <c r="P306" s="125">
        <v>224373</v>
      </c>
      <c r="Q306" s="4">
        <v>21.25</v>
      </c>
      <c r="R306" s="49">
        <v>25.5</v>
      </c>
    </row>
    <row r="307" spans="1:18" x14ac:dyDescent="0.25">
      <c r="A307" s="31">
        <v>16</v>
      </c>
      <c r="B307" s="4" t="s">
        <v>612</v>
      </c>
      <c r="C307" s="5">
        <v>1</v>
      </c>
      <c r="D307" s="7">
        <v>0</v>
      </c>
      <c r="E307" s="3">
        <f t="shared" si="60"/>
        <v>1</v>
      </c>
      <c r="F307" s="3" t="s">
        <v>867</v>
      </c>
      <c r="G307" s="77">
        <v>4096.96</v>
      </c>
      <c r="H307" s="5" t="s">
        <v>1</v>
      </c>
      <c r="I307" s="78">
        <f t="shared" si="59"/>
        <v>4096.96</v>
      </c>
      <c r="J307" s="110">
        <f t="shared" si="58"/>
        <v>75</v>
      </c>
      <c r="K307" s="182">
        <v>18</v>
      </c>
      <c r="L307" s="5" t="s">
        <v>1</v>
      </c>
      <c r="M307" s="80">
        <f t="shared" si="63"/>
        <v>18</v>
      </c>
      <c r="N307" s="78">
        <f t="shared" si="61"/>
        <v>1350</v>
      </c>
      <c r="O307" s="111">
        <f t="shared" si="62"/>
        <v>5446.96</v>
      </c>
      <c r="P307" s="125">
        <v>224376</v>
      </c>
      <c r="Q307" s="4">
        <v>22.5</v>
      </c>
      <c r="R307" s="49">
        <v>27</v>
      </c>
    </row>
    <row r="308" spans="1:18" x14ac:dyDescent="0.25">
      <c r="A308" s="31">
        <v>17</v>
      </c>
      <c r="B308" s="4" t="s">
        <v>613</v>
      </c>
      <c r="C308" s="5">
        <v>1</v>
      </c>
      <c r="D308" s="7">
        <v>0</v>
      </c>
      <c r="E308" s="3">
        <f t="shared" si="60"/>
        <v>1</v>
      </c>
      <c r="F308" s="3" t="s">
        <v>867</v>
      </c>
      <c r="G308" s="77">
        <v>4880</v>
      </c>
      <c r="H308" s="5" t="s">
        <v>1</v>
      </c>
      <c r="I308" s="78">
        <f t="shared" si="59"/>
        <v>4880</v>
      </c>
      <c r="J308" s="110">
        <f t="shared" si="58"/>
        <v>75</v>
      </c>
      <c r="K308" s="182">
        <v>19</v>
      </c>
      <c r="L308" s="5" t="s">
        <v>1</v>
      </c>
      <c r="M308" s="80">
        <f t="shared" si="63"/>
        <v>19</v>
      </c>
      <c r="N308" s="78">
        <f t="shared" si="61"/>
        <v>1425</v>
      </c>
      <c r="O308" s="111">
        <f t="shared" si="62"/>
        <v>6305</v>
      </c>
      <c r="P308" s="125">
        <v>224379</v>
      </c>
      <c r="Q308" s="4">
        <v>23.75</v>
      </c>
      <c r="R308" s="49">
        <v>28.5</v>
      </c>
    </row>
    <row r="309" spans="1:18" x14ac:dyDescent="0.25">
      <c r="A309" s="31">
        <v>18</v>
      </c>
      <c r="B309" s="4" t="s">
        <v>614</v>
      </c>
      <c r="C309" s="5">
        <v>1</v>
      </c>
      <c r="D309" s="7">
        <v>0</v>
      </c>
      <c r="E309" s="3">
        <f t="shared" si="60"/>
        <v>1</v>
      </c>
      <c r="F309" s="3" t="s">
        <v>867</v>
      </c>
      <c r="G309" s="77">
        <v>5494</v>
      </c>
      <c r="H309" s="5" t="s">
        <v>1</v>
      </c>
      <c r="I309" s="78">
        <f t="shared" si="59"/>
        <v>5494</v>
      </c>
      <c r="J309" s="110">
        <f t="shared" si="58"/>
        <v>75</v>
      </c>
      <c r="K309" s="182">
        <v>21.4</v>
      </c>
      <c r="L309" s="5" t="s">
        <v>1</v>
      </c>
      <c r="M309" s="80">
        <f t="shared" si="63"/>
        <v>21.4</v>
      </c>
      <c r="N309" s="78">
        <f t="shared" si="61"/>
        <v>1605</v>
      </c>
      <c r="O309" s="111">
        <f t="shared" si="62"/>
        <v>7099</v>
      </c>
      <c r="P309" s="125">
        <v>224382</v>
      </c>
      <c r="Q309" s="4">
        <v>26.75</v>
      </c>
      <c r="R309" s="49">
        <v>32.1</v>
      </c>
    </row>
    <row r="310" spans="1:18" x14ac:dyDescent="0.25">
      <c r="A310" s="31">
        <v>19</v>
      </c>
      <c r="B310" s="4" t="s">
        <v>615</v>
      </c>
      <c r="C310" s="5">
        <v>1</v>
      </c>
      <c r="D310" s="7">
        <v>0</v>
      </c>
      <c r="E310" s="3">
        <f t="shared" si="60"/>
        <v>1</v>
      </c>
      <c r="F310" s="3" t="s">
        <v>867</v>
      </c>
      <c r="G310" s="77">
        <v>6763</v>
      </c>
      <c r="H310" s="5" t="s">
        <v>1</v>
      </c>
      <c r="I310" s="78">
        <f t="shared" si="59"/>
        <v>6763</v>
      </c>
      <c r="J310" s="110">
        <f t="shared" si="58"/>
        <v>75</v>
      </c>
      <c r="K310" s="182">
        <v>24</v>
      </c>
      <c r="L310" s="5" t="s">
        <v>1</v>
      </c>
      <c r="M310" s="80">
        <f t="shared" si="63"/>
        <v>24</v>
      </c>
      <c r="N310" s="78">
        <f t="shared" si="61"/>
        <v>1800</v>
      </c>
      <c r="O310" s="111">
        <f t="shared" si="62"/>
        <v>8563</v>
      </c>
      <c r="P310" s="125">
        <v>224385</v>
      </c>
      <c r="Q310" s="4">
        <v>30</v>
      </c>
      <c r="R310" s="49">
        <v>36</v>
      </c>
    </row>
    <row r="311" spans="1:18" x14ac:dyDescent="0.25">
      <c r="A311" s="31">
        <v>20</v>
      </c>
      <c r="B311" s="4" t="s">
        <v>616</v>
      </c>
      <c r="C311" s="5">
        <v>1</v>
      </c>
      <c r="D311" s="7">
        <v>0</v>
      </c>
      <c r="E311" s="3">
        <f t="shared" si="60"/>
        <v>1</v>
      </c>
      <c r="F311" s="3" t="s">
        <v>867</v>
      </c>
      <c r="G311" s="77">
        <v>7870</v>
      </c>
      <c r="H311" s="5" t="s">
        <v>1</v>
      </c>
      <c r="I311" s="78">
        <f t="shared" si="59"/>
        <v>7870</v>
      </c>
      <c r="J311" s="110">
        <f t="shared" si="58"/>
        <v>75</v>
      </c>
      <c r="K311" s="182">
        <v>25.4</v>
      </c>
      <c r="L311" s="5" t="s">
        <v>1</v>
      </c>
      <c r="M311" s="80">
        <f t="shared" si="63"/>
        <v>25.4</v>
      </c>
      <c r="N311" s="78">
        <f t="shared" si="61"/>
        <v>1905</v>
      </c>
      <c r="O311" s="111">
        <f t="shared" si="62"/>
        <v>9775</v>
      </c>
      <c r="P311" s="125">
        <v>224388</v>
      </c>
      <c r="Q311" s="4">
        <v>31.75</v>
      </c>
      <c r="R311" s="49">
        <v>38.1</v>
      </c>
    </row>
    <row r="312" spans="1:18" x14ac:dyDescent="0.25">
      <c r="A312" s="31">
        <v>21</v>
      </c>
      <c r="B312" s="4" t="s">
        <v>617</v>
      </c>
      <c r="C312" s="5">
        <v>1</v>
      </c>
      <c r="D312" s="7">
        <v>0</v>
      </c>
      <c r="E312" s="3">
        <f t="shared" si="60"/>
        <v>1</v>
      </c>
      <c r="F312" s="3" t="s">
        <v>867</v>
      </c>
      <c r="G312" s="77">
        <v>9061</v>
      </c>
      <c r="H312" s="5" t="s">
        <v>1</v>
      </c>
      <c r="I312" s="78">
        <f t="shared" si="59"/>
        <v>9061</v>
      </c>
      <c r="J312" s="110">
        <f t="shared" si="58"/>
        <v>75</v>
      </c>
      <c r="K312" s="182">
        <v>30</v>
      </c>
      <c r="L312" s="5" t="s">
        <v>1</v>
      </c>
      <c r="M312" s="80">
        <f t="shared" si="63"/>
        <v>30</v>
      </c>
      <c r="N312" s="78">
        <f t="shared" si="61"/>
        <v>2250</v>
      </c>
      <c r="O312" s="111">
        <f t="shared" si="62"/>
        <v>11311</v>
      </c>
      <c r="P312" s="125">
        <v>224391</v>
      </c>
      <c r="Q312" s="4">
        <v>37.5</v>
      </c>
      <c r="R312" s="49">
        <v>45</v>
      </c>
    </row>
    <row r="313" spans="1:18" x14ac:dyDescent="0.25">
      <c r="A313" s="31">
        <v>22</v>
      </c>
      <c r="B313" s="4" t="s">
        <v>618</v>
      </c>
      <c r="C313" s="5">
        <v>1</v>
      </c>
      <c r="D313" s="7">
        <v>0</v>
      </c>
      <c r="E313" s="3">
        <f t="shared" si="60"/>
        <v>1</v>
      </c>
      <c r="F313" s="3" t="s">
        <v>867</v>
      </c>
      <c r="G313" s="77">
        <v>10746</v>
      </c>
      <c r="H313" s="5" t="s">
        <v>1</v>
      </c>
      <c r="I313" s="78">
        <f t="shared" si="59"/>
        <v>10746</v>
      </c>
      <c r="J313" s="110">
        <f t="shared" si="58"/>
        <v>75</v>
      </c>
      <c r="K313" s="182">
        <v>36</v>
      </c>
      <c r="L313" s="5" t="s">
        <v>1</v>
      </c>
      <c r="M313" s="80">
        <f t="shared" si="63"/>
        <v>36</v>
      </c>
      <c r="N313" s="78">
        <f t="shared" si="61"/>
        <v>2700</v>
      </c>
      <c r="O313" s="111">
        <f t="shared" si="62"/>
        <v>13446</v>
      </c>
      <c r="P313" s="125">
        <v>224394</v>
      </c>
      <c r="Q313" s="4">
        <v>45</v>
      </c>
      <c r="R313" s="49">
        <v>54</v>
      </c>
    </row>
    <row r="314" spans="1:18" x14ac:dyDescent="0.25">
      <c r="A314" s="31">
        <v>23</v>
      </c>
      <c r="B314" s="4" t="s">
        <v>619</v>
      </c>
      <c r="C314" s="5">
        <v>1</v>
      </c>
      <c r="D314" s="7">
        <v>0</v>
      </c>
      <c r="E314" s="3">
        <f t="shared" si="60"/>
        <v>1</v>
      </c>
      <c r="F314" s="3" t="s">
        <v>867</v>
      </c>
      <c r="G314" s="77">
        <v>9559</v>
      </c>
      <c r="H314" s="5" t="s">
        <v>1</v>
      </c>
      <c r="I314" s="78">
        <f t="shared" si="59"/>
        <v>9559</v>
      </c>
      <c r="J314" s="110">
        <f t="shared" si="58"/>
        <v>75</v>
      </c>
      <c r="K314" s="182">
        <v>39</v>
      </c>
      <c r="L314" s="5" t="s">
        <v>1</v>
      </c>
      <c r="M314" s="80">
        <f t="shared" si="63"/>
        <v>39</v>
      </c>
      <c r="N314" s="78">
        <f t="shared" si="61"/>
        <v>2925</v>
      </c>
      <c r="O314" s="111">
        <f t="shared" si="62"/>
        <v>12484</v>
      </c>
      <c r="P314" s="125">
        <v>224397</v>
      </c>
      <c r="Q314" s="4">
        <v>48.75</v>
      </c>
      <c r="R314" s="49">
        <v>58.5</v>
      </c>
    </row>
    <row r="315" spans="1:18" x14ac:dyDescent="0.25">
      <c r="A315" s="31">
        <v>24</v>
      </c>
      <c r="B315" s="4" t="s">
        <v>620</v>
      </c>
      <c r="C315" s="5">
        <v>1</v>
      </c>
      <c r="D315" s="7">
        <v>0</v>
      </c>
      <c r="E315" s="3">
        <f t="shared" si="60"/>
        <v>1</v>
      </c>
      <c r="F315" s="3" t="s">
        <v>867</v>
      </c>
      <c r="G315" s="77">
        <v>13373</v>
      </c>
      <c r="H315" s="5" t="s">
        <v>1</v>
      </c>
      <c r="I315" s="78">
        <f t="shared" si="59"/>
        <v>13373</v>
      </c>
      <c r="J315" s="110">
        <f t="shared" si="58"/>
        <v>75</v>
      </c>
      <c r="K315" s="182">
        <v>44</v>
      </c>
      <c r="L315" s="5" t="s">
        <v>1</v>
      </c>
      <c r="M315" s="80">
        <f t="shared" si="63"/>
        <v>44</v>
      </c>
      <c r="N315" s="78">
        <f t="shared" si="61"/>
        <v>3300</v>
      </c>
      <c r="O315" s="111">
        <f t="shared" si="62"/>
        <v>16673</v>
      </c>
      <c r="P315" s="125">
        <v>224400</v>
      </c>
      <c r="Q315" s="4">
        <v>55</v>
      </c>
      <c r="R315" s="49">
        <v>66</v>
      </c>
    </row>
    <row r="316" spans="1:18" x14ac:dyDescent="0.25">
      <c r="A316" s="31">
        <v>25</v>
      </c>
      <c r="B316" s="4" t="s">
        <v>621</v>
      </c>
      <c r="C316" s="5">
        <v>1</v>
      </c>
      <c r="D316" s="7">
        <v>0</v>
      </c>
      <c r="E316" s="3">
        <f t="shared" si="60"/>
        <v>1</v>
      </c>
      <c r="F316" s="3" t="s">
        <v>867</v>
      </c>
      <c r="G316" s="77">
        <v>17204</v>
      </c>
      <c r="H316" s="5" t="s">
        <v>1</v>
      </c>
      <c r="I316" s="78">
        <f t="shared" si="59"/>
        <v>17204</v>
      </c>
      <c r="J316" s="110">
        <f t="shared" si="58"/>
        <v>75</v>
      </c>
      <c r="K316" s="182">
        <v>48</v>
      </c>
      <c r="L316" s="5" t="s">
        <v>1</v>
      </c>
      <c r="M316" s="80">
        <f t="shared" si="63"/>
        <v>48</v>
      </c>
      <c r="N316" s="78">
        <f t="shared" si="61"/>
        <v>3600</v>
      </c>
      <c r="O316" s="111">
        <f t="shared" si="62"/>
        <v>20804</v>
      </c>
      <c r="P316" s="125">
        <v>224403</v>
      </c>
      <c r="Q316" s="4">
        <v>60</v>
      </c>
      <c r="R316" s="49">
        <v>72</v>
      </c>
    </row>
    <row r="317" spans="1:18" x14ac:dyDescent="0.25">
      <c r="A317" s="31">
        <v>26</v>
      </c>
      <c r="B317" s="4" t="s">
        <v>622</v>
      </c>
      <c r="C317" s="5">
        <v>1</v>
      </c>
      <c r="D317" s="7">
        <v>0</v>
      </c>
      <c r="E317" s="3">
        <f t="shared" si="60"/>
        <v>1</v>
      </c>
      <c r="F317" s="3" t="s">
        <v>867</v>
      </c>
      <c r="G317" s="77">
        <v>19267</v>
      </c>
      <c r="H317" s="5" t="s">
        <v>1</v>
      </c>
      <c r="I317" s="78">
        <f t="shared" si="59"/>
        <v>19267</v>
      </c>
      <c r="J317" s="110">
        <f t="shared" si="58"/>
        <v>75</v>
      </c>
      <c r="K317" s="182">
        <v>54</v>
      </c>
      <c r="L317" s="5" t="s">
        <v>1</v>
      </c>
      <c r="M317" s="80">
        <f t="shared" si="63"/>
        <v>54</v>
      </c>
      <c r="N317" s="78">
        <f t="shared" si="61"/>
        <v>4050</v>
      </c>
      <c r="O317" s="111">
        <f t="shared" si="62"/>
        <v>23317</v>
      </c>
      <c r="P317" s="125">
        <v>224406</v>
      </c>
      <c r="Q317" s="4">
        <v>67.5</v>
      </c>
      <c r="R317" s="49">
        <v>81</v>
      </c>
    </row>
    <row r="318" spans="1:18" x14ac:dyDescent="0.25">
      <c r="A318" s="31">
        <v>27</v>
      </c>
      <c r="B318" s="4" t="s">
        <v>623</v>
      </c>
      <c r="C318" s="5">
        <v>1</v>
      </c>
      <c r="D318" s="7">
        <v>0</v>
      </c>
      <c r="E318" s="3">
        <f t="shared" si="60"/>
        <v>1</v>
      </c>
      <c r="F318" s="3" t="s">
        <v>867</v>
      </c>
      <c r="G318" s="77">
        <v>24057</v>
      </c>
      <c r="H318" s="5" t="s">
        <v>1</v>
      </c>
      <c r="I318" s="78">
        <f t="shared" si="59"/>
        <v>24057</v>
      </c>
      <c r="J318" s="110">
        <f t="shared" si="58"/>
        <v>75</v>
      </c>
      <c r="K318" s="182">
        <v>63</v>
      </c>
      <c r="L318" s="5" t="s">
        <v>1</v>
      </c>
      <c r="M318" s="80">
        <f t="shared" si="63"/>
        <v>63</v>
      </c>
      <c r="N318" s="78">
        <f t="shared" si="61"/>
        <v>4725</v>
      </c>
      <c r="O318" s="111">
        <f t="shared" si="62"/>
        <v>28782</v>
      </c>
      <c r="P318" s="125">
        <v>224409</v>
      </c>
      <c r="Q318" s="4">
        <v>78.75</v>
      </c>
      <c r="R318" s="49">
        <v>94.5</v>
      </c>
    </row>
    <row r="319" spans="1:18" x14ac:dyDescent="0.25">
      <c r="A319" s="31"/>
      <c r="B319" s="4"/>
      <c r="C319" s="5"/>
      <c r="D319" s="7"/>
      <c r="E319" s="3"/>
      <c r="F319" s="3"/>
      <c r="G319" s="77" t="s">
        <v>1202</v>
      </c>
      <c r="H319" s="5"/>
      <c r="I319" s="78"/>
      <c r="J319" s="4"/>
      <c r="K319" s="182"/>
      <c r="L319" s="5"/>
      <c r="M319" s="80"/>
      <c r="N319" s="78"/>
      <c r="O319" s="111"/>
      <c r="P319" s="125"/>
      <c r="Q319" s="4"/>
      <c r="R319" s="49"/>
    </row>
    <row r="320" spans="1:18" x14ac:dyDescent="0.25">
      <c r="A320" s="31">
        <v>1</v>
      </c>
      <c r="B320" s="4" t="s">
        <v>624</v>
      </c>
      <c r="C320" s="5">
        <v>1</v>
      </c>
      <c r="D320" s="7">
        <v>0</v>
      </c>
      <c r="E320" s="3">
        <f t="shared" si="60"/>
        <v>1</v>
      </c>
      <c r="F320" s="3" t="s">
        <v>867</v>
      </c>
      <c r="G320" s="77">
        <v>727</v>
      </c>
      <c r="H320" s="5" t="s">
        <v>1</v>
      </c>
      <c r="I320" s="78">
        <f t="shared" si="59"/>
        <v>727</v>
      </c>
      <c r="J320" s="110">
        <f t="shared" si="58"/>
        <v>75</v>
      </c>
      <c r="K320" s="182">
        <v>5.5</v>
      </c>
      <c r="L320" s="5" t="s">
        <v>1</v>
      </c>
      <c r="M320" s="80">
        <f t="shared" si="63"/>
        <v>5.5</v>
      </c>
      <c r="N320" s="78">
        <f t="shared" si="61"/>
        <v>412.5</v>
      </c>
      <c r="O320" s="111">
        <f t="shared" si="62"/>
        <v>1139.5</v>
      </c>
      <c r="P320" s="125">
        <v>152889</v>
      </c>
      <c r="Q320" s="4">
        <v>6.88</v>
      </c>
      <c r="R320" s="49">
        <v>8.25</v>
      </c>
    </row>
    <row r="321" spans="1:18" x14ac:dyDescent="0.25">
      <c r="A321" s="31">
        <v>2</v>
      </c>
      <c r="B321" s="4" t="s">
        <v>625</v>
      </c>
      <c r="C321" s="5">
        <v>1</v>
      </c>
      <c r="D321" s="7">
        <v>0</v>
      </c>
      <c r="E321" s="3">
        <f t="shared" si="60"/>
        <v>1</v>
      </c>
      <c r="F321" s="3" t="s">
        <v>867</v>
      </c>
      <c r="G321" s="77">
        <v>930</v>
      </c>
      <c r="H321" s="5" t="s">
        <v>1</v>
      </c>
      <c r="I321" s="78">
        <f t="shared" si="59"/>
        <v>930</v>
      </c>
      <c r="J321" s="110">
        <f t="shared" si="58"/>
        <v>75</v>
      </c>
      <c r="K321" s="182">
        <v>6.4</v>
      </c>
      <c r="L321" s="5" t="s">
        <v>1</v>
      </c>
      <c r="M321" s="80">
        <f t="shared" si="63"/>
        <v>6.4</v>
      </c>
      <c r="N321" s="78">
        <f t="shared" si="61"/>
        <v>480</v>
      </c>
      <c r="O321" s="111">
        <f t="shared" si="62"/>
        <v>1410</v>
      </c>
      <c r="P321" s="125">
        <v>152892</v>
      </c>
      <c r="Q321" s="4">
        <v>8</v>
      </c>
      <c r="R321" s="49">
        <v>9.6</v>
      </c>
    </row>
    <row r="322" spans="1:18" x14ac:dyDescent="0.25">
      <c r="A322" s="31">
        <v>3</v>
      </c>
      <c r="B322" s="4" t="s">
        <v>626</v>
      </c>
      <c r="C322" s="5">
        <v>1</v>
      </c>
      <c r="D322" s="7">
        <v>0</v>
      </c>
      <c r="E322" s="3">
        <f t="shared" si="60"/>
        <v>1</v>
      </c>
      <c r="F322" s="3" t="s">
        <v>867</v>
      </c>
      <c r="G322" s="77">
        <v>1174</v>
      </c>
      <c r="H322" s="5" t="s">
        <v>1</v>
      </c>
      <c r="I322" s="78">
        <f t="shared" si="59"/>
        <v>1174</v>
      </c>
      <c r="J322" s="110">
        <f t="shared" si="58"/>
        <v>75</v>
      </c>
      <c r="K322" s="182">
        <v>7.6</v>
      </c>
      <c r="L322" s="5" t="s">
        <v>1</v>
      </c>
      <c r="M322" s="80">
        <f t="shared" si="63"/>
        <v>7.6</v>
      </c>
      <c r="N322" s="78">
        <f t="shared" si="61"/>
        <v>570</v>
      </c>
      <c r="O322" s="111">
        <f t="shared" si="62"/>
        <v>1744</v>
      </c>
      <c r="P322" s="125">
        <v>152895</v>
      </c>
      <c r="Q322" s="4">
        <v>9.5</v>
      </c>
      <c r="R322" s="49">
        <v>11.4</v>
      </c>
    </row>
    <row r="323" spans="1:18" x14ac:dyDescent="0.25">
      <c r="A323" s="31">
        <v>4</v>
      </c>
      <c r="B323" s="4" t="s">
        <v>627</v>
      </c>
      <c r="C323" s="5">
        <v>1</v>
      </c>
      <c r="D323" s="7">
        <v>0</v>
      </c>
      <c r="E323" s="3">
        <f t="shared" si="60"/>
        <v>1</v>
      </c>
      <c r="F323" s="3" t="s">
        <v>867</v>
      </c>
      <c r="G323" s="77">
        <v>1390</v>
      </c>
      <c r="H323" s="5" t="s">
        <v>1</v>
      </c>
      <c r="I323" s="78">
        <f t="shared" si="59"/>
        <v>1390</v>
      </c>
      <c r="J323" s="110">
        <f t="shared" si="58"/>
        <v>75</v>
      </c>
      <c r="K323" s="182">
        <v>10</v>
      </c>
      <c r="L323" s="5" t="s">
        <v>1</v>
      </c>
      <c r="M323" s="80">
        <f t="shared" si="63"/>
        <v>10</v>
      </c>
      <c r="N323" s="78">
        <f t="shared" si="61"/>
        <v>750</v>
      </c>
      <c r="O323" s="111">
        <f t="shared" si="62"/>
        <v>2140</v>
      </c>
      <c r="P323" s="125">
        <v>152898</v>
      </c>
      <c r="Q323" s="4">
        <v>12.5</v>
      </c>
      <c r="R323" s="49">
        <v>15</v>
      </c>
    </row>
    <row r="324" spans="1:18" x14ac:dyDescent="0.25">
      <c r="A324" s="31">
        <v>5</v>
      </c>
      <c r="B324" s="4" t="s">
        <v>628</v>
      </c>
      <c r="C324" s="5">
        <v>1</v>
      </c>
      <c r="D324" s="7">
        <v>0</v>
      </c>
      <c r="E324" s="3">
        <f t="shared" si="60"/>
        <v>1</v>
      </c>
      <c r="F324" s="3" t="s">
        <v>867</v>
      </c>
      <c r="G324" s="77">
        <v>3547</v>
      </c>
      <c r="H324" s="5" t="s">
        <v>1</v>
      </c>
      <c r="I324" s="78">
        <f t="shared" si="59"/>
        <v>3547</v>
      </c>
      <c r="J324" s="110">
        <f t="shared" si="58"/>
        <v>75</v>
      </c>
      <c r="K324" s="182">
        <v>14.8</v>
      </c>
      <c r="L324" s="5" t="s">
        <v>1</v>
      </c>
      <c r="M324" s="80">
        <f t="shared" si="63"/>
        <v>14.8</v>
      </c>
      <c r="N324" s="78">
        <f t="shared" si="61"/>
        <v>1110</v>
      </c>
      <c r="O324" s="111">
        <f t="shared" si="62"/>
        <v>4657</v>
      </c>
      <c r="P324" s="125">
        <v>152901</v>
      </c>
      <c r="Q324" s="4">
        <v>18.5</v>
      </c>
      <c r="R324" s="49">
        <v>22.2</v>
      </c>
    </row>
    <row r="325" spans="1:18" x14ac:dyDescent="0.25">
      <c r="A325" s="31">
        <v>6</v>
      </c>
      <c r="B325" s="4" t="s">
        <v>629</v>
      </c>
      <c r="C325" s="5">
        <v>1</v>
      </c>
      <c r="D325" s="7">
        <v>0</v>
      </c>
      <c r="E325" s="3">
        <f t="shared" si="60"/>
        <v>1</v>
      </c>
      <c r="F325" s="3" t="s">
        <v>867</v>
      </c>
      <c r="G325" s="77">
        <v>4347</v>
      </c>
      <c r="H325" s="5" t="s">
        <v>1</v>
      </c>
      <c r="I325" s="78">
        <f t="shared" si="59"/>
        <v>4347</v>
      </c>
      <c r="J325" s="110">
        <f t="shared" si="58"/>
        <v>75</v>
      </c>
      <c r="K325" s="182">
        <v>14.2</v>
      </c>
      <c r="L325" s="5" t="s">
        <v>1</v>
      </c>
      <c r="M325" s="80">
        <f t="shared" si="63"/>
        <v>14.2</v>
      </c>
      <c r="N325" s="78">
        <f t="shared" si="61"/>
        <v>1065</v>
      </c>
      <c r="O325" s="111">
        <f t="shared" si="62"/>
        <v>5412</v>
      </c>
      <c r="P325" s="125">
        <v>152904</v>
      </c>
      <c r="Q325" s="4">
        <v>17.75</v>
      </c>
      <c r="R325" s="49">
        <v>21.3</v>
      </c>
    </row>
    <row r="326" spans="1:18" x14ac:dyDescent="0.25">
      <c r="A326" s="31">
        <v>7</v>
      </c>
      <c r="B326" s="4" t="s">
        <v>630</v>
      </c>
      <c r="C326" s="5">
        <v>1</v>
      </c>
      <c r="D326" s="7">
        <v>0</v>
      </c>
      <c r="E326" s="3">
        <f t="shared" si="60"/>
        <v>1</v>
      </c>
      <c r="F326" s="3" t="s">
        <v>867</v>
      </c>
      <c r="G326" s="77">
        <v>7466</v>
      </c>
      <c r="H326" s="5" t="s">
        <v>1</v>
      </c>
      <c r="I326" s="78">
        <f t="shared" si="59"/>
        <v>7466</v>
      </c>
      <c r="J326" s="110">
        <f t="shared" si="58"/>
        <v>75</v>
      </c>
      <c r="K326" s="182">
        <v>16.5</v>
      </c>
      <c r="L326" s="5" t="s">
        <v>1</v>
      </c>
      <c r="M326" s="80">
        <f t="shared" si="63"/>
        <v>16.5</v>
      </c>
      <c r="N326" s="78">
        <f t="shared" si="61"/>
        <v>1237.5</v>
      </c>
      <c r="O326" s="111">
        <f t="shared" si="62"/>
        <v>8703.5</v>
      </c>
      <c r="P326" s="125">
        <v>152907</v>
      </c>
      <c r="Q326" s="4">
        <v>20.63</v>
      </c>
      <c r="R326" s="49">
        <v>24.75</v>
      </c>
    </row>
    <row r="327" spans="1:18" x14ac:dyDescent="0.25">
      <c r="A327" s="31"/>
      <c r="B327" s="4"/>
      <c r="C327" s="5"/>
      <c r="D327" s="7"/>
      <c r="E327" s="3"/>
      <c r="F327" s="3"/>
      <c r="G327" s="77" t="s">
        <v>1202</v>
      </c>
      <c r="H327" s="5"/>
      <c r="I327" s="78"/>
      <c r="J327" s="4"/>
      <c r="K327" s="182"/>
      <c r="L327" s="5"/>
      <c r="M327" s="80"/>
      <c r="N327" s="78"/>
      <c r="O327" s="111"/>
      <c r="P327" s="125"/>
      <c r="Q327" s="4"/>
      <c r="R327" s="49"/>
    </row>
    <row r="328" spans="1:18" x14ac:dyDescent="0.25">
      <c r="A328" s="31">
        <v>1</v>
      </c>
      <c r="B328" s="4" t="s">
        <v>631</v>
      </c>
      <c r="C328" s="5">
        <v>1</v>
      </c>
      <c r="D328" s="7">
        <v>0</v>
      </c>
      <c r="E328" s="3">
        <f t="shared" si="60"/>
        <v>1</v>
      </c>
      <c r="F328" s="3" t="s">
        <v>867</v>
      </c>
      <c r="G328" s="77">
        <v>1078</v>
      </c>
      <c r="H328" s="5" t="s">
        <v>1</v>
      </c>
      <c r="I328" s="78">
        <f t="shared" si="59"/>
        <v>1078</v>
      </c>
      <c r="J328" s="110">
        <f t="shared" si="58"/>
        <v>75</v>
      </c>
      <c r="K328" s="182">
        <v>5</v>
      </c>
      <c r="L328" s="5" t="s">
        <v>1</v>
      </c>
      <c r="M328" s="80">
        <f t="shared" si="63"/>
        <v>5</v>
      </c>
      <c r="N328" s="78">
        <f t="shared" si="61"/>
        <v>375</v>
      </c>
      <c r="O328" s="111">
        <f t="shared" si="62"/>
        <v>1453</v>
      </c>
      <c r="P328" s="125">
        <v>153468</v>
      </c>
      <c r="Q328" s="4">
        <v>6.25</v>
      </c>
      <c r="R328" s="49">
        <v>7.5</v>
      </c>
    </row>
    <row r="329" spans="1:18" x14ac:dyDescent="0.25">
      <c r="A329" s="31">
        <v>2</v>
      </c>
      <c r="B329" s="4" t="s">
        <v>632</v>
      </c>
      <c r="C329" s="5">
        <v>1</v>
      </c>
      <c r="D329" s="7">
        <v>0</v>
      </c>
      <c r="E329" s="3">
        <f t="shared" si="60"/>
        <v>1</v>
      </c>
      <c r="F329" s="3" t="s">
        <v>867</v>
      </c>
      <c r="G329" s="77">
        <v>1426</v>
      </c>
      <c r="H329" s="5" t="s">
        <v>1</v>
      </c>
      <c r="I329" s="78">
        <f t="shared" si="59"/>
        <v>1426</v>
      </c>
      <c r="J329" s="110">
        <f t="shared" si="58"/>
        <v>75</v>
      </c>
      <c r="K329" s="182">
        <v>5.7</v>
      </c>
      <c r="L329" s="5" t="s">
        <v>1</v>
      </c>
      <c r="M329" s="80">
        <f t="shared" si="63"/>
        <v>5.7</v>
      </c>
      <c r="N329" s="78">
        <f t="shared" si="61"/>
        <v>427.5</v>
      </c>
      <c r="O329" s="111">
        <f t="shared" si="62"/>
        <v>1853.5</v>
      </c>
      <c r="P329" s="125">
        <v>153471</v>
      </c>
      <c r="Q329" s="4">
        <v>7.13</v>
      </c>
      <c r="R329" s="49">
        <v>8.5500000000000007</v>
      </c>
    </row>
    <row r="330" spans="1:18" x14ac:dyDescent="0.25">
      <c r="A330" s="31">
        <v>3</v>
      </c>
      <c r="B330" s="4" t="s">
        <v>633</v>
      </c>
      <c r="C330" s="5">
        <v>1</v>
      </c>
      <c r="D330" s="7">
        <v>0</v>
      </c>
      <c r="E330" s="3">
        <f t="shared" si="60"/>
        <v>1</v>
      </c>
      <c r="F330" s="3" t="s">
        <v>867</v>
      </c>
      <c r="G330" s="77">
        <v>1711</v>
      </c>
      <c r="H330" s="5" t="s">
        <v>1</v>
      </c>
      <c r="I330" s="78">
        <f t="shared" si="59"/>
        <v>1711</v>
      </c>
      <c r="J330" s="110">
        <f t="shared" ref="J330:J393" si="64">$O$4</f>
        <v>75</v>
      </c>
      <c r="K330" s="182">
        <v>6.7</v>
      </c>
      <c r="L330" s="5" t="s">
        <v>1</v>
      </c>
      <c r="M330" s="80">
        <f t="shared" si="63"/>
        <v>6.7</v>
      </c>
      <c r="N330" s="78">
        <f t="shared" si="61"/>
        <v>502.5</v>
      </c>
      <c r="O330" s="111">
        <f t="shared" si="62"/>
        <v>2213.5</v>
      </c>
      <c r="P330" s="125">
        <v>153474</v>
      </c>
      <c r="Q330" s="4">
        <v>8.3800000000000008</v>
      </c>
      <c r="R330" s="49">
        <v>10.050000000000001</v>
      </c>
    </row>
    <row r="331" spans="1:18" x14ac:dyDescent="0.25">
      <c r="A331" s="31">
        <v>4</v>
      </c>
      <c r="B331" s="4" t="s">
        <v>634</v>
      </c>
      <c r="C331" s="5">
        <v>1</v>
      </c>
      <c r="D331" s="7">
        <v>0</v>
      </c>
      <c r="E331" s="3">
        <f t="shared" si="60"/>
        <v>1</v>
      </c>
      <c r="F331" s="3" t="s">
        <v>867</v>
      </c>
      <c r="G331" s="77">
        <v>2270</v>
      </c>
      <c r="H331" s="5" t="s">
        <v>1</v>
      </c>
      <c r="I331" s="78">
        <f t="shared" si="59"/>
        <v>2270</v>
      </c>
      <c r="J331" s="110">
        <f t="shared" si="64"/>
        <v>75</v>
      </c>
      <c r="K331" s="182">
        <v>7.6</v>
      </c>
      <c r="L331" s="5" t="s">
        <v>1</v>
      </c>
      <c r="M331" s="80">
        <f t="shared" si="63"/>
        <v>7.6</v>
      </c>
      <c r="N331" s="78">
        <f t="shared" si="61"/>
        <v>570</v>
      </c>
      <c r="O331" s="111">
        <f t="shared" si="62"/>
        <v>2840</v>
      </c>
      <c r="P331" s="125">
        <v>153477</v>
      </c>
      <c r="Q331" s="4">
        <v>9.5</v>
      </c>
      <c r="R331" s="49">
        <v>11.4</v>
      </c>
    </row>
    <row r="332" spans="1:18" x14ac:dyDescent="0.25">
      <c r="A332" s="31">
        <v>5</v>
      </c>
      <c r="B332" s="4" t="s">
        <v>635</v>
      </c>
      <c r="C332" s="5">
        <v>1</v>
      </c>
      <c r="D332" s="7">
        <v>0</v>
      </c>
      <c r="E332" s="3">
        <f t="shared" si="60"/>
        <v>1</v>
      </c>
      <c r="F332" s="3" t="s">
        <v>867</v>
      </c>
      <c r="G332" s="77">
        <v>2667</v>
      </c>
      <c r="H332" s="5" t="s">
        <v>1</v>
      </c>
      <c r="I332" s="78">
        <f t="shared" si="59"/>
        <v>2667</v>
      </c>
      <c r="J332" s="110">
        <f t="shared" si="64"/>
        <v>75</v>
      </c>
      <c r="K332" s="182">
        <v>10</v>
      </c>
      <c r="L332" s="5" t="s">
        <v>1</v>
      </c>
      <c r="M332" s="80">
        <f t="shared" si="63"/>
        <v>10</v>
      </c>
      <c r="N332" s="78">
        <f t="shared" si="61"/>
        <v>750</v>
      </c>
      <c r="O332" s="111">
        <f t="shared" si="62"/>
        <v>3417</v>
      </c>
      <c r="P332" s="125">
        <v>153480</v>
      </c>
      <c r="Q332" s="4">
        <v>12.5</v>
      </c>
      <c r="R332" s="49">
        <v>15</v>
      </c>
    </row>
    <row r="333" spans="1:18" x14ac:dyDescent="0.25">
      <c r="A333" s="31">
        <v>6</v>
      </c>
      <c r="B333" s="4" t="s">
        <v>636</v>
      </c>
      <c r="C333" s="5">
        <v>1</v>
      </c>
      <c r="D333" s="7">
        <v>0</v>
      </c>
      <c r="E333" s="3">
        <f t="shared" si="60"/>
        <v>1</v>
      </c>
      <c r="F333" s="3" t="s">
        <v>867</v>
      </c>
      <c r="G333" s="77">
        <v>2750</v>
      </c>
      <c r="H333" s="5" t="s">
        <v>1</v>
      </c>
      <c r="I333" s="78">
        <f t="shared" si="59"/>
        <v>2750</v>
      </c>
      <c r="J333" s="110">
        <f t="shared" si="64"/>
        <v>75</v>
      </c>
      <c r="K333" s="182">
        <v>12.4</v>
      </c>
      <c r="L333" s="5" t="s">
        <v>1</v>
      </c>
      <c r="M333" s="80">
        <f t="shared" si="63"/>
        <v>12.4</v>
      </c>
      <c r="N333" s="78">
        <f t="shared" si="61"/>
        <v>930</v>
      </c>
      <c r="O333" s="111">
        <f t="shared" si="62"/>
        <v>3680</v>
      </c>
      <c r="P333" s="125">
        <v>153483</v>
      </c>
      <c r="Q333" s="4">
        <v>15.5</v>
      </c>
      <c r="R333" s="49">
        <v>18.600000000000001</v>
      </c>
    </row>
    <row r="334" spans="1:18" x14ac:dyDescent="0.25">
      <c r="A334" s="31">
        <v>7</v>
      </c>
      <c r="B334" s="4" t="s">
        <v>637</v>
      </c>
      <c r="C334" s="5">
        <v>1</v>
      </c>
      <c r="D334" s="7">
        <v>0</v>
      </c>
      <c r="E334" s="3">
        <f t="shared" si="60"/>
        <v>1</v>
      </c>
      <c r="F334" s="3" t="s">
        <v>867</v>
      </c>
      <c r="G334" s="77">
        <v>3717</v>
      </c>
      <c r="H334" s="5" t="s">
        <v>1</v>
      </c>
      <c r="I334" s="78">
        <f t="shared" si="59"/>
        <v>3717</v>
      </c>
      <c r="J334" s="110">
        <f t="shared" si="64"/>
        <v>75</v>
      </c>
      <c r="K334" s="182">
        <v>14.5</v>
      </c>
      <c r="L334" s="5" t="s">
        <v>1</v>
      </c>
      <c r="M334" s="80">
        <f t="shared" si="63"/>
        <v>14.5</v>
      </c>
      <c r="N334" s="78">
        <f t="shared" si="61"/>
        <v>1087.5</v>
      </c>
      <c r="O334" s="111">
        <f t="shared" si="62"/>
        <v>4804.5</v>
      </c>
      <c r="P334" s="125">
        <v>153486</v>
      </c>
      <c r="Q334" s="4">
        <v>18.13</v>
      </c>
      <c r="R334" s="49">
        <v>21.75</v>
      </c>
    </row>
    <row r="335" spans="1:18" x14ac:dyDescent="0.25">
      <c r="A335" s="31">
        <v>8</v>
      </c>
      <c r="B335" s="4" t="s">
        <v>638</v>
      </c>
      <c r="C335" s="5">
        <v>1</v>
      </c>
      <c r="D335" s="7">
        <v>0</v>
      </c>
      <c r="E335" s="3">
        <f t="shared" si="60"/>
        <v>1</v>
      </c>
      <c r="F335" s="3" t="s">
        <v>867</v>
      </c>
      <c r="G335" s="77">
        <v>2667</v>
      </c>
      <c r="H335" s="5" t="s">
        <v>1</v>
      </c>
      <c r="I335" s="78">
        <f t="shared" si="59"/>
        <v>2667</v>
      </c>
      <c r="J335" s="110">
        <f t="shared" si="64"/>
        <v>75</v>
      </c>
      <c r="K335" s="182">
        <v>8.6</v>
      </c>
      <c r="L335" s="5" t="s">
        <v>1</v>
      </c>
      <c r="M335" s="80">
        <f t="shared" si="63"/>
        <v>8.6</v>
      </c>
      <c r="N335" s="78">
        <f t="shared" si="61"/>
        <v>645</v>
      </c>
      <c r="O335" s="111">
        <f t="shared" si="62"/>
        <v>3312</v>
      </c>
      <c r="P335" s="125">
        <v>224412</v>
      </c>
      <c r="Q335" s="4">
        <v>10.75</v>
      </c>
      <c r="R335" s="49">
        <v>12.9</v>
      </c>
    </row>
    <row r="336" spans="1:18" x14ac:dyDescent="0.25">
      <c r="A336" s="31">
        <v>9</v>
      </c>
      <c r="B336" s="4" t="s">
        <v>639</v>
      </c>
      <c r="C336" s="5">
        <v>1</v>
      </c>
      <c r="D336" s="7">
        <v>0</v>
      </c>
      <c r="E336" s="3">
        <f t="shared" si="60"/>
        <v>1</v>
      </c>
      <c r="F336" s="3" t="s">
        <v>867</v>
      </c>
      <c r="G336" s="77">
        <v>2750</v>
      </c>
      <c r="H336" s="5" t="s">
        <v>1</v>
      </c>
      <c r="I336" s="78">
        <f t="shared" si="59"/>
        <v>2750</v>
      </c>
      <c r="J336" s="110">
        <f t="shared" si="64"/>
        <v>75</v>
      </c>
      <c r="K336" s="182">
        <v>10.3</v>
      </c>
      <c r="L336" s="5" t="s">
        <v>1</v>
      </c>
      <c r="M336" s="80">
        <f t="shared" si="63"/>
        <v>10.3</v>
      </c>
      <c r="N336" s="78">
        <f t="shared" si="61"/>
        <v>772.5</v>
      </c>
      <c r="O336" s="111">
        <f t="shared" si="62"/>
        <v>3522.5</v>
      </c>
      <c r="P336" s="125">
        <v>224415</v>
      </c>
      <c r="Q336" s="4">
        <v>12.88</v>
      </c>
      <c r="R336" s="49">
        <v>15.45</v>
      </c>
    </row>
    <row r="337" spans="1:18" x14ac:dyDescent="0.25">
      <c r="A337" s="31">
        <v>10</v>
      </c>
      <c r="B337" s="4" t="s">
        <v>640</v>
      </c>
      <c r="C337" s="5">
        <v>1</v>
      </c>
      <c r="D337" s="7">
        <v>0</v>
      </c>
      <c r="E337" s="3">
        <f t="shared" si="60"/>
        <v>1</v>
      </c>
      <c r="F337" s="3" t="s">
        <v>867</v>
      </c>
      <c r="G337" s="77">
        <v>3717</v>
      </c>
      <c r="H337" s="5" t="s">
        <v>1</v>
      </c>
      <c r="I337" s="78">
        <f t="shared" si="59"/>
        <v>3717</v>
      </c>
      <c r="J337" s="110">
        <f t="shared" si="64"/>
        <v>75</v>
      </c>
      <c r="K337" s="182">
        <v>12</v>
      </c>
      <c r="L337" s="5" t="s">
        <v>1</v>
      </c>
      <c r="M337" s="80">
        <f t="shared" si="63"/>
        <v>12</v>
      </c>
      <c r="N337" s="78">
        <f t="shared" si="61"/>
        <v>900</v>
      </c>
      <c r="O337" s="111">
        <f t="shared" si="62"/>
        <v>4617</v>
      </c>
      <c r="P337" s="125">
        <v>224418</v>
      </c>
      <c r="Q337" s="4">
        <v>15</v>
      </c>
      <c r="R337" s="49">
        <v>18</v>
      </c>
    </row>
    <row r="338" spans="1:18" x14ac:dyDescent="0.25">
      <c r="A338" s="31">
        <v>11</v>
      </c>
      <c r="B338" s="4" t="s">
        <v>641</v>
      </c>
      <c r="C338" s="5">
        <v>1</v>
      </c>
      <c r="D338" s="7">
        <v>0</v>
      </c>
      <c r="E338" s="3">
        <f t="shared" si="60"/>
        <v>1</v>
      </c>
      <c r="F338" s="3" t="s">
        <v>867</v>
      </c>
      <c r="G338" s="77">
        <v>4162</v>
      </c>
      <c r="H338" s="5" t="s">
        <v>1</v>
      </c>
      <c r="I338" s="78">
        <f t="shared" si="59"/>
        <v>4162</v>
      </c>
      <c r="J338" s="110">
        <f t="shared" si="64"/>
        <v>75</v>
      </c>
      <c r="K338" s="182">
        <v>12.7</v>
      </c>
      <c r="L338" s="5" t="s">
        <v>1</v>
      </c>
      <c r="M338" s="80">
        <f t="shared" si="63"/>
        <v>12.7</v>
      </c>
      <c r="N338" s="78">
        <f t="shared" si="61"/>
        <v>952.5</v>
      </c>
      <c r="O338" s="111">
        <f t="shared" si="62"/>
        <v>5114.5</v>
      </c>
      <c r="P338" s="125">
        <v>153489</v>
      </c>
      <c r="Q338" s="4">
        <v>15.88</v>
      </c>
      <c r="R338" s="49">
        <v>19.05</v>
      </c>
    </row>
    <row r="339" spans="1:18" x14ac:dyDescent="0.25">
      <c r="A339" s="31">
        <v>12</v>
      </c>
      <c r="B339" s="4" t="s">
        <v>642</v>
      </c>
      <c r="C339" s="5">
        <v>1</v>
      </c>
      <c r="D339" s="7">
        <v>0</v>
      </c>
      <c r="E339" s="3">
        <f t="shared" si="60"/>
        <v>1</v>
      </c>
      <c r="F339" s="3" t="s">
        <v>867</v>
      </c>
      <c r="G339" s="77">
        <v>3998</v>
      </c>
      <c r="H339" s="5" t="s">
        <v>1</v>
      </c>
      <c r="I339" s="78">
        <f t="shared" si="59"/>
        <v>3998</v>
      </c>
      <c r="J339" s="110">
        <f t="shared" si="64"/>
        <v>75</v>
      </c>
      <c r="K339" s="182">
        <v>14.4</v>
      </c>
      <c r="L339" s="5" t="s">
        <v>1</v>
      </c>
      <c r="M339" s="80">
        <f t="shared" si="63"/>
        <v>14.4</v>
      </c>
      <c r="N339" s="78">
        <f t="shared" si="61"/>
        <v>1080</v>
      </c>
      <c r="O339" s="111">
        <f t="shared" si="62"/>
        <v>5078</v>
      </c>
      <c r="P339" s="125">
        <v>153492</v>
      </c>
      <c r="Q339" s="4">
        <v>18</v>
      </c>
      <c r="R339" s="49">
        <v>21.6</v>
      </c>
    </row>
    <row r="340" spans="1:18" x14ac:dyDescent="0.25">
      <c r="A340" s="31">
        <v>13</v>
      </c>
      <c r="B340" s="4" t="s">
        <v>643</v>
      </c>
      <c r="C340" s="5">
        <v>1</v>
      </c>
      <c r="D340" s="7">
        <v>0</v>
      </c>
      <c r="E340" s="3">
        <f t="shared" si="60"/>
        <v>1</v>
      </c>
      <c r="F340" s="3" t="s">
        <v>867</v>
      </c>
      <c r="G340" s="77">
        <v>4462</v>
      </c>
      <c r="H340" s="5" t="s">
        <v>1</v>
      </c>
      <c r="I340" s="78">
        <f t="shared" ref="I340:I395" si="65">IF(H340="C",(G340/100)*E340,IF(H340="M",(G340/1000)*E340,G340*E340))</f>
        <v>4462</v>
      </c>
      <c r="J340" s="110">
        <f t="shared" si="64"/>
        <v>75</v>
      </c>
      <c r="K340" s="182">
        <v>16.8</v>
      </c>
      <c r="L340" s="5" t="s">
        <v>1</v>
      </c>
      <c r="M340" s="80">
        <f t="shared" si="63"/>
        <v>16.8</v>
      </c>
      <c r="N340" s="78">
        <f t="shared" si="61"/>
        <v>1260</v>
      </c>
      <c r="O340" s="111">
        <f t="shared" si="62"/>
        <v>5722</v>
      </c>
      <c r="P340" s="125">
        <v>153495</v>
      </c>
      <c r="Q340" s="4">
        <v>21</v>
      </c>
      <c r="R340" s="49">
        <v>25.2</v>
      </c>
    </row>
    <row r="341" spans="1:18" x14ac:dyDescent="0.25">
      <c r="A341" s="31">
        <v>14</v>
      </c>
      <c r="B341" s="4" t="s">
        <v>644</v>
      </c>
      <c r="C341" s="5">
        <v>1</v>
      </c>
      <c r="D341" s="7">
        <v>0</v>
      </c>
      <c r="E341" s="3">
        <f t="shared" ref="E341:E395" si="66">C341+(C341*D341)</f>
        <v>1</v>
      </c>
      <c r="F341" s="3" t="s">
        <v>867</v>
      </c>
      <c r="G341" s="77">
        <v>4957</v>
      </c>
      <c r="H341" s="5" t="s">
        <v>1</v>
      </c>
      <c r="I341" s="78">
        <f t="shared" si="65"/>
        <v>4957</v>
      </c>
      <c r="J341" s="110">
        <f t="shared" si="64"/>
        <v>75</v>
      </c>
      <c r="K341" s="182">
        <v>19.2</v>
      </c>
      <c r="L341" s="5" t="s">
        <v>1</v>
      </c>
      <c r="M341" s="80">
        <f t="shared" si="63"/>
        <v>19.2</v>
      </c>
      <c r="N341" s="78">
        <f t="shared" ref="N341:N395" si="67">M341*J341</f>
        <v>1440</v>
      </c>
      <c r="O341" s="111">
        <f t="shared" ref="O341:O395" si="68">N341+I341</f>
        <v>6397</v>
      </c>
      <c r="P341" s="125">
        <v>153498</v>
      </c>
      <c r="Q341" s="4">
        <v>24</v>
      </c>
      <c r="R341" s="49">
        <v>28.8</v>
      </c>
    </row>
    <row r="342" spans="1:18" x14ac:dyDescent="0.25">
      <c r="A342" s="31">
        <v>15</v>
      </c>
      <c r="B342" s="4" t="s">
        <v>645</v>
      </c>
      <c r="C342" s="5">
        <v>1</v>
      </c>
      <c r="D342" s="7">
        <v>0</v>
      </c>
      <c r="E342" s="3">
        <f t="shared" si="66"/>
        <v>1</v>
      </c>
      <c r="F342" s="3" t="s">
        <v>867</v>
      </c>
      <c r="G342" s="77">
        <v>5385</v>
      </c>
      <c r="H342" s="5" t="s">
        <v>1</v>
      </c>
      <c r="I342" s="78">
        <f t="shared" si="65"/>
        <v>5385</v>
      </c>
      <c r="J342" s="110">
        <f t="shared" si="64"/>
        <v>75</v>
      </c>
      <c r="K342" s="182">
        <v>21.6</v>
      </c>
      <c r="L342" s="5" t="s">
        <v>1</v>
      </c>
      <c r="M342" s="80">
        <f t="shared" si="63"/>
        <v>21.6</v>
      </c>
      <c r="N342" s="78">
        <f t="shared" si="67"/>
        <v>1620</v>
      </c>
      <c r="O342" s="111">
        <f t="shared" si="68"/>
        <v>7005</v>
      </c>
      <c r="P342" s="125">
        <v>153501</v>
      </c>
      <c r="Q342" s="4">
        <v>27</v>
      </c>
      <c r="R342" s="49">
        <v>32.4</v>
      </c>
    </row>
    <row r="343" spans="1:18" x14ac:dyDescent="0.25">
      <c r="A343" s="31">
        <v>16</v>
      </c>
      <c r="B343" s="4" t="s">
        <v>646</v>
      </c>
      <c r="C343" s="5">
        <v>1</v>
      </c>
      <c r="D343" s="7">
        <v>0</v>
      </c>
      <c r="E343" s="3">
        <f t="shared" si="66"/>
        <v>1</v>
      </c>
      <c r="F343" s="3" t="s">
        <v>867</v>
      </c>
      <c r="G343" s="77">
        <v>6450</v>
      </c>
      <c r="H343" s="5" t="s">
        <v>1</v>
      </c>
      <c r="I343" s="78">
        <f t="shared" si="65"/>
        <v>6450</v>
      </c>
      <c r="J343" s="110">
        <f t="shared" si="64"/>
        <v>75</v>
      </c>
      <c r="K343" s="182">
        <v>23</v>
      </c>
      <c r="L343" s="5" t="s">
        <v>1</v>
      </c>
      <c r="M343" s="80">
        <f t="shared" si="63"/>
        <v>23</v>
      </c>
      <c r="N343" s="78">
        <f t="shared" si="67"/>
        <v>1725</v>
      </c>
      <c r="O343" s="111">
        <f t="shared" si="68"/>
        <v>8175</v>
      </c>
      <c r="P343" s="125">
        <v>224421</v>
      </c>
      <c r="Q343" s="4">
        <v>28.75</v>
      </c>
      <c r="R343" s="49">
        <v>34.5</v>
      </c>
    </row>
    <row r="344" spans="1:18" x14ac:dyDescent="0.25">
      <c r="A344" s="31">
        <v>17</v>
      </c>
      <c r="B344" s="4" t="s">
        <v>647</v>
      </c>
      <c r="C344" s="5">
        <v>1</v>
      </c>
      <c r="D344" s="7">
        <v>0</v>
      </c>
      <c r="E344" s="3">
        <f t="shared" si="66"/>
        <v>1</v>
      </c>
      <c r="F344" s="3" t="s">
        <v>867</v>
      </c>
      <c r="G344" s="77">
        <v>8336</v>
      </c>
      <c r="H344" s="5" t="s">
        <v>1</v>
      </c>
      <c r="I344" s="78">
        <f t="shared" si="65"/>
        <v>8336</v>
      </c>
      <c r="J344" s="110">
        <f t="shared" si="64"/>
        <v>75</v>
      </c>
      <c r="K344" s="182">
        <v>27.8</v>
      </c>
      <c r="L344" s="5" t="s">
        <v>1</v>
      </c>
      <c r="M344" s="80">
        <f t="shared" si="63"/>
        <v>27.8</v>
      </c>
      <c r="N344" s="78">
        <f t="shared" si="67"/>
        <v>2085</v>
      </c>
      <c r="O344" s="111">
        <f t="shared" si="68"/>
        <v>10421</v>
      </c>
      <c r="P344" s="125">
        <v>153504</v>
      </c>
      <c r="Q344" s="4">
        <v>34.75</v>
      </c>
      <c r="R344" s="49">
        <v>41.7</v>
      </c>
    </row>
    <row r="345" spans="1:18" x14ac:dyDescent="0.25">
      <c r="A345" s="31">
        <v>18</v>
      </c>
      <c r="B345" s="4" t="s">
        <v>648</v>
      </c>
      <c r="C345" s="5">
        <v>1</v>
      </c>
      <c r="D345" s="7">
        <v>0</v>
      </c>
      <c r="E345" s="3">
        <f t="shared" si="66"/>
        <v>1</v>
      </c>
      <c r="F345" s="3" t="s">
        <v>867</v>
      </c>
      <c r="G345" s="77">
        <v>12000</v>
      </c>
      <c r="H345" s="5" t="s">
        <v>1</v>
      </c>
      <c r="I345" s="78">
        <f t="shared" si="65"/>
        <v>12000</v>
      </c>
      <c r="J345" s="110">
        <f t="shared" si="64"/>
        <v>75</v>
      </c>
      <c r="K345" s="182">
        <v>32.5</v>
      </c>
      <c r="L345" s="5" t="s">
        <v>1</v>
      </c>
      <c r="M345" s="80">
        <f t="shared" si="63"/>
        <v>32.5</v>
      </c>
      <c r="N345" s="78">
        <f t="shared" si="67"/>
        <v>2437.5</v>
      </c>
      <c r="O345" s="111">
        <f t="shared" si="68"/>
        <v>14437.5</v>
      </c>
      <c r="P345" s="125">
        <v>153507</v>
      </c>
      <c r="Q345" s="4">
        <v>40.630000000000003</v>
      </c>
      <c r="R345" s="49">
        <v>48.75</v>
      </c>
    </row>
    <row r="346" spans="1:18" x14ac:dyDescent="0.25">
      <c r="A346" s="31">
        <v>19</v>
      </c>
      <c r="B346" s="4" t="s">
        <v>649</v>
      </c>
      <c r="C346" s="5">
        <v>1</v>
      </c>
      <c r="D346" s="7">
        <v>0</v>
      </c>
      <c r="E346" s="3">
        <f t="shared" si="66"/>
        <v>1</v>
      </c>
      <c r="F346" s="3" t="s">
        <v>867</v>
      </c>
      <c r="G346" s="77">
        <v>26000</v>
      </c>
      <c r="H346" s="5" t="s">
        <v>1</v>
      </c>
      <c r="I346" s="78">
        <f t="shared" si="65"/>
        <v>26000</v>
      </c>
      <c r="J346" s="110">
        <f t="shared" si="64"/>
        <v>75</v>
      </c>
      <c r="K346" s="182">
        <v>0</v>
      </c>
      <c r="L346" s="5" t="s">
        <v>1</v>
      </c>
      <c r="M346" s="80">
        <f t="shared" si="63"/>
        <v>0</v>
      </c>
      <c r="N346" s="78">
        <f t="shared" si="67"/>
        <v>0</v>
      </c>
      <c r="O346" s="111">
        <f t="shared" si="68"/>
        <v>26000</v>
      </c>
      <c r="P346" s="125">
        <v>153510</v>
      </c>
      <c r="Q346" s="4"/>
      <c r="R346" s="49"/>
    </row>
    <row r="347" spans="1:18" x14ac:dyDescent="0.25">
      <c r="A347" s="31"/>
      <c r="B347" s="4"/>
      <c r="C347" s="5"/>
      <c r="D347" s="7"/>
      <c r="E347" s="3"/>
      <c r="F347" s="3"/>
      <c r="G347" s="77" t="s">
        <v>1202</v>
      </c>
      <c r="H347" s="5"/>
      <c r="I347" s="78"/>
      <c r="J347" s="4"/>
      <c r="K347" s="182"/>
      <c r="L347" s="5"/>
      <c r="M347" s="80"/>
      <c r="N347" s="78"/>
      <c r="O347" s="111"/>
      <c r="P347" s="125"/>
      <c r="Q347" s="4"/>
      <c r="R347" s="49"/>
    </row>
    <row r="348" spans="1:18" x14ac:dyDescent="0.25">
      <c r="A348" s="31">
        <v>1</v>
      </c>
      <c r="B348" s="4" t="s">
        <v>650</v>
      </c>
      <c r="C348" s="5">
        <v>1</v>
      </c>
      <c r="D348" s="7">
        <v>0</v>
      </c>
      <c r="E348" s="3">
        <f t="shared" si="66"/>
        <v>1</v>
      </c>
      <c r="F348" s="3" t="s">
        <v>867</v>
      </c>
      <c r="G348" s="77">
        <v>1254</v>
      </c>
      <c r="H348" s="5" t="s">
        <v>1</v>
      </c>
      <c r="I348" s="78">
        <f t="shared" si="65"/>
        <v>1254</v>
      </c>
      <c r="J348" s="110">
        <f t="shared" si="64"/>
        <v>75</v>
      </c>
      <c r="K348" s="182">
        <v>8.6</v>
      </c>
      <c r="L348" s="5" t="s">
        <v>1</v>
      </c>
      <c r="M348" s="80">
        <f t="shared" si="63"/>
        <v>8.6</v>
      </c>
      <c r="N348" s="78">
        <f t="shared" si="67"/>
        <v>645</v>
      </c>
      <c r="O348" s="111">
        <f t="shared" si="68"/>
        <v>1899</v>
      </c>
      <c r="P348" s="125">
        <v>153978</v>
      </c>
      <c r="Q348" s="4">
        <v>10.75</v>
      </c>
      <c r="R348" s="49">
        <v>12.9</v>
      </c>
    </row>
    <row r="349" spans="1:18" x14ac:dyDescent="0.25">
      <c r="A349" s="31">
        <v>2</v>
      </c>
      <c r="B349" s="4" t="s">
        <v>651</v>
      </c>
      <c r="C349" s="5">
        <v>1</v>
      </c>
      <c r="D349" s="7">
        <v>0</v>
      </c>
      <c r="E349" s="3">
        <f t="shared" si="66"/>
        <v>1</v>
      </c>
      <c r="F349" s="3" t="s">
        <v>867</v>
      </c>
      <c r="G349" s="77">
        <v>1615</v>
      </c>
      <c r="H349" s="5" t="s">
        <v>1</v>
      </c>
      <c r="I349" s="78">
        <f t="shared" si="65"/>
        <v>1615</v>
      </c>
      <c r="J349" s="110">
        <f t="shared" si="64"/>
        <v>75</v>
      </c>
      <c r="K349" s="182">
        <v>10.3</v>
      </c>
      <c r="L349" s="5" t="s">
        <v>1</v>
      </c>
      <c r="M349" s="80">
        <f t="shared" si="63"/>
        <v>10.3</v>
      </c>
      <c r="N349" s="78">
        <f t="shared" si="67"/>
        <v>772.5</v>
      </c>
      <c r="O349" s="111">
        <f t="shared" si="68"/>
        <v>2387.5</v>
      </c>
      <c r="P349" s="125">
        <v>153981</v>
      </c>
      <c r="Q349" s="4">
        <v>12.88</v>
      </c>
      <c r="R349" s="49">
        <v>15.45</v>
      </c>
    </row>
    <row r="350" spans="1:18" x14ac:dyDescent="0.25">
      <c r="A350" s="31">
        <v>3</v>
      </c>
      <c r="B350" s="4" t="s">
        <v>652</v>
      </c>
      <c r="C350" s="5">
        <v>1</v>
      </c>
      <c r="D350" s="7">
        <v>0</v>
      </c>
      <c r="E350" s="3">
        <f t="shared" si="66"/>
        <v>1</v>
      </c>
      <c r="F350" s="3" t="s">
        <v>867</v>
      </c>
      <c r="G350" s="77">
        <v>2659</v>
      </c>
      <c r="H350" s="5" t="s">
        <v>1</v>
      </c>
      <c r="I350" s="78">
        <f t="shared" si="65"/>
        <v>2659</v>
      </c>
      <c r="J350" s="110">
        <f t="shared" si="64"/>
        <v>75</v>
      </c>
      <c r="K350" s="182">
        <v>12.7</v>
      </c>
      <c r="L350" s="5" t="s">
        <v>1</v>
      </c>
      <c r="M350" s="80">
        <f t="shared" si="63"/>
        <v>12.7</v>
      </c>
      <c r="N350" s="78">
        <f t="shared" si="67"/>
        <v>952.5</v>
      </c>
      <c r="O350" s="111">
        <f t="shared" si="68"/>
        <v>3611.5</v>
      </c>
      <c r="P350" s="125">
        <v>153984</v>
      </c>
      <c r="Q350" s="4">
        <v>15.88</v>
      </c>
      <c r="R350" s="49">
        <v>19.05</v>
      </c>
    </row>
    <row r="351" spans="1:18" x14ac:dyDescent="0.25">
      <c r="A351" s="31">
        <v>4</v>
      </c>
      <c r="B351" s="4" t="s">
        <v>653</v>
      </c>
      <c r="C351" s="5">
        <v>1</v>
      </c>
      <c r="D351" s="7">
        <v>0</v>
      </c>
      <c r="E351" s="3">
        <f t="shared" si="66"/>
        <v>1</v>
      </c>
      <c r="F351" s="3" t="s">
        <v>867</v>
      </c>
      <c r="G351" s="77">
        <v>3476</v>
      </c>
      <c r="H351" s="5" t="s">
        <v>1</v>
      </c>
      <c r="I351" s="78">
        <f t="shared" si="65"/>
        <v>3476</v>
      </c>
      <c r="J351" s="110">
        <f t="shared" si="64"/>
        <v>75</v>
      </c>
      <c r="K351" s="182">
        <v>14.4</v>
      </c>
      <c r="L351" s="5" t="s">
        <v>1</v>
      </c>
      <c r="M351" s="80">
        <f t="shared" si="63"/>
        <v>14.4</v>
      </c>
      <c r="N351" s="78">
        <f t="shared" si="67"/>
        <v>1080</v>
      </c>
      <c r="O351" s="111">
        <f t="shared" si="68"/>
        <v>4556</v>
      </c>
      <c r="P351" s="125">
        <v>153987</v>
      </c>
      <c r="Q351" s="4">
        <v>18</v>
      </c>
      <c r="R351" s="49">
        <v>21.6</v>
      </c>
    </row>
    <row r="352" spans="1:18" x14ac:dyDescent="0.25">
      <c r="A352" s="31">
        <v>5</v>
      </c>
      <c r="B352" s="4" t="s">
        <v>654</v>
      </c>
      <c r="C352" s="5">
        <v>1</v>
      </c>
      <c r="D352" s="7">
        <v>0</v>
      </c>
      <c r="E352" s="3">
        <f t="shared" si="66"/>
        <v>1</v>
      </c>
      <c r="F352" s="3" t="s">
        <v>867</v>
      </c>
      <c r="G352" s="77">
        <v>4793</v>
      </c>
      <c r="H352" s="5" t="s">
        <v>1</v>
      </c>
      <c r="I352" s="78">
        <f t="shared" si="65"/>
        <v>4793</v>
      </c>
      <c r="J352" s="110">
        <f t="shared" si="64"/>
        <v>75</v>
      </c>
      <c r="K352" s="182">
        <v>16.8</v>
      </c>
      <c r="L352" s="5" t="s">
        <v>1</v>
      </c>
      <c r="M352" s="80">
        <f t="shared" si="63"/>
        <v>16.8</v>
      </c>
      <c r="N352" s="78">
        <f t="shared" si="67"/>
        <v>1260</v>
      </c>
      <c r="O352" s="111">
        <f t="shared" si="68"/>
        <v>6053</v>
      </c>
      <c r="P352" s="125">
        <v>153990</v>
      </c>
      <c r="Q352" s="4">
        <v>21</v>
      </c>
      <c r="R352" s="49">
        <v>25.2</v>
      </c>
    </row>
    <row r="353" spans="1:18" x14ac:dyDescent="0.25">
      <c r="A353" s="31">
        <v>6</v>
      </c>
      <c r="B353" s="4" t="s">
        <v>655</v>
      </c>
      <c r="C353" s="5">
        <v>1</v>
      </c>
      <c r="D353" s="7">
        <v>0</v>
      </c>
      <c r="E353" s="3">
        <f t="shared" si="66"/>
        <v>1</v>
      </c>
      <c r="F353" s="3" t="s">
        <v>867</v>
      </c>
      <c r="G353" s="77">
        <v>4928</v>
      </c>
      <c r="H353" s="5" t="s">
        <v>1</v>
      </c>
      <c r="I353" s="78">
        <f t="shared" si="65"/>
        <v>4928</v>
      </c>
      <c r="J353" s="110">
        <f t="shared" si="64"/>
        <v>75</v>
      </c>
      <c r="K353" s="182">
        <v>18</v>
      </c>
      <c r="L353" s="5" t="s">
        <v>1</v>
      </c>
      <c r="M353" s="80">
        <f t="shared" si="63"/>
        <v>18</v>
      </c>
      <c r="N353" s="78">
        <f t="shared" si="67"/>
        <v>1350</v>
      </c>
      <c r="O353" s="111">
        <f t="shared" si="68"/>
        <v>6278</v>
      </c>
      <c r="P353" s="125">
        <v>153993</v>
      </c>
      <c r="Q353" s="4">
        <v>22.5</v>
      </c>
      <c r="R353" s="49">
        <v>27</v>
      </c>
    </row>
    <row r="354" spans="1:18" x14ac:dyDescent="0.25">
      <c r="A354" s="31">
        <v>7</v>
      </c>
      <c r="B354" s="4" t="s">
        <v>656</v>
      </c>
      <c r="C354" s="5">
        <v>1</v>
      </c>
      <c r="D354" s="7">
        <v>0</v>
      </c>
      <c r="E354" s="3">
        <f t="shared" si="66"/>
        <v>1</v>
      </c>
      <c r="F354" s="3" t="s">
        <v>867</v>
      </c>
      <c r="G354" s="77">
        <v>5188</v>
      </c>
      <c r="H354" s="5" t="s">
        <v>1</v>
      </c>
      <c r="I354" s="78">
        <f t="shared" si="65"/>
        <v>5188</v>
      </c>
      <c r="J354" s="110">
        <f t="shared" si="64"/>
        <v>75</v>
      </c>
      <c r="K354" s="182">
        <v>19.2</v>
      </c>
      <c r="L354" s="5" t="s">
        <v>1</v>
      </c>
      <c r="M354" s="80">
        <f t="shared" si="63"/>
        <v>19.2</v>
      </c>
      <c r="N354" s="78">
        <f t="shared" si="67"/>
        <v>1440</v>
      </c>
      <c r="O354" s="111">
        <f t="shared" si="68"/>
        <v>6628</v>
      </c>
      <c r="P354" s="125">
        <v>153996</v>
      </c>
      <c r="Q354" s="4">
        <v>24</v>
      </c>
      <c r="R354" s="49">
        <v>28.8</v>
      </c>
    </row>
    <row r="355" spans="1:18" x14ac:dyDescent="0.25">
      <c r="A355" s="31">
        <v>8</v>
      </c>
      <c r="B355" s="4" t="s">
        <v>657</v>
      </c>
      <c r="C355" s="5">
        <v>1</v>
      </c>
      <c r="D355" s="7">
        <v>0</v>
      </c>
      <c r="E355" s="3">
        <f t="shared" si="66"/>
        <v>1</v>
      </c>
      <c r="F355" s="3" t="s">
        <v>867</v>
      </c>
      <c r="G355" s="77">
        <v>6112</v>
      </c>
      <c r="H355" s="5" t="s">
        <v>1</v>
      </c>
      <c r="I355" s="78">
        <f t="shared" si="65"/>
        <v>6112</v>
      </c>
      <c r="J355" s="110">
        <f t="shared" si="64"/>
        <v>75</v>
      </c>
      <c r="K355" s="182">
        <v>22</v>
      </c>
      <c r="L355" s="5" t="s">
        <v>1</v>
      </c>
      <c r="M355" s="80">
        <f t="shared" si="63"/>
        <v>22</v>
      </c>
      <c r="N355" s="78">
        <f t="shared" si="67"/>
        <v>1650</v>
      </c>
      <c r="O355" s="111">
        <f t="shared" si="68"/>
        <v>7762</v>
      </c>
      <c r="P355" s="125">
        <v>153999</v>
      </c>
      <c r="Q355" s="4">
        <v>27.5</v>
      </c>
      <c r="R355" s="49">
        <v>33</v>
      </c>
    </row>
    <row r="356" spans="1:18" x14ac:dyDescent="0.25">
      <c r="A356" s="31">
        <v>9</v>
      </c>
      <c r="B356" s="4" t="s">
        <v>658</v>
      </c>
      <c r="C356" s="5">
        <v>1</v>
      </c>
      <c r="D356" s="7">
        <v>0</v>
      </c>
      <c r="E356" s="3">
        <f t="shared" si="66"/>
        <v>1</v>
      </c>
      <c r="F356" s="3" t="s">
        <v>867</v>
      </c>
      <c r="G356" s="77">
        <v>8234</v>
      </c>
      <c r="H356" s="5" t="s">
        <v>1</v>
      </c>
      <c r="I356" s="78">
        <f t="shared" si="65"/>
        <v>8234</v>
      </c>
      <c r="J356" s="110">
        <f t="shared" si="64"/>
        <v>75</v>
      </c>
      <c r="K356" s="182">
        <v>23</v>
      </c>
      <c r="L356" s="5" t="s">
        <v>1</v>
      </c>
      <c r="M356" s="80">
        <f t="shared" si="63"/>
        <v>23</v>
      </c>
      <c r="N356" s="78">
        <f t="shared" si="67"/>
        <v>1725</v>
      </c>
      <c r="O356" s="111">
        <f t="shared" si="68"/>
        <v>9959</v>
      </c>
      <c r="P356" s="125">
        <v>154002</v>
      </c>
      <c r="Q356" s="4">
        <v>28.75</v>
      </c>
      <c r="R356" s="49">
        <v>34.5</v>
      </c>
    </row>
    <row r="357" spans="1:18" x14ac:dyDescent="0.25">
      <c r="A357" s="31">
        <v>10</v>
      </c>
      <c r="B357" s="4" t="s">
        <v>659</v>
      </c>
      <c r="C357" s="5">
        <v>1</v>
      </c>
      <c r="D357" s="7">
        <v>0</v>
      </c>
      <c r="E357" s="3">
        <f t="shared" si="66"/>
        <v>1</v>
      </c>
      <c r="F357" s="3" t="s">
        <v>867</v>
      </c>
      <c r="G357" s="77">
        <v>9743</v>
      </c>
      <c r="H357" s="5" t="s">
        <v>1</v>
      </c>
      <c r="I357" s="78">
        <f t="shared" si="65"/>
        <v>9743</v>
      </c>
      <c r="J357" s="110">
        <f t="shared" si="64"/>
        <v>75</v>
      </c>
      <c r="K357" s="182">
        <v>25.4</v>
      </c>
      <c r="L357" s="5" t="s">
        <v>1</v>
      </c>
      <c r="M357" s="80">
        <f t="shared" si="63"/>
        <v>25.4</v>
      </c>
      <c r="N357" s="78">
        <f t="shared" si="67"/>
        <v>1905</v>
      </c>
      <c r="O357" s="111">
        <f t="shared" si="68"/>
        <v>11648</v>
      </c>
      <c r="P357" s="125">
        <v>154005</v>
      </c>
      <c r="Q357" s="4">
        <v>31.75</v>
      </c>
      <c r="R357" s="49">
        <v>38.1</v>
      </c>
    </row>
    <row r="358" spans="1:18" x14ac:dyDescent="0.25">
      <c r="A358" s="31">
        <v>11</v>
      </c>
      <c r="B358" s="4" t="s">
        <v>660</v>
      </c>
      <c r="C358" s="5">
        <v>1</v>
      </c>
      <c r="D358" s="7">
        <v>0</v>
      </c>
      <c r="E358" s="3">
        <f t="shared" si="66"/>
        <v>1</v>
      </c>
      <c r="F358" s="3" t="s">
        <v>867</v>
      </c>
      <c r="G358" s="77">
        <v>1189</v>
      </c>
      <c r="H358" s="5" t="s">
        <v>1</v>
      </c>
      <c r="I358" s="78">
        <f t="shared" si="65"/>
        <v>1189</v>
      </c>
      <c r="J358" s="110">
        <f t="shared" si="64"/>
        <v>75</v>
      </c>
      <c r="K358" s="182">
        <v>27.8</v>
      </c>
      <c r="L358" s="5" t="s">
        <v>1</v>
      </c>
      <c r="M358" s="80">
        <f t="shared" si="63"/>
        <v>27.8</v>
      </c>
      <c r="N358" s="78">
        <f t="shared" si="67"/>
        <v>2085</v>
      </c>
      <c r="O358" s="111">
        <f t="shared" si="68"/>
        <v>3274</v>
      </c>
      <c r="P358" s="125">
        <v>154008</v>
      </c>
      <c r="Q358" s="4">
        <v>34.75</v>
      </c>
      <c r="R358" s="49">
        <v>41.7</v>
      </c>
    </row>
    <row r="359" spans="1:18" x14ac:dyDescent="0.25">
      <c r="A359" s="31">
        <v>12</v>
      </c>
      <c r="B359" s="4" t="s">
        <v>661</v>
      </c>
      <c r="C359" s="5">
        <v>1</v>
      </c>
      <c r="D359" s="7">
        <v>0</v>
      </c>
      <c r="E359" s="3">
        <f t="shared" si="66"/>
        <v>1</v>
      </c>
      <c r="F359" s="3" t="s">
        <v>867</v>
      </c>
      <c r="G359" s="77">
        <v>14569</v>
      </c>
      <c r="H359" s="5" t="s">
        <v>1</v>
      </c>
      <c r="I359" s="78">
        <f t="shared" si="65"/>
        <v>14569</v>
      </c>
      <c r="J359" s="110">
        <f t="shared" si="64"/>
        <v>75</v>
      </c>
      <c r="K359" s="182">
        <v>0</v>
      </c>
      <c r="L359" s="5" t="s">
        <v>1</v>
      </c>
      <c r="M359" s="80">
        <f t="shared" si="63"/>
        <v>0</v>
      </c>
      <c r="N359" s="78">
        <f t="shared" si="67"/>
        <v>0</v>
      </c>
      <c r="O359" s="111">
        <f t="shared" si="68"/>
        <v>14569</v>
      </c>
      <c r="P359" s="125">
        <v>154011</v>
      </c>
      <c r="Q359" s="4"/>
      <c r="R359" s="49"/>
    </row>
    <row r="360" spans="1:18" x14ac:dyDescent="0.25">
      <c r="A360" s="31">
        <v>13</v>
      </c>
      <c r="B360" s="4" t="s">
        <v>662</v>
      </c>
      <c r="C360" s="5">
        <v>1</v>
      </c>
      <c r="D360" s="7">
        <v>0</v>
      </c>
      <c r="E360" s="3">
        <f t="shared" si="66"/>
        <v>1</v>
      </c>
      <c r="F360" s="3" t="s">
        <v>867</v>
      </c>
      <c r="G360" s="77">
        <v>17659</v>
      </c>
      <c r="H360" s="5" t="s">
        <v>1</v>
      </c>
      <c r="I360" s="78">
        <f t="shared" si="65"/>
        <v>17659</v>
      </c>
      <c r="J360" s="110">
        <f t="shared" si="64"/>
        <v>75</v>
      </c>
      <c r="K360" s="182">
        <v>0</v>
      </c>
      <c r="L360" s="5" t="s">
        <v>1</v>
      </c>
      <c r="M360" s="80">
        <f t="shared" ref="M360:M395" si="69">IF(L360="C",(K360/100)*E360,IF(L360="M",(K360/1000)*E360,K360*E360))</f>
        <v>0</v>
      </c>
      <c r="N360" s="78">
        <f t="shared" si="67"/>
        <v>0</v>
      </c>
      <c r="O360" s="111">
        <f t="shared" si="68"/>
        <v>17659</v>
      </c>
      <c r="P360" s="125">
        <v>154014</v>
      </c>
      <c r="Q360" s="4"/>
      <c r="R360" s="49"/>
    </row>
    <row r="361" spans="1:18" x14ac:dyDescent="0.25">
      <c r="A361" s="31">
        <v>14</v>
      </c>
      <c r="B361" s="4" t="s">
        <v>663</v>
      </c>
      <c r="C361" s="5">
        <v>1</v>
      </c>
      <c r="D361" s="7">
        <v>0</v>
      </c>
      <c r="E361" s="3">
        <f t="shared" si="66"/>
        <v>1</v>
      </c>
      <c r="F361" s="3" t="s">
        <v>867</v>
      </c>
      <c r="G361" s="77">
        <v>19723</v>
      </c>
      <c r="H361" s="5" t="s">
        <v>1</v>
      </c>
      <c r="I361" s="78">
        <f t="shared" si="65"/>
        <v>19723</v>
      </c>
      <c r="J361" s="110">
        <f t="shared" si="64"/>
        <v>75</v>
      </c>
      <c r="K361" s="182">
        <v>0</v>
      </c>
      <c r="L361" s="5" t="s">
        <v>1</v>
      </c>
      <c r="M361" s="80">
        <f t="shared" si="69"/>
        <v>0</v>
      </c>
      <c r="N361" s="78">
        <f t="shared" si="67"/>
        <v>0</v>
      </c>
      <c r="O361" s="111">
        <f t="shared" si="68"/>
        <v>19723</v>
      </c>
      <c r="P361" s="125">
        <v>154017</v>
      </c>
      <c r="Q361" s="4"/>
      <c r="R361" s="49"/>
    </row>
    <row r="362" spans="1:18" x14ac:dyDescent="0.25">
      <c r="A362" s="31">
        <v>15</v>
      </c>
      <c r="B362" s="4" t="s">
        <v>664</v>
      </c>
      <c r="C362" s="5">
        <v>1</v>
      </c>
      <c r="D362" s="7">
        <v>0</v>
      </c>
      <c r="E362" s="3">
        <f t="shared" si="66"/>
        <v>1</v>
      </c>
      <c r="F362" s="3" t="s">
        <v>867</v>
      </c>
      <c r="G362" s="77">
        <v>0</v>
      </c>
      <c r="H362" s="5" t="s">
        <v>1</v>
      </c>
      <c r="I362" s="78">
        <f t="shared" si="65"/>
        <v>0</v>
      </c>
      <c r="J362" s="110">
        <f t="shared" si="64"/>
        <v>75</v>
      </c>
      <c r="K362" s="182">
        <v>0</v>
      </c>
      <c r="L362" s="5" t="s">
        <v>1</v>
      </c>
      <c r="M362" s="80">
        <f t="shared" si="69"/>
        <v>0</v>
      </c>
      <c r="N362" s="78">
        <f t="shared" si="67"/>
        <v>0</v>
      </c>
      <c r="O362" s="111">
        <f t="shared" si="68"/>
        <v>0</v>
      </c>
      <c r="P362" s="125">
        <v>154020</v>
      </c>
      <c r="Q362" s="4"/>
      <c r="R362" s="49"/>
    </row>
    <row r="363" spans="1:18" x14ac:dyDescent="0.25">
      <c r="A363" s="31"/>
      <c r="B363" s="4"/>
      <c r="C363" s="5"/>
      <c r="D363" s="7"/>
      <c r="E363" s="3"/>
      <c r="F363" s="3"/>
      <c r="G363" s="77" t="s">
        <v>1202</v>
      </c>
      <c r="H363" s="5"/>
      <c r="I363" s="78"/>
      <c r="J363" s="4"/>
      <c r="K363" s="182"/>
      <c r="L363" s="5"/>
      <c r="M363" s="80"/>
      <c r="N363" s="78"/>
      <c r="O363" s="111"/>
      <c r="P363" s="125"/>
      <c r="Q363" s="4"/>
      <c r="R363" s="49"/>
    </row>
    <row r="364" spans="1:18" x14ac:dyDescent="0.25">
      <c r="A364" s="31">
        <v>1</v>
      </c>
      <c r="B364" s="4" t="s">
        <v>665</v>
      </c>
      <c r="C364" s="5">
        <v>1</v>
      </c>
      <c r="D364" s="7">
        <v>0</v>
      </c>
      <c r="E364" s="3">
        <f t="shared" si="66"/>
        <v>1</v>
      </c>
      <c r="F364" s="3" t="s">
        <v>867</v>
      </c>
      <c r="G364" s="77">
        <v>377</v>
      </c>
      <c r="H364" s="5" t="s">
        <v>1</v>
      </c>
      <c r="I364" s="78">
        <f t="shared" si="65"/>
        <v>377</v>
      </c>
      <c r="J364" s="110">
        <f t="shared" si="64"/>
        <v>75</v>
      </c>
      <c r="K364" s="182">
        <v>4.5</v>
      </c>
      <c r="L364" s="5" t="s">
        <v>1</v>
      </c>
      <c r="M364" s="80">
        <f t="shared" si="69"/>
        <v>4.5</v>
      </c>
      <c r="N364" s="78">
        <f t="shared" si="67"/>
        <v>337.5</v>
      </c>
      <c r="O364" s="111">
        <f t="shared" si="68"/>
        <v>714.5</v>
      </c>
      <c r="P364" s="125">
        <v>153936</v>
      </c>
      <c r="Q364" s="4">
        <v>5.63</v>
      </c>
      <c r="R364" s="49">
        <v>6.75</v>
      </c>
    </row>
    <row r="365" spans="1:18" x14ac:dyDescent="0.25">
      <c r="A365" s="31">
        <v>2</v>
      </c>
      <c r="B365" s="4" t="s">
        <v>666</v>
      </c>
      <c r="C365" s="5">
        <v>1</v>
      </c>
      <c r="D365" s="7">
        <v>0</v>
      </c>
      <c r="E365" s="3">
        <f t="shared" si="66"/>
        <v>1</v>
      </c>
      <c r="F365" s="3" t="s">
        <v>867</v>
      </c>
      <c r="G365" s="77">
        <v>420</v>
      </c>
      <c r="H365" s="5" t="s">
        <v>1</v>
      </c>
      <c r="I365" s="78">
        <f t="shared" si="65"/>
        <v>420</v>
      </c>
      <c r="J365" s="110">
        <f t="shared" si="64"/>
        <v>75</v>
      </c>
      <c r="K365" s="182">
        <v>5.0999999999999996</v>
      </c>
      <c r="L365" s="5" t="s">
        <v>1</v>
      </c>
      <c r="M365" s="80">
        <f t="shared" si="69"/>
        <v>5.0999999999999996</v>
      </c>
      <c r="N365" s="78">
        <f t="shared" si="67"/>
        <v>382.5</v>
      </c>
      <c r="O365" s="111">
        <f t="shared" si="68"/>
        <v>802.5</v>
      </c>
      <c r="P365" s="125">
        <v>153939</v>
      </c>
      <c r="Q365" s="4">
        <v>6.38</v>
      </c>
      <c r="R365" s="49">
        <v>7.65</v>
      </c>
    </row>
    <row r="366" spans="1:18" x14ac:dyDescent="0.25">
      <c r="A366" s="31">
        <v>3</v>
      </c>
      <c r="B366" s="4" t="s">
        <v>667</v>
      </c>
      <c r="C366" s="5">
        <v>1</v>
      </c>
      <c r="D366" s="7">
        <v>0</v>
      </c>
      <c r="E366" s="3">
        <f t="shared" si="66"/>
        <v>1</v>
      </c>
      <c r="F366" s="3" t="s">
        <v>867</v>
      </c>
      <c r="G366" s="77">
        <v>509</v>
      </c>
      <c r="H366" s="5" t="s">
        <v>1</v>
      </c>
      <c r="I366" s="78">
        <f t="shared" si="65"/>
        <v>509</v>
      </c>
      <c r="J366" s="110">
        <f t="shared" si="64"/>
        <v>75</v>
      </c>
      <c r="K366" s="182">
        <v>6</v>
      </c>
      <c r="L366" s="5" t="s">
        <v>1</v>
      </c>
      <c r="M366" s="80">
        <f t="shared" si="69"/>
        <v>6</v>
      </c>
      <c r="N366" s="78">
        <f t="shared" si="67"/>
        <v>450</v>
      </c>
      <c r="O366" s="111">
        <f t="shared" si="68"/>
        <v>959</v>
      </c>
      <c r="P366" s="125">
        <v>153942</v>
      </c>
      <c r="Q366" s="4">
        <v>7.5</v>
      </c>
      <c r="R366" s="49">
        <v>9</v>
      </c>
    </row>
    <row r="367" spans="1:18" x14ac:dyDescent="0.25">
      <c r="A367" s="31">
        <v>4</v>
      </c>
      <c r="B367" s="4" t="s">
        <v>668</v>
      </c>
      <c r="C367" s="5">
        <v>1</v>
      </c>
      <c r="D367" s="7">
        <v>0</v>
      </c>
      <c r="E367" s="3">
        <f t="shared" si="66"/>
        <v>1</v>
      </c>
      <c r="F367" s="3" t="s">
        <v>867</v>
      </c>
      <c r="G367" s="77">
        <v>579</v>
      </c>
      <c r="H367" s="5" t="s">
        <v>1</v>
      </c>
      <c r="I367" s="78">
        <f t="shared" si="65"/>
        <v>579</v>
      </c>
      <c r="J367" s="110">
        <f t="shared" si="64"/>
        <v>75</v>
      </c>
      <c r="K367" s="182">
        <v>6.8</v>
      </c>
      <c r="L367" s="5" t="s">
        <v>1</v>
      </c>
      <c r="M367" s="80">
        <f t="shared" si="69"/>
        <v>6.8</v>
      </c>
      <c r="N367" s="78">
        <f t="shared" si="67"/>
        <v>510</v>
      </c>
      <c r="O367" s="111">
        <f t="shared" si="68"/>
        <v>1089</v>
      </c>
      <c r="P367" s="125">
        <v>153945</v>
      </c>
      <c r="Q367" s="4">
        <v>8.5</v>
      </c>
      <c r="R367" s="49">
        <v>10.199999999999999</v>
      </c>
    </row>
    <row r="368" spans="1:18" x14ac:dyDescent="0.25">
      <c r="A368" s="31">
        <v>5</v>
      </c>
      <c r="B368" s="4" t="s">
        <v>669</v>
      </c>
      <c r="C368" s="5">
        <v>1</v>
      </c>
      <c r="D368" s="7">
        <v>0</v>
      </c>
      <c r="E368" s="3">
        <f t="shared" si="66"/>
        <v>1</v>
      </c>
      <c r="F368" s="3" t="s">
        <v>867</v>
      </c>
      <c r="G368" s="77">
        <v>664</v>
      </c>
      <c r="H368" s="5" t="s">
        <v>1</v>
      </c>
      <c r="I368" s="78">
        <f t="shared" si="65"/>
        <v>664</v>
      </c>
      <c r="J368" s="110">
        <f t="shared" si="64"/>
        <v>75</v>
      </c>
      <c r="K368" s="182">
        <v>9</v>
      </c>
      <c r="L368" s="5" t="s">
        <v>1</v>
      </c>
      <c r="M368" s="80">
        <f t="shared" si="69"/>
        <v>9</v>
      </c>
      <c r="N368" s="78">
        <f t="shared" si="67"/>
        <v>675</v>
      </c>
      <c r="O368" s="111">
        <f t="shared" si="68"/>
        <v>1339</v>
      </c>
      <c r="P368" s="125">
        <v>153948</v>
      </c>
      <c r="Q368" s="4">
        <v>11.25</v>
      </c>
      <c r="R368" s="49">
        <v>13.5</v>
      </c>
    </row>
    <row r="369" spans="1:18" x14ac:dyDescent="0.25">
      <c r="A369" s="31">
        <v>6</v>
      </c>
      <c r="B369" s="4" t="s">
        <v>670</v>
      </c>
      <c r="C369" s="5">
        <v>1</v>
      </c>
      <c r="D369" s="7">
        <v>0</v>
      </c>
      <c r="E369" s="3">
        <f t="shared" si="66"/>
        <v>1</v>
      </c>
      <c r="F369" s="3" t="s">
        <v>867</v>
      </c>
      <c r="G369" s="77">
        <v>1154</v>
      </c>
      <c r="H369" s="5" t="s">
        <v>1</v>
      </c>
      <c r="I369" s="78">
        <f t="shared" si="65"/>
        <v>1154</v>
      </c>
      <c r="J369" s="110">
        <f t="shared" si="64"/>
        <v>75</v>
      </c>
      <c r="K369" s="182">
        <v>11.2</v>
      </c>
      <c r="L369" s="5" t="s">
        <v>1</v>
      </c>
      <c r="M369" s="80">
        <f t="shared" si="69"/>
        <v>11.2</v>
      </c>
      <c r="N369" s="78">
        <f t="shared" si="67"/>
        <v>840</v>
      </c>
      <c r="O369" s="111">
        <f t="shared" si="68"/>
        <v>1994</v>
      </c>
      <c r="P369" s="125">
        <v>153951</v>
      </c>
      <c r="Q369" s="4">
        <v>14</v>
      </c>
      <c r="R369" s="49">
        <v>16.8</v>
      </c>
    </row>
    <row r="370" spans="1:18" x14ac:dyDescent="0.25">
      <c r="A370" s="31">
        <v>7</v>
      </c>
      <c r="B370" s="4" t="s">
        <v>671</v>
      </c>
      <c r="C370" s="5">
        <v>1</v>
      </c>
      <c r="D370" s="7">
        <v>0</v>
      </c>
      <c r="E370" s="3">
        <f t="shared" si="66"/>
        <v>1</v>
      </c>
      <c r="F370" s="3" t="s">
        <v>867</v>
      </c>
      <c r="G370" s="77">
        <v>1448</v>
      </c>
      <c r="H370" s="5" t="s">
        <v>1</v>
      </c>
      <c r="I370" s="78">
        <f t="shared" si="65"/>
        <v>1448</v>
      </c>
      <c r="J370" s="110">
        <f t="shared" si="64"/>
        <v>75</v>
      </c>
      <c r="K370" s="182">
        <v>13.1</v>
      </c>
      <c r="L370" s="5" t="s">
        <v>1</v>
      </c>
      <c r="M370" s="80">
        <f t="shared" si="69"/>
        <v>13.1</v>
      </c>
      <c r="N370" s="78">
        <f t="shared" si="67"/>
        <v>982.5</v>
      </c>
      <c r="O370" s="111">
        <f t="shared" si="68"/>
        <v>2430.5</v>
      </c>
      <c r="P370" s="125">
        <v>153954</v>
      </c>
      <c r="Q370" s="4">
        <v>16.38</v>
      </c>
      <c r="R370" s="49">
        <v>19.649999999999999</v>
      </c>
    </row>
    <row r="371" spans="1:18" x14ac:dyDescent="0.25">
      <c r="A371" s="31">
        <v>8</v>
      </c>
      <c r="B371" s="4" t="s">
        <v>672</v>
      </c>
      <c r="C371" s="5">
        <v>1</v>
      </c>
      <c r="D371" s="7">
        <v>0</v>
      </c>
      <c r="E371" s="3">
        <f t="shared" si="66"/>
        <v>1</v>
      </c>
      <c r="F371" s="3" t="s">
        <v>867</v>
      </c>
      <c r="G371" s="77">
        <v>664</v>
      </c>
      <c r="H371" s="5" t="s">
        <v>1</v>
      </c>
      <c r="I371" s="78">
        <f t="shared" si="65"/>
        <v>664</v>
      </c>
      <c r="J371" s="110">
        <f t="shared" si="64"/>
        <v>75</v>
      </c>
      <c r="K371" s="182">
        <v>7.8</v>
      </c>
      <c r="L371" s="5" t="s">
        <v>1</v>
      </c>
      <c r="M371" s="80">
        <f t="shared" si="69"/>
        <v>7.8</v>
      </c>
      <c r="N371" s="78">
        <f t="shared" si="67"/>
        <v>585</v>
      </c>
      <c r="O371" s="111">
        <f t="shared" si="68"/>
        <v>1249</v>
      </c>
      <c r="P371" s="125">
        <v>224424</v>
      </c>
      <c r="Q371" s="4">
        <v>9.75</v>
      </c>
      <c r="R371" s="49">
        <v>11.7</v>
      </c>
    </row>
    <row r="372" spans="1:18" x14ac:dyDescent="0.25">
      <c r="A372" s="31">
        <v>9</v>
      </c>
      <c r="B372" s="4" t="s">
        <v>673</v>
      </c>
      <c r="C372" s="5">
        <v>1</v>
      </c>
      <c r="D372" s="7">
        <v>0</v>
      </c>
      <c r="E372" s="3">
        <f t="shared" si="66"/>
        <v>1</v>
      </c>
      <c r="F372" s="3" t="s">
        <v>867</v>
      </c>
      <c r="G372" s="77">
        <v>1154</v>
      </c>
      <c r="H372" s="5" t="s">
        <v>1</v>
      </c>
      <c r="I372" s="78">
        <f t="shared" si="65"/>
        <v>1154</v>
      </c>
      <c r="J372" s="110">
        <f t="shared" si="64"/>
        <v>75</v>
      </c>
      <c r="K372" s="182">
        <v>9.4</v>
      </c>
      <c r="L372" s="5" t="s">
        <v>1</v>
      </c>
      <c r="M372" s="80">
        <f t="shared" si="69"/>
        <v>9.4</v>
      </c>
      <c r="N372" s="78">
        <f t="shared" si="67"/>
        <v>705</v>
      </c>
      <c r="O372" s="111">
        <f t="shared" si="68"/>
        <v>1859</v>
      </c>
      <c r="P372" s="125">
        <v>224427</v>
      </c>
      <c r="Q372" s="4">
        <v>11.75</v>
      </c>
      <c r="R372" s="49">
        <v>14.1</v>
      </c>
    </row>
    <row r="373" spans="1:18" x14ac:dyDescent="0.25">
      <c r="A373" s="31">
        <v>10</v>
      </c>
      <c r="B373" s="4" t="s">
        <v>674</v>
      </c>
      <c r="C373" s="5">
        <v>1</v>
      </c>
      <c r="D373" s="7">
        <v>0</v>
      </c>
      <c r="E373" s="3">
        <f t="shared" si="66"/>
        <v>1</v>
      </c>
      <c r="F373" s="3" t="s">
        <v>867</v>
      </c>
      <c r="G373" s="77">
        <v>1448</v>
      </c>
      <c r="H373" s="5" t="s">
        <v>1</v>
      </c>
      <c r="I373" s="78">
        <f t="shared" si="65"/>
        <v>1448</v>
      </c>
      <c r="J373" s="110">
        <f t="shared" si="64"/>
        <v>75</v>
      </c>
      <c r="K373" s="182">
        <v>11</v>
      </c>
      <c r="L373" s="5" t="s">
        <v>1</v>
      </c>
      <c r="M373" s="80">
        <f t="shared" si="69"/>
        <v>11</v>
      </c>
      <c r="N373" s="78">
        <f t="shared" si="67"/>
        <v>825</v>
      </c>
      <c r="O373" s="111">
        <f t="shared" si="68"/>
        <v>2273</v>
      </c>
      <c r="P373" s="125">
        <v>224430</v>
      </c>
      <c r="Q373" s="4">
        <v>13.75</v>
      </c>
      <c r="R373" s="49">
        <v>16.5</v>
      </c>
    </row>
    <row r="374" spans="1:18" x14ac:dyDescent="0.25">
      <c r="A374" s="31">
        <v>11</v>
      </c>
      <c r="B374" s="4" t="s">
        <v>675</v>
      </c>
      <c r="C374" s="5">
        <v>1</v>
      </c>
      <c r="D374" s="7">
        <v>0</v>
      </c>
      <c r="E374" s="3">
        <f t="shared" si="66"/>
        <v>1</v>
      </c>
      <c r="F374" s="3" t="s">
        <v>867</v>
      </c>
      <c r="G374" s="77">
        <v>1658</v>
      </c>
      <c r="H374" s="5" t="s">
        <v>1</v>
      </c>
      <c r="I374" s="78">
        <f t="shared" si="65"/>
        <v>1658</v>
      </c>
      <c r="J374" s="110">
        <f t="shared" si="64"/>
        <v>75</v>
      </c>
      <c r="K374" s="182">
        <v>11.6</v>
      </c>
      <c r="L374" s="5" t="s">
        <v>1</v>
      </c>
      <c r="M374" s="80">
        <f t="shared" si="69"/>
        <v>11.6</v>
      </c>
      <c r="N374" s="78">
        <f t="shared" si="67"/>
        <v>870</v>
      </c>
      <c r="O374" s="111">
        <f t="shared" si="68"/>
        <v>2528</v>
      </c>
      <c r="P374" s="125">
        <v>153957</v>
      </c>
      <c r="Q374" s="4">
        <v>14.5</v>
      </c>
      <c r="R374" s="49">
        <v>17.399999999999999</v>
      </c>
    </row>
    <row r="375" spans="1:18" x14ac:dyDescent="0.25">
      <c r="A375" s="31">
        <v>12</v>
      </c>
      <c r="B375" s="4" t="s">
        <v>676</v>
      </c>
      <c r="C375" s="5">
        <v>1</v>
      </c>
      <c r="D375" s="7">
        <v>0</v>
      </c>
      <c r="E375" s="3">
        <f t="shared" si="66"/>
        <v>1</v>
      </c>
      <c r="F375" s="3" t="s">
        <v>867</v>
      </c>
      <c r="G375" s="77">
        <v>2032</v>
      </c>
      <c r="H375" s="5" t="s">
        <v>1</v>
      </c>
      <c r="I375" s="78">
        <f t="shared" si="65"/>
        <v>2032</v>
      </c>
      <c r="J375" s="110">
        <f t="shared" si="64"/>
        <v>75</v>
      </c>
      <c r="K375" s="182">
        <v>13.2</v>
      </c>
      <c r="L375" s="5" t="s">
        <v>1</v>
      </c>
      <c r="M375" s="80">
        <f t="shared" si="69"/>
        <v>13.2</v>
      </c>
      <c r="N375" s="78">
        <f t="shared" si="67"/>
        <v>990</v>
      </c>
      <c r="O375" s="111">
        <f t="shared" si="68"/>
        <v>3022</v>
      </c>
      <c r="P375" s="125">
        <v>153960</v>
      </c>
      <c r="Q375" s="4">
        <v>16.5</v>
      </c>
      <c r="R375" s="49">
        <v>19.8</v>
      </c>
    </row>
    <row r="376" spans="1:18" x14ac:dyDescent="0.25">
      <c r="A376" s="31">
        <v>13</v>
      </c>
      <c r="B376" s="4" t="s">
        <v>677</v>
      </c>
      <c r="C376" s="5">
        <v>1</v>
      </c>
      <c r="D376" s="7">
        <v>0</v>
      </c>
      <c r="E376" s="3">
        <f t="shared" si="66"/>
        <v>1</v>
      </c>
      <c r="F376" s="3" t="s">
        <v>867</v>
      </c>
      <c r="G376" s="77">
        <v>2606</v>
      </c>
      <c r="H376" s="5" t="s">
        <v>1</v>
      </c>
      <c r="I376" s="78">
        <f t="shared" si="65"/>
        <v>2606</v>
      </c>
      <c r="J376" s="110">
        <f t="shared" si="64"/>
        <v>75</v>
      </c>
      <c r="K376" s="182">
        <v>15.4</v>
      </c>
      <c r="L376" s="5" t="s">
        <v>1</v>
      </c>
      <c r="M376" s="80">
        <f t="shared" si="69"/>
        <v>15.4</v>
      </c>
      <c r="N376" s="78">
        <f t="shared" si="67"/>
        <v>1155</v>
      </c>
      <c r="O376" s="111">
        <f t="shared" si="68"/>
        <v>3761</v>
      </c>
      <c r="P376" s="125">
        <v>153963</v>
      </c>
      <c r="Q376" s="4">
        <v>19.25</v>
      </c>
      <c r="R376" s="49">
        <v>23.1</v>
      </c>
    </row>
    <row r="377" spans="1:18" x14ac:dyDescent="0.25">
      <c r="A377" s="31">
        <v>14</v>
      </c>
      <c r="B377" s="4" t="s">
        <v>678</v>
      </c>
      <c r="C377" s="5">
        <v>1</v>
      </c>
      <c r="D377" s="7">
        <v>0</v>
      </c>
      <c r="E377" s="3">
        <f t="shared" si="66"/>
        <v>1</v>
      </c>
      <c r="F377" s="3" t="s">
        <v>867</v>
      </c>
      <c r="G377" s="77">
        <v>3991</v>
      </c>
      <c r="H377" s="5" t="s">
        <v>1</v>
      </c>
      <c r="I377" s="78">
        <f t="shared" si="65"/>
        <v>3991</v>
      </c>
      <c r="J377" s="110">
        <f t="shared" si="64"/>
        <v>75</v>
      </c>
      <c r="K377" s="182">
        <v>19.8</v>
      </c>
      <c r="L377" s="5" t="s">
        <v>1</v>
      </c>
      <c r="M377" s="80">
        <f t="shared" si="69"/>
        <v>19.8</v>
      </c>
      <c r="N377" s="78">
        <f t="shared" si="67"/>
        <v>1485</v>
      </c>
      <c r="O377" s="111">
        <f t="shared" si="68"/>
        <v>5476</v>
      </c>
      <c r="P377" s="125">
        <v>153966</v>
      </c>
      <c r="Q377" s="4">
        <v>24.75</v>
      </c>
      <c r="R377" s="49">
        <v>29.7</v>
      </c>
    </row>
    <row r="378" spans="1:18" x14ac:dyDescent="0.25">
      <c r="A378" s="31">
        <v>15</v>
      </c>
      <c r="B378" s="4" t="s">
        <v>679</v>
      </c>
      <c r="C378" s="5">
        <v>1</v>
      </c>
      <c r="D378" s="7">
        <v>0</v>
      </c>
      <c r="E378" s="3">
        <f t="shared" si="66"/>
        <v>1</v>
      </c>
      <c r="F378" s="3" t="s">
        <v>867</v>
      </c>
      <c r="G378" s="77">
        <v>0</v>
      </c>
      <c r="H378" s="5" t="s">
        <v>1</v>
      </c>
      <c r="I378" s="78">
        <f t="shared" si="65"/>
        <v>0</v>
      </c>
      <c r="J378" s="110">
        <f t="shared" si="64"/>
        <v>75</v>
      </c>
      <c r="K378" s="182">
        <v>25.4</v>
      </c>
      <c r="L378" s="5" t="s">
        <v>1</v>
      </c>
      <c r="M378" s="80">
        <f t="shared" si="69"/>
        <v>25.4</v>
      </c>
      <c r="N378" s="78">
        <f t="shared" si="67"/>
        <v>1905</v>
      </c>
      <c r="O378" s="111">
        <f t="shared" si="68"/>
        <v>1905</v>
      </c>
      <c r="P378" s="125">
        <v>153969</v>
      </c>
      <c r="Q378" s="4">
        <v>31.75</v>
      </c>
      <c r="R378" s="49">
        <v>38.1</v>
      </c>
    </row>
    <row r="379" spans="1:18" x14ac:dyDescent="0.25">
      <c r="A379" s="31">
        <v>16</v>
      </c>
      <c r="B379" s="4" t="s">
        <v>680</v>
      </c>
      <c r="C379" s="5">
        <v>1</v>
      </c>
      <c r="D379" s="7">
        <v>0</v>
      </c>
      <c r="E379" s="3">
        <f t="shared" si="66"/>
        <v>1</v>
      </c>
      <c r="F379" s="3" t="s">
        <v>867</v>
      </c>
      <c r="G379" s="77">
        <v>0</v>
      </c>
      <c r="H379" s="5" t="s">
        <v>1</v>
      </c>
      <c r="I379" s="78">
        <f t="shared" si="65"/>
        <v>0</v>
      </c>
      <c r="J379" s="110">
        <f t="shared" si="64"/>
        <v>75</v>
      </c>
      <c r="K379" s="182">
        <v>29.8</v>
      </c>
      <c r="L379" s="5" t="s">
        <v>1</v>
      </c>
      <c r="M379" s="80">
        <f t="shared" si="69"/>
        <v>29.8</v>
      </c>
      <c r="N379" s="78">
        <f t="shared" si="67"/>
        <v>2235</v>
      </c>
      <c r="O379" s="111">
        <f t="shared" si="68"/>
        <v>2235</v>
      </c>
      <c r="P379" s="125">
        <v>153972</v>
      </c>
      <c r="Q379" s="4">
        <v>37.25</v>
      </c>
      <c r="R379" s="49">
        <v>44.7</v>
      </c>
    </row>
    <row r="380" spans="1:18" x14ac:dyDescent="0.25">
      <c r="A380" s="31">
        <v>17</v>
      </c>
      <c r="B380" s="4" t="s">
        <v>681</v>
      </c>
      <c r="C380" s="5">
        <v>1</v>
      </c>
      <c r="D380" s="7">
        <v>0</v>
      </c>
      <c r="E380" s="3">
        <f t="shared" si="66"/>
        <v>1</v>
      </c>
      <c r="F380" s="3" t="s">
        <v>867</v>
      </c>
      <c r="G380" s="77">
        <v>0</v>
      </c>
      <c r="H380" s="5" t="s">
        <v>1</v>
      </c>
      <c r="I380" s="78">
        <f t="shared" si="65"/>
        <v>0</v>
      </c>
      <c r="J380" s="110">
        <f t="shared" si="64"/>
        <v>75</v>
      </c>
      <c r="K380" s="182">
        <v>0</v>
      </c>
      <c r="L380" s="5" t="s">
        <v>1</v>
      </c>
      <c r="M380" s="80">
        <f t="shared" si="69"/>
        <v>0</v>
      </c>
      <c r="N380" s="78">
        <f t="shared" si="67"/>
        <v>0</v>
      </c>
      <c r="O380" s="111">
        <f t="shared" si="68"/>
        <v>0</v>
      </c>
      <c r="P380" s="125">
        <v>153975</v>
      </c>
      <c r="Q380" s="4"/>
      <c r="R380" s="49"/>
    </row>
    <row r="381" spans="1:18" x14ac:dyDescent="0.25">
      <c r="A381" s="31"/>
      <c r="B381" s="4"/>
      <c r="C381" s="5"/>
      <c r="D381" s="7"/>
      <c r="E381" s="3"/>
      <c r="F381" s="3"/>
      <c r="G381" s="77" t="s">
        <v>1202</v>
      </c>
      <c r="H381" s="5"/>
      <c r="I381" s="78"/>
      <c r="J381" s="4"/>
      <c r="K381" s="182"/>
      <c r="L381" s="5"/>
      <c r="M381" s="80"/>
      <c r="N381" s="78"/>
      <c r="O381" s="111"/>
      <c r="P381" s="125"/>
      <c r="Q381" s="4"/>
      <c r="R381" s="49"/>
    </row>
    <row r="382" spans="1:18" x14ac:dyDescent="0.25">
      <c r="A382" s="31">
        <v>1</v>
      </c>
      <c r="B382" s="4" t="s">
        <v>682</v>
      </c>
      <c r="C382" s="5">
        <v>1</v>
      </c>
      <c r="D382" s="7">
        <v>0</v>
      </c>
      <c r="E382" s="3">
        <f t="shared" si="66"/>
        <v>1</v>
      </c>
      <c r="F382" s="3" t="s">
        <v>867</v>
      </c>
      <c r="G382" s="77">
        <v>95</v>
      </c>
      <c r="H382" s="5" t="s">
        <v>1</v>
      </c>
      <c r="I382" s="78">
        <f t="shared" si="65"/>
        <v>95</v>
      </c>
      <c r="J382" s="110">
        <f t="shared" si="64"/>
        <v>75</v>
      </c>
      <c r="K382" s="182">
        <v>3.6</v>
      </c>
      <c r="L382" s="5" t="s">
        <v>1</v>
      </c>
      <c r="M382" s="80">
        <f t="shared" si="69"/>
        <v>3.6</v>
      </c>
      <c r="N382" s="78">
        <f t="shared" si="67"/>
        <v>270</v>
      </c>
      <c r="O382" s="111">
        <f t="shared" si="68"/>
        <v>365</v>
      </c>
      <c r="P382" s="125">
        <v>153513</v>
      </c>
      <c r="Q382" s="4">
        <v>4.5</v>
      </c>
      <c r="R382" s="49">
        <v>5.4</v>
      </c>
    </row>
    <row r="383" spans="1:18" x14ac:dyDescent="0.25">
      <c r="A383" s="31">
        <v>2</v>
      </c>
      <c r="B383" s="4" t="s">
        <v>683</v>
      </c>
      <c r="C383" s="5">
        <v>1</v>
      </c>
      <c r="D383" s="7">
        <v>0</v>
      </c>
      <c r="E383" s="3">
        <f t="shared" si="66"/>
        <v>1</v>
      </c>
      <c r="F383" s="3" t="s">
        <v>867</v>
      </c>
      <c r="G383" s="77">
        <v>207</v>
      </c>
      <c r="H383" s="5" t="s">
        <v>1</v>
      </c>
      <c r="I383" s="78">
        <f t="shared" si="65"/>
        <v>207</v>
      </c>
      <c r="J383" s="110">
        <f t="shared" si="64"/>
        <v>75</v>
      </c>
      <c r="K383" s="182">
        <v>3.6</v>
      </c>
      <c r="L383" s="5" t="s">
        <v>1</v>
      </c>
      <c r="M383" s="80">
        <f t="shared" si="69"/>
        <v>3.6</v>
      </c>
      <c r="N383" s="78">
        <f t="shared" si="67"/>
        <v>270</v>
      </c>
      <c r="O383" s="111">
        <f t="shared" si="68"/>
        <v>477</v>
      </c>
      <c r="P383" s="125">
        <v>153516</v>
      </c>
      <c r="Q383" s="4">
        <v>4.5</v>
      </c>
      <c r="R383" s="49">
        <v>5.4</v>
      </c>
    </row>
    <row r="384" spans="1:18" x14ac:dyDescent="0.25">
      <c r="A384" s="31">
        <v>3</v>
      </c>
      <c r="B384" s="4" t="s">
        <v>684</v>
      </c>
      <c r="C384" s="5">
        <v>1</v>
      </c>
      <c r="D384" s="7">
        <v>0</v>
      </c>
      <c r="E384" s="3">
        <f t="shared" si="66"/>
        <v>1</v>
      </c>
      <c r="F384" s="3" t="s">
        <v>867</v>
      </c>
      <c r="G384" s="77">
        <v>207</v>
      </c>
      <c r="H384" s="5" t="s">
        <v>1</v>
      </c>
      <c r="I384" s="78">
        <f t="shared" si="65"/>
        <v>207</v>
      </c>
      <c r="J384" s="110">
        <f t="shared" si="64"/>
        <v>75</v>
      </c>
      <c r="K384" s="182">
        <v>3.7</v>
      </c>
      <c r="L384" s="5" t="s">
        <v>1</v>
      </c>
      <c r="M384" s="80">
        <f t="shared" si="69"/>
        <v>3.7</v>
      </c>
      <c r="N384" s="78">
        <f t="shared" si="67"/>
        <v>277.5</v>
      </c>
      <c r="O384" s="111">
        <f t="shared" si="68"/>
        <v>484.5</v>
      </c>
      <c r="P384" s="125">
        <v>153519</v>
      </c>
      <c r="Q384" s="4">
        <v>4.63</v>
      </c>
      <c r="R384" s="49">
        <v>5.55</v>
      </c>
    </row>
    <row r="385" spans="1:18" x14ac:dyDescent="0.25">
      <c r="A385" s="31">
        <v>4</v>
      </c>
      <c r="B385" s="4" t="s">
        <v>685</v>
      </c>
      <c r="C385" s="5">
        <v>1</v>
      </c>
      <c r="D385" s="7">
        <v>0</v>
      </c>
      <c r="E385" s="3">
        <f t="shared" si="66"/>
        <v>1</v>
      </c>
      <c r="F385" s="3" t="s">
        <v>867</v>
      </c>
      <c r="G385" s="77">
        <v>240</v>
      </c>
      <c r="H385" s="5" t="s">
        <v>1</v>
      </c>
      <c r="I385" s="78">
        <f t="shared" si="65"/>
        <v>240</v>
      </c>
      <c r="J385" s="110">
        <f t="shared" si="64"/>
        <v>75</v>
      </c>
      <c r="K385" s="182">
        <v>3.8</v>
      </c>
      <c r="L385" s="5" t="s">
        <v>1</v>
      </c>
      <c r="M385" s="80">
        <f t="shared" si="69"/>
        <v>3.8</v>
      </c>
      <c r="N385" s="78">
        <f t="shared" si="67"/>
        <v>285</v>
      </c>
      <c r="O385" s="111">
        <f t="shared" si="68"/>
        <v>525</v>
      </c>
      <c r="P385" s="125">
        <v>153522</v>
      </c>
      <c r="Q385" s="4">
        <v>4.75</v>
      </c>
      <c r="R385" s="49">
        <v>5.7</v>
      </c>
    </row>
    <row r="386" spans="1:18" x14ac:dyDescent="0.25">
      <c r="A386" s="31">
        <v>5</v>
      </c>
      <c r="B386" s="4" t="s">
        <v>686</v>
      </c>
      <c r="C386" s="5">
        <v>1</v>
      </c>
      <c r="D386" s="7">
        <v>0</v>
      </c>
      <c r="E386" s="3">
        <f t="shared" si="66"/>
        <v>1</v>
      </c>
      <c r="F386" s="3" t="s">
        <v>867</v>
      </c>
      <c r="G386" s="77">
        <v>300</v>
      </c>
      <c r="H386" s="5" t="s">
        <v>1</v>
      </c>
      <c r="I386" s="78">
        <f t="shared" si="65"/>
        <v>300</v>
      </c>
      <c r="J386" s="110">
        <f t="shared" si="64"/>
        <v>75</v>
      </c>
      <c r="K386" s="182">
        <v>4.2</v>
      </c>
      <c r="L386" s="5" t="s">
        <v>1</v>
      </c>
      <c r="M386" s="80">
        <f t="shared" si="69"/>
        <v>4.2</v>
      </c>
      <c r="N386" s="78">
        <f t="shared" si="67"/>
        <v>315</v>
      </c>
      <c r="O386" s="111">
        <f t="shared" si="68"/>
        <v>615</v>
      </c>
      <c r="P386" s="125">
        <v>153525</v>
      </c>
      <c r="Q386" s="4">
        <v>5.25</v>
      </c>
      <c r="R386" s="49">
        <v>6.3</v>
      </c>
    </row>
    <row r="387" spans="1:18" x14ac:dyDescent="0.25">
      <c r="A387" s="31">
        <v>6</v>
      </c>
      <c r="B387" s="4" t="s">
        <v>687</v>
      </c>
      <c r="C387" s="5">
        <v>1</v>
      </c>
      <c r="D387" s="7">
        <v>0</v>
      </c>
      <c r="E387" s="3">
        <f t="shared" si="66"/>
        <v>1</v>
      </c>
      <c r="F387" s="3" t="s">
        <v>867</v>
      </c>
      <c r="G387" s="77">
        <v>355</v>
      </c>
      <c r="H387" s="5" t="s">
        <v>1</v>
      </c>
      <c r="I387" s="78">
        <f t="shared" si="65"/>
        <v>355</v>
      </c>
      <c r="J387" s="110">
        <f t="shared" si="64"/>
        <v>75</v>
      </c>
      <c r="K387" s="182">
        <v>4.5</v>
      </c>
      <c r="L387" s="5" t="s">
        <v>1</v>
      </c>
      <c r="M387" s="80">
        <f t="shared" si="69"/>
        <v>4.5</v>
      </c>
      <c r="N387" s="78">
        <f t="shared" si="67"/>
        <v>337.5</v>
      </c>
      <c r="O387" s="111">
        <f t="shared" si="68"/>
        <v>692.5</v>
      </c>
      <c r="P387" s="125">
        <v>153528</v>
      </c>
      <c r="Q387" s="4">
        <v>5.63</v>
      </c>
      <c r="R387" s="49">
        <v>6.75</v>
      </c>
    </row>
    <row r="388" spans="1:18" x14ac:dyDescent="0.25">
      <c r="A388" s="31">
        <v>7</v>
      </c>
      <c r="B388" s="4" t="s">
        <v>688</v>
      </c>
      <c r="C388" s="5">
        <v>1</v>
      </c>
      <c r="D388" s="7">
        <v>0</v>
      </c>
      <c r="E388" s="3">
        <f t="shared" si="66"/>
        <v>1</v>
      </c>
      <c r="F388" s="3" t="s">
        <v>867</v>
      </c>
      <c r="G388" s="77">
        <v>412</v>
      </c>
      <c r="H388" s="5" t="s">
        <v>1</v>
      </c>
      <c r="I388" s="78">
        <f t="shared" si="65"/>
        <v>412</v>
      </c>
      <c r="J388" s="110">
        <f t="shared" si="64"/>
        <v>75</v>
      </c>
      <c r="K388" s="182">
        <v>5</v>
      </c>
      <c r="L388" s="5" t="s">
        <v>1</v>
      </c>
      <c r="M388" s="80">
        <f t="shared" si="69"/>
        <v>5</v>
      </c>
      <c r="N388" s="78">
        <f t="shared" si="67"/>
        <v>375</v>
      </c>
      <c r="O388" s="111">
        <f t="shared" si="68"/>
        <v>787</v>
      </c>
      <c r="P388" s="125">
        <v>153531</v>
      </c>
      <c r="Q388" s="4">
        <v>6.25</v>
      </c>
      <c r="R388" s="49">
        <v>7.5</v>
      </c>
    </row>
    <row r="389" spans="1:18" x14ac:dyDescent="0.25">
      <c r="A389" s="31">
        <v>8</v>
      </c>
      <c r="B389" s="4" t="s">
        <v>689</v>
      </c>
      <c r="C389" s="5">
        <v>1</v>
      </c>
      <c r="D389" s="7">
        <v>0</v>
      </c>
      <c r="E389" s="3">
        <f t="shared" si="66"/>
        <v>1</v>
      </c>
      <c r="F389" s="3" t="s">
        <v>867</v>
      </c>
      <c r="G389" s="77">
        <v>614</v>
      </c>
      <c r="H389" s="5" t="s">
        <v>1</v>
      </c>
      <c r="I389" s="78">
        <f t="shared" si="65"/>
        <v>614</v>
      </c>
      <c r="J389" s="110">
        <f t="shared" si="64"/>
        <v>75</v>
      </c>
      <c r="K389" s="182">
        <v>5.7</v>
      </c>
      <c r="L389" s="5" t="s">
        <v>1</v>
      </c>
      <c r="M389" s="80">
        <f t="shared" si="69"/>
        <v>5.7</v>
      </c>
      <c r="N389" s="78">
        <f t="shared" si="67"/>
        <v>427.5</v>
      </c>
      <c r="O389" s="111">
        <f t="shared" si="68"/>
        <v>1041.5</v>
      </c>
      <c r="P389" s="125">
        <v>153534</v>
      </c>
      <c r="Q389" s="4">
        <v>7.13</v>
      </c>
      <c r="R389" s="49">
        <v>8.5500000000000007</v>
      </c>
    </row>
    <row r="390" spans="1:18" x14ac:dyDescent="0.25">
      <c r="A390" s="31">
        <v>9</v>
      </c>
      <c r="B390" s="4" t="s">
        <v>690</v>
      </c>
      <c r="C390" s="5">
        <v>1</v>
      </c>
      <c r="D390" s="7">
        <v>0</v>
      </c>
      <c r="E390" s="3">
        <f t="shared" si="66"/>
        <v>1</v>
      </c>
      <c r="F390" s="3" t="s">
        <v>867</v>
      </c>
      <c r="G390" s="77">
        <v>804</v>
      </c>
      <c r="H390" s="5" t="s">
        <v>1</v>
      </c>
      <c r="I390" s="78">
        <f t="shared" si="65"/>
        <v>804</v>
      </c>
      <c r="J390" s="110">
        <f t="shared" si="64"/>
        <v>75</v>
      </c>
      <c r="K390" s="182">
        <v>6.7</v>
      </c>
      <c r="L390" s="5" t="s">
        <v>1</v>
      </c>
      <c r="M390" s="80">
        <f t="shared" si="69"/>
        <v>6.7</v>
      </c>
      <c r="N390" s="78">
        <f t="shared" si="67"/>
        <v>502.5</v>
      </c>
      <c r="O390" s="111">
        <f t="shared" si="68"/>
        <v>1306.5</v>
      </c>
      <c r="P390" s="125">
        <v>153537</v>
      </c>
      <c r="Q390" s="4">
        <v>8.3800000000000008</v>
      </c>
      <c r="R390" s="49">
        <v>10.050000000000001</v>
      </c>
    </row>
    <row r="391" spans="1:18" x14ac:dyDescent="0.25">
      <c r="A391" s="31">
        <v>10</v>
      </c>
      <c r="B391" s="4" t="s">
        <v>691</v>
      </c>
      <c r="C391" s="5">
        <v>1</v>
      </c>
      <c r="D391" s="7">
        <v>0</v>
      </c>
      <c r="E391" s="3">
        <f t="shared" si="66"/>
        <v>1</v>
      </c>
      <c r="F391" s="3" t="s">
        <v>867</v>
      </c>
      <c r="G391" s="77">
        <v>923</v>
      </c>
      <c r="H391" s="5" t="s">
        <v>1</v>
      </c>
      <c r="I391" s="78">
        <f t="shared" si="65"/>
        <v>923</v>
      </c>
      <c r="J391" s="110">
        <f t="shared" si="64"/>
        <v>75</v>
      </c>
      <c r="K391" s="182">
        <v>7.6</v>
      </c>
      <c r="L391" s="5" t="s">
        <v>1</v>
      </c>
      <c r="M391" s="80">
        <f t="shared" si="69"/>
        <v>7.6</v>
      </c>
      <c r="N391" s="78">
        <f t="shared" si="67"/>
        <v>570</v>
      </c>
      <c r="O391" s="111">
        <f t="shared" si="68"/>
        <v>1493</v>
      </c>
      <c r="P391" s="125">
        <v>153540</v>
      </c>
      <c r="Q391" s="4">
        <v>9.5</v>
      </c>
      <c r="R391" s="49">
        <v>11.4</v>
      </c>
    </row>
    <row r="392" spans="1:18" x14ac:dyDescent="0.25">
      <c r="A392" s="31">
        <v>11</v>
      </c>
      <c r="B392" s="4" t="s">
        <v>692</v>
      </c>
      <c r="C392" s="5">
        <v>1</v>
      </c>
      <c r="D392" s="7">
        <v>0</v>
      </c>
      <c r="E392" s="3">
        <f t="shared" si="66"/>
        <v>1</v>
      </c>
      <c r="F392" s="3" t="s">
        <v>867</v>
      </c>
      <c r="G392" s="77">
        <v>1138</v>
      </c>
      <c r="H392" s="5" t="s">
        <v>1</v>
      </c>
      <c r="I392" s="78">
        <f t="shared" si="65"/>
        <v>1138</v>
      </c>
      <c r="J392" s="110">
        <f t="shared" si="64"/>
        <v>75</v>
      </c>
      <c r="K392" s="182">
        <v>10</v>
      </c>
      <c r="L392" s="5" t="s">
        <v>1</v>
      </c>
      <c r="M392" s="80">
        <f t="shared" si="69"/>
        <v>10</v>
      </c>
      <c r="N392" s="78">
        <f t="shared" si="67"/>
        <v>750</v>
      </c>
      <c r="O392" s="111">
        <f t="shared" si="68"/>
        <v>1888</v>
      </c>
      <c r="P392" s="125">
        <v>153543</v>
      </c>
      <c r="Q392" s="4">
        <v>12.5</v>
      </c>
      <c r="R392" s="49">
        <v>15</v>
      </c>
    </row>
    <row r="393" spans="1:18" x14ac:dyDescent="0.25">
      <c r="A393" s="31">
        <v>12</v>
      </c>
      <c r="B393" s="4" t="s">
        <v>693</v>
      </c>
      <c r="C393" s="5">
        <v>1</v>
      </c>
      <c r="D393" s="7">
        <v>0</v>
      </c>
      <c r="E393" s="3">
        <f t="shared" si="66"/>
        <v>1</v>
      </c>
      <c r="F393" s="3" t="s">
        <v>867</v>
      </c>
      <c r="G393" s="77">
        <v>1485</v>
      </c>
      <c r="H393" s="5" t="s">
        <v>1</v>
      </c>
      <c r="I393" s="78">
        <f t="shared" si="65"/>
        <v>1485</v>
      </c>
      <c r="J393" s="110">
        <f t="shared" si="64"/>
        <v>75</v>
      </c>
      <c r="K393" s="182">
        <v>12.4</v>
      </c>
      <c r="L393" s="5" t="s">
        <v>1</v>
      </c>
      <c r="M393" s="80">
        <f t="shared" si="69"/>
        <v>12.4</v>
      </c>
      <c r="N393" s="78">
        <f t="shared" si="67"/>
        <v>930</v>
      </c>
      <c r="O393" s="111">
        <f t="shared" si="68"/>
        <v>2415</v>
      </c>
      <c r="P393" s="125">
        <v>153546</v>
      </c>
      <c r="Q393" s="4">
        <v>15.5</v>
      </c>
      <c r="R393" s="49">
        <v>18.600000000000001</v>
      </c>
    </row>
    <row r="394" spans="1:18" x14ac:dyDescent="0.25">
      <c r="A394" s="31">
        <v>13</v>
      </c>
      <c r="B394" s="4" t="s">
        <v>694</v>
      </c>
      <c r="C394" s="5">
        <v>1</v>
      </c>
      <c r="D394" s="7">
        <v>0</v>
      </c>
      <c r="E394" s="3">
        <f t="shared" si="66"/>
        <v>1</v>
      </c>
      <c r="F394" s="3" t="s">
        <v>867</v>
      </c>
      <c r="G394" s="77">
        <v>1756</v>
      </c>
      <c r="H394" s="5" t="s">
        <v>1</v>
      </c>
      <c r="I394" s="78">
        <f t="shared" si="65"/>
        <v>1756</v>
      </c>
      <c r="J394" s="110">
        <f t="shared" ref="J394:J395" si="70">$O$4</f>
        <v>75</v>
      </c>
      <c r="K394" s="182">
        <v>14.5</v>
      </c>
      <c r="L394" s="5" t="s">
        <v>1</v>
      </c>
      <c r="M394" s="80">
        <f t="shared" si="69"/>
        <v>14.5</v>
      </c>
      <c r="N394" s="78">
        <f t="shared" si="67"/>
        <v>1087.5</v>
      </c>
      <c r="O394" s="111">
        <f t="shared" si="68"/>
        <v>2843.5</v>
      </c>
      <c r="P394" s="125">
        <v>224433</v>
      </c>
      <c r="Q394" s="4">
        <v>18.13</v>
      </c>
      <c r="R394" s="49">
        <v>21.75</v>
      </c>
    </row>
    <row r="395" spans="1:18" x14ac:dyDescent="0.25">
      <c r="A395" s="31">
        <v>14</v>
      </c>
      <c r="B395" s="4" t="s">
        <v>695</v>
      </c>
      <c r="C395" s="5">
        <v>1</v>
      </c>
      <c r="D395" s="7">
        <v>0</v>
      </c>
      <c r="E395" s="3">
        <f t="shared" si="66"/>
        <v>1</v>
      </c>
      <c r="F395" s="3" t="s">
        <v>867</v>
      </c>
      <c r="G395" s="77">
        <v>2190</v>
      </c>
      <c r="H395" s="5" t="s">
        <v>1</v>
      </c>
      <c r="I395" s="78">
        <f t="shared" si="65"/>
        <v>2190</v>
      </c>
      <c r="J395" s="110">
        <f t="shared" si="70"/>
        <v>75</v>
      </c>
      <c r="K395" s="182">
        <v>17.2</v>
      </c>
      <c r="L395" s="5" t="s">
        <v>1</v>
      </c>
      <c r="M395" s="80">
        <f t="shared" si="69"/>
        <v>17.2</v>
      </c>
      <c r="N395" s="78">
        <f t="shared" si="67"/>
        <v>1290</v>
      </c>
      <c r="O395" s="111">
        <f t="shared" si="68"/>
        <v>3480</v>
      </c>
      <c r="P395" s="125">
        <v>224436</v>
      </c>
      <c r="Q395" s="4">
        <v>21.5</v>
      </c>
      <c r="R395" s="49">
        <v>25.8</v>
      </c>
    </row>
    <row r="396" spans="1:18" ht="15.75" thickBot="1" x14ac:dyDescent="0.3">
      <c r="A396" s="33"/>
      <c r="B396" s="28"/>
      <c r="C396" s="29"/>
      <c r="D396" s="28"/>
      <c r="E396" s="28"/>
      <c r="F396" s="28"/>
      <c r="G396" s="34"/>
      <c r="H396" s="29"/>
      <c r="I396" s="28"/>
      <c r="J396" s="28"/>
      <c r="K396" s="183"/>
      <c r="L396" s="29"/>
      <c r="M396" s="28"/>
      <c r="N396" s="28"/>
      <c r="O396" s="52"/>
      <c r="P396" s="94"/>
      <c r="Q396" s="28"/>
      <c r="R396" s="52"/>
    </row>
  </sheetData>
  <mergeCells count="1">
    <mergeCell ref="M4:N4"/>
  </mergeCells>
  <pageMargins left="0.7" right="0.7" top="0.75" bottom="0.75" header="0.3" footer="0.3"/>
  <pageSetup scale="44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138"/>
  <sheetViews>
    <sheetView view="pageBreakPreview" topLeftCell="A8" zoomScale="90" zoomScaleNormal="85" zoomScaleSheetLayoutView="90" workbookViewId="0">
      <selection activeCell="A23" sqref="A23:XFD23"/>
    </sheetView>
  </sheetViews>
  <sheetFormatPr defaultColWidth="9.140625" defaultRowHeight="15" x14ac:dyDescent="0.25"/>
  <cols>
    <col min="1" max="1" width="4.42578125" style="2" bestFit="1" customWidth="1"/>
    <col min="2" max="2" width="51.42578125" style="1" customWidth="1"/>
    <col min="3" max="3" width="10.7109375" style="2" customWidth="1"/>
    <col min="4" max="4" width="10.42578125" style="1" bestFit="1" customWidth="1"/>
    <col min="5" max="5" width="10.7109375" style="1" customWidth="1"/>
    <col min="6" max="6" width="5.85546875" style="1" bestFit="1" customWidth="1"/>
    <col min="7" max="7" width="6" style="10" bestFit="1" customWidth="1"/>
    <col min="8" max="8" width="5.85546875" style="2" bestFit="1" customWidth="1"/>
    <col min="9" max="9" width="10.42578125" style="1" bestFit="1" customWidth="1"/>
    <col min="10" max="10" width="7.42578125" style="1" bestFit="1" customWidth="1"/>
    <col min="11" max="11" width="7.42578125" style="2" bestFit="1" customWidth="1"/>
    <col min="12" max="12" width="5.85546875" style="2" bestFit="1" customWidth="1"/>
    <col min="13" max="13" width="7.42578125" style="1" bestFit="1" customWidth="1"/>
    <col min="14" max="15" width="7.7109375" style="1" bestFit="1" customWidth="1"/>
    <col min="16" max="17" width="7.85546875" style="1" bestFit="1" customWidth="1"/>
    <col min="18" max="18" width="7.5703125" style="1" bestFit="1" customWidth="1"/>
    <col min="19" max="19" width="8.140625" style="1" bestFit="1" customWidth="1"/>
    <col min="20" max="20" width="10.5703125" style="1" bestFit="1" customWidth="1"/>
    <col min="21" max="21" width="11.42578125" style="1" bestFit="1" customWidth="1"/>
    <col min="22" max="16384" width="9.140625" style="1"/>
  </cols>
  <sheetData>
    <row r="1" spans="1:21" x14ac:dyDescent="0.25">
      <c r="I1" s="43"/>
      <c r="K1" s="1"/>
      <c r="N1" s="43"/>
      <c r="O1" s="43"/>
    </row>
    <row r="2" spans="1:21" x14ac:dyDescent="0.25">
      <c r="I2" s="43"/>
      <c r="K2" s="1"/>
      <c r="N2" s="43"/>
      <c r="O2" s="43"/>
    </row>
    <row r="3" spans="1:21" ht="15.75" thickBot="1" x14ac:dyDescent="0.3">
      <c r="I3" s="43"/>
      <c r="K3" s="1"/>
      <c r="N3" s="43"/>
      <c r="O3" s="43"/>
    </row>
    <row r="4" spans="1:21" ht="16.5" thickBot="1" x14ac:dyDescent="0.3">
      <c r="I4" s="43"/>
      <c r="K4" s="1"/>
      <c r="M4" s="253" t="s">
        <v>1199</v>
      </c>
      <c r="N4" s="254"/>
      <c r="O4" s="108">
        <v>75</v>
      </c>
    </row>
    <row r="5" spans="1:21" ht="45.75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285</v>
      </c>
      <c r="L5" s="82" t="s">
        <v>284</v>
      </c>
      <c r="M5" s="81" t="s">
        <v>286</v>
      </c>
      <c r="N5" s="83" t="s">
        <v>871</v>
      </c>
      <c r="O5" s="84" t="s">
        <v>872</v>
      </c>
      <c r="P5" s="84" t="s">
        <v>288</v>
      </c>
      <c r="Q5" s="84" t="s">
        <v>289</v>
      </c>
      <c r="R5" s="84" t="s">
        <v>290</v>
      </c>
      <c r="S5" s="84" t="s">
        <v>291</v>
      </c>
      <c r="T5" s="84" t="s">
        <v>292</v>
      </c>
      <c r="U5" s="109" t="s">
        <v>1200</v>
      </c>
    </row>
    <row r="6" spans="1:21" x14ac:dyDescent="0.25">
      <c r="A6" s="96"/>
      <c r="B6" s="97"/>
      <c r="C6" s="98"/>
      <c r="D6" s="97"/>
      <c r="E6" s="97"/>
      <c r="F6" s="97"/>
      <c r="G6" s="99"/>
      <c r="H6" s="98"/>
      <c r="I6" s="97"/>
      <c r="J6" s="97"/>
      <c r="K6" s="98"/>
      <c r="L6" s="98"/>
      <c r="M6" s="97"/>
      <c r="N6" s="97"/>
      <c r="O6" s="100"/>
      <c r="P6" s="5"/>
      <c r="Q6" s="5"/>
      <c r="R6" s="5"/>
      <c r="S6" s="5"/>
      <c r="T6" s="102"/>
      <c r="U6" s="5"/>
    </row>
    <row r="7" spans="1:21" x14ac:dyDescent="0.25">
      <c r="A7" s="31">
        <v>1</v>
      </c>
      <c r="B7" s="4" t="s">
        <v>696</v>
      </c>
      <c r="C7" s="5">
        <v>1</v>
      </c>
      <c r="D7" s="7">
        <v>0</v>
      </c>
      <c r="E7" s="3">
        <f t="shared" ref="E7:E70" si="0">C7+(C7*D7)</f>
        <v>1</v>
      </c>
      <c r="F7" s="3" t="s">
        <v>867</v>
      </c>
      <c r="G7" s="9">
        <v>0</v>
      </c>
      <c r="H7" s="5" t="s">
        <v>1</v>
      </c>
      <c r="I7" s="16">
        <f t="shared" ref="I7:I69" si="1">IF(H7="C",(G7/100)*E7,IF(H7="M",(G7/1000)*E7,G7*E7))</f>
        <v>0</v>
      </c>
      <c r="J7" s="110">
        <f>$O$4</f>
        <v>75</v>
      </c>
      <c r="K7" s="5">
        <v>6</v>
      </c>
      <c r="L7" s="5" t="s">
        <v>1</v>
      </c>
      <c r="M7" s="80">
        <f>IF(L7="C",(K7/100)*E7,IF(L7="M",(K7/1000)*E7,K7*E7))</f>
        <v>6</v>
      </c>
      <c r="N7" s="78">
        <f>M7*J7</f>
        <v>450</v>
      </c>
      <c r="O7" s="111">
        <f>N7+I7</f>
        <v>450</v>
      </c>
      <c r="P7" s="5">
        <v>7.5</v>
      </c>
      <c r="Q7" s="5">
        <v>9</v>
      </c>
      <c r="R7" s="5"/>
      <c r="S7" s="5"/>
      <c r="T7" s="102"/>
      <c r="U7" s="5">
        <v>154668</v>
      </c>
    </row>
    <row r="8" spans="1:21" x14ac:dyDescent="0.25">
      <c r="A8" s="31">
        <v>2</v>
      </c>
      <c r="B8" s="4" t="s">
        <v>697</v>
      </c>
      <c r="C8" s="5">
        <v>1</v>
      </c>
      <c r="D8" s="7">
        <v>0</v>
      </c>
      <c r="E8" s="3">
        <f t="shared" si="0"/>
        <v>1</v>
      </c>
      <c r="F8" s="3" t="s">
        <v>867</v>
      </c>
      <c r="G8" s="9">
        <v>0</v>
      </c>
      <c r="H8" s="5" t="s">
        <v>1</v>
      </c>
      <c r="I8" s="16">
        <f t="shared" si="1"/>
        <v>0</v>
      </c>
      <c r="J8" s="110">
        <f t="shared" ref="J8:J74" si="2">$O$4</f>
        <v>75</v>
      </c>
      <c r="K8" s="5">
        <v>6</v>
      </c>
      <c r="L8" s="5" t="s">
        <v>1</v>
      </c>
      <c r="M8" s="80">
        <f t="shared" ref="M8:M38" si="3">IF(L8="C",(K8/100)*E8,IF(L8="M",(K8/1000)*E8,K8*E8))</f>
        <v>6</v>
      </c>
      <c r="N8" s="78">
        <f t="shared" ref="N8:N38" si="4">M8*J8</f>
        <v>450</v>
      </c>
      <c r="O8" s="111">
        <f t="shared" ref="O8:O38" si="5">N8+I8</f>
        <v>450</v>
      </c>
      <c r="P8" s="5">
        <v>7.5</v>
      </c>
      <c r="Q8" s="5">
        <v>9</v>
      </c>
      <c r="R8" s="5"/>
      <c r="S8" s="5"/>
      <c r="T8" s="102"/>
      <c r="U8" s="5">
        <v>154671</v>
      </c>
    </row>
    <row r="9" spans="1:21" x14ac:dyDescent="0.25">
      <c r="A9" s="31">
        <v>3</v>
      </c>
      <c r="B9" s="4" t="s">
        <v>698</v>
      </c>
      <c r="C9" s="5">
        <v>1</v>
      </c>
      <c r="D9" s="7">
        <v>0</v>
      </c>
      <c r="E9" s="3">
        <f t="shared" si="0"/>
        <v>1</v>
      </c>
      <c r="F9" s="3" t="s">
        <v>867</v>
      </c>
      <c r="G9" s="9">
        <v>0</v>
      </c>
      <c r="H9" s="5" t="s">
        <v>1</v>
      </c>
      <c r="I9" s="16">
        <f t="shared" si="1"/>
        <v>0</v>
      </c>
      <c r="J9" s="110">
        <f t="shared" si="2"/>
        <v>75</v>
      </c>
      <c r="K9" s="5">
        <v>6</v>
      </c>
      <c r="L9" s="5" t="s">
        <v>1</v>
      </c>
      <c r="M9" s="80">
        <f t="shared" si="3"/>
        <v>6</v>
      </c>
      <c r="N9" s="78">
        <f t="shared" si="4"/>
        <v>450</v>
      </c>
      <c r="O9" s="111">
        <f t="shared" si="5"/>
        <v>450</v>
      </c>
      <c r="P9" s="5">
        <v>7.5</v>
      </c>
      <c r="Q9" s="5">
        <v>9</v>
      </c>
      <c r="R9" s="5">
        <v>10</v>
      </c>
      <c r="S9" s="5">
        <v>12.5</v>
      </c>
      <c r="T9" s="102">
        <v>15</v>
      </c>
      <c r="U9" s="5">
        <v>154674</v>
      </c>
    </row>
    <row r="10" spans="1:21" x14ac:dyDescent="0.25">
      <c r="A10" s="31">
        <v>4</v>
      </c>
      <c r="B10" s="4" t="s">
        <v>699</v>
      </c>
      <c r="C10" s="5">
        <v>1</v>
      </c>
      <c r="D10" s="7">
        <v>0</v>
      </c>
      <c r="E10" s="3">
        <f t="shared" si="0"/>
        <v>1</v>
      </c>
      <c r="F10" s="3" t="s">
        <v>867</v>
      </c>
      <c r="G10" s="9">
        <v>0</v>
      </c>
      <c r="H10" s="5" t="s">
        <v>1</v>
      </c>
      <c r="I10" s="16">
        <f t="shared" si="1"/>
        <v>0</v>
      </c>
      <c r="J10" s="110">
        <f t="shared" si="2"/>
        <v>75</v>
      </c>
      <c r="K10" s="5">
        <v>8</v>
      </c>
      <c r="L10" s="5" t="s">
        <v>1</v>
      </c>
      <c r="M10" s="80">
        <f t="shared" si="3"/>
        <v>8</v>
      </c>
      <c r="N10" s="78">
        <f t="shared" si="4"/>
        <v>600</v>
      </c>
      <c r="O10" s="111">
        <f t="shared" si="5"/>
        <v>600</v>
      </c>
      <c r="P10" s="5">
        <v>10</v>
      </c>
      <c r="Q10" s="5">
        <v>12</v>
      </c>
      <c r="R10" s="5">
        <v>11.5</v>
      </c>
      <c r="S10" s="5">
        <v>14.38</v>
      </c>
      <c r="T10" s="102">
        <v>17.25</v>
      </c>
      <c r="U10" s="5">
        <v>154677</v>
      </c>
    </row>
    <row r="11" spans="1:21" x14ac:dyDescent="0.25">
      <c r="A11" s="31">
        <v>5</v>
      </c>
      <c r="B11" s="4" t="s">
        <v>700</v>
      </c>
      <c r="C11" s="5">
        <v>1</v>
      </c>
      <c r="D11" s="7">
        <v>0</v>
      </c>
      <c r="E11" s="3">
        <f t="shared" si="0"/>
        <v>1</v>
      </c>
      <c r="F11" s="3" t="s">
        <v>867</v>
      </c>
      <c r="G11" s="9">
        <v>0</v>
      </c>
      <c r="H11" s="5" t="s">
        <v>1</v>
      </c>
      <c r="I11" s="16">
        <f t="shared" si="1"/>
        <v>0</v>
      </c>
      <c r="J11" s="110">
        <f t="shared" si="2"/>
        <v>75</v>
      </c>
      <c r="K11" s="5">
        <v>10</v>
      </c>
      <c r="L11" s="5" t="s">
        <v>1</v>
      </c>
      <c r="M11" s="80">
        <f t="shared" si="3"/>
        <v>10</v>
      </c>
      <c r="N11" s="78">
        <f t="shared" si="4"/>
        <v>750</v>
      </c>
      <c r="O11" s="111">
        <f t="shared" si="5"/>
        <v>750</v>
      </c>
      <c r="P11" s="5">
        <v>12.5</v>
      </c>
      <c r="Q11" s="5">
        <v>15</v>
      </c>
      <c r="R11" s="5">
        <v>12.5</v>
      </c>
      <c r="S11" s="5">
        <v>15.63</v>
      </c>
      <c r="T11" s="102">
        <v>18.75</v>
      </c>
      <c r="U11" s="5">
        <v>154680</v>
      </c>
    </row>
    <row r="12" spans="1:21" x14ac:dyDescent="0.25">
      <c r="A12" s="31">
        <v>6</v>
      </c>
      <c r="B12" s="4" t="s">
        <v>701</v>
      </c>
      <c r="C12" s="5">
        <v>1</v>
      </c>
      <c r="D12" s="7">
        <v>0</v>
      </c>
      <c r="E12" s="3">
        <f t="shared" si="0"/>
        <v>1</v>
      </c>
      <c r="F12" s="3" t="s">
        <v>867</v>
      </c>
      <c r="G12" s="9">
        <v>0</v>
      </c>
      <c r="H12" s="5" t="s">
        <v>1</v>
      </c>
      <c r="I12" s="16">
        <f t="shared" si="1"/>
        <v>0</v>
      </c>
      <c r="J12" s="110">
        <f t="shared" si="2"/>
        <v>75</v>
      </c>
      <c r="K12" s="5">
        <v>12</v>
      </c>
      <c r="L12" s="5" t="s">
        <v>1</v>
      </c>
      <c r="M12" s="80">
        <f t="shared" si="3"/>
        <v>12</v>
      </c>
      <c r="N12" s="78">
        <f t="shared" si="4"/>
        <v>900</v>
      </c>
      <c r="O12" s="111">
        <f t="shared" si="5"/>
        <v>900</v>
      </c>
      <c r="P12" s="5">
        <v>15</v>
      </c>
      <c r="Q12" s="5">
        <v>18</v>
      </c>
      <c r="R12" s="5">
        <v>13</v>
      </c>
      <c r="S12" s="5">
        <v>16.25</v>
      </c>
      <c r="T12" s="102">
        <v>19.5</v>
      </c>
      <c r="U12" s="5">
        <v>154683</v>
      </c>
    </row>
    <row r="13" spans="1:21" x14ac:dyDescent="0.25">
      <c r="A13" s="31">
        <v>7</v>
      </c>
      <c r="B13" s="4" t="s">
        <v>702</v>
      </c>
      <c r="C13" s="5">
        <v>1</v>
      </c>
      <c r="D13" s="7">
        <v>0</v>
      </c>
      <c r="E13" s="3">
        <f t="shared" si="0"/>
        <v>1</v>
      </c>
      <c r="F13" s="3" t="s">
        <v>867</v>
      </c>
      <c r="G13" s="9">
        <v>0</v>
      </c>
      <c r="H13" s="5" t="s">
        <v>1</v>
      </c>
      <c r="I13" s="16">
        <f t="shared" si="1"/>
        <v>0</v>
      </c>
      <c r="J13" s="110">
        <f t="shared" si="2"/>
        <v>75</v>
      </c>
      <c r="K13" s="5">
        <v>14</v>
      </c>
      <c r="L13" s="5" t="s">
        <v>1</v>
      </c>
      <c r="M13" s="80">
        <f t="shared" si="3"/>
        <v>14</v>
      </c>
      <c r="N13" s="78">
        <f t="shared" si="4"/>
        <v>1050</v>
      </c>
      <c r="O13" s="111">
        <f t="shared" si="5"/>
        <v>1050</v>
      </c>
      <c r="P13" s="5">
        <v>17.5</v>
      </c>
      <c r="Q13" s="5">
        <v>21</v>
      </c>
      <c r="R13" s="5"/>
      <c r="S13" s="5"/>
      <c r="T13" s="102"/>
      <c r="U13" s="5">
        <v>154686</v>
      </c>
    </row>
    <row r="14" spans="1:21" x14ac:dyDescent="0.25">
      <c r="A14" s="31">
        <v>8</v>
      </c>
      <c r="B14" s="4" t="s">
        <v>703</v>
      </c>
      <c r="C14" s="5">
        <v>1</v>
      </c>
      <c r="D14" s="7">
        <v>0</v>
      </c>
      <c r="E14" s="3">
        <f t="shared" si="0"/>
        <v>1</v>
      </c>
      <c r="F14" s="3" t="s">
        <v>867</v>
      </c>
      <c r="G14" s="9">
        <v>0</v>
      </c>
      <c r="H14" s="5" t="s">
        <v>1</v>
      </c>
      <c r="I14" s="16">
        <f t="shared" si="1"/>
        <v>0</v>
      </c>
      <c r="J14" s="110">
        <f t="shared" si="2"/>
        <v>75</v>
      </c>
      <c r="K14" s="5">
        <v>16</v>
      </c>
      <c r="L14" s="5" t="s">
        <v>1</v>
      </c>
      <c r="M14" s="80">
        <f t="shared" si="3"/>
        <v>16</v>
      </c>
      <c r="N14" s="78">
        <f t="shared" si="4"/>
        <v>1200</v>
      </c>
      <c r="O14" s="111">
        <f t="shared" si="5"/>
        <v>1200</v>
      </c>
      <c r="P14" s="5">
        <v>20</v>
      </c>
      <c r="Q14" s="5">
        <v>24</v>
      </c>
      <c r="R14" s="5"/>
      <c r="S14" s="5"/>
      <c r="T14" s="102"/>
      <c r="U14" s="5">
        <v>154689</v>
      </c>
    </row>
    <row r="15" spans="1:21" x14ac:dyDescent="0.25">
      <c r="A15" s="31">
        <v>9</v>
      </c>
      <c r="B15" s="4" t="s">
        <v>704</v>
      </c>
      <c r="C15" s="5">
        <v>1</v>
      </c>
      <c r="D15" s="7">
        <v>0</v>
      </c>
      <c r="E15" s="3">
        <f t="shared" si="0"/>
        <v>1</v>
      </c>
      <c r="F15" s="3" t="s">
        <v>867</v>
      </c>
      <c r="G15" s="9">
        <v>0</v>
      </c>
      <c r="H15" s="5" t="s">
        <v>1</v>
      </c>
      <c r="I15" s="16">
        <f t="shared" si="1"/>
        <v>0</v>
      </c>
      <c r="J15" s="110">
        <f t="shared" si="2"/>
        <v>75</v>
      </c>
      <c r="K15" s="5">
        <v>18</v>
      </c>
      <c r="L15" s="5" t="s">
        <v>1</v>
      </c>
      <c r="M15" s="80">
        <f t="shared" si="3"/>
        <v>18</v>
      </c>
      <c r="N15" s="78">
        <f t="shared" si="4"/>
        <v>1350</v>
      </c>
      <c r="O15" s="111">
        <f t="shared" si="5"/>
        <v>1350</v>
      </c>
      <c r="P15" s="5">
        <v>22.5</v>
      </c>
      <c r="Q15" s="5">
        <v>27</v>
      </c>
      <c r="R15" s="5">
        <v>15</v>
      </c>
      <c r="S15" s="5">
        <v>18.75</v>
      </c>
      <c r="T15" s="102">
        <v>22.5</v>
      </c>
      <c r="U15" s="5">
        <v>154692</v>
      </c>
    </row>
    <row r="16" spans="1:21" x14ac:dyDescent="0.25">
      <c r="A16" s="31">
        <v>10</v>
      </c>
      <c r="B16" s="4" t="s">
        <v>705</v>
      </c>
      <c r="C16" s="5">
        <v>1</v>
      </c>
      <c r="D16" s="7">
        <v>0</v>
      </c>
      <c r="E16" s="3">
        <f t="shared" si="0"/>
        <v>1</v>
      </c>
      <c r="F16" s="3" t="s">
        <v>867</v>
      </c>
      <c r="G16" s="9">
        <v>0</v>
      </c>
      <c r="H16" s="5" t="s">
        <v>1</v>
      </c>
      <c r="I16" s="16">
        <f t="shared" si="1"/>
        <v>0</v>
      </c>
      <c r="J16" s="110">
        <f t="shared" si="2"/>
        <v>75</v>
      </c>
      <c r="K16" s="5">
        <v>20</v>
      </c>
      <c r="L16" s="5" t="s">
        <v>1</v>
      </c>
      <c r="M16" s="80">
        <f t="shared" si="3"/>
        <v>20</v>
      </c>
      <c r="N16" s="78">
        <f t="shared" si="4"/>
        <v>1500</v>
      </c>
      <c r="O16" s="111">
        <f t="shared" si="5"/>
        <v>1500</v>
      </c>
      <c r="P16" s="5">
        <v>25</v>
      </c>
      <c r="Q16" s="5">
        <v>30</v>
      </c>
      <c r="R16" s="5">
        <v>15.5</v>
      </c>
      <c r="S16" s="5">
        <v>19.38</v>
      </c>
      <c r="T16" s="102">
        <v>23.25</v>
      </c>
      <c r="U16" s="5">
        <v>154695</v>
      </c>
    </row>
    <row r="17" spans="1:21" x14ac:dyDescent="0.25">
      <c r="A17" s="31">
        <v>11</v>
      </c>
      <c r="B17" s="4" t="s">
        <v>706</v>
      </c>
      <c r="C17" s="5">
        <v>1</v>
      </c>
      <c r="D17" s="7">
        <v>0</v>
      </c>
      <c r="E17" s="3">
        <f t="shared" si="0"/>
        <v>1</v>
      </c>
      <c r="F17" s="3" t="s">
        <v>867</v>
      </c>
      <c r="G17" s="9">
        <v>0</v>
      </c>
      <c r="H17" s="5" t="s">
        <v>1</v>
      </c>
      <c r="I17" s="16">
        <f t="shared" si="1"/>
        <v>0</v>
      </c>
      <c r="J17" s="110">
        <f t="shared" si="2"/>
        <v>75</v>
      </c>
      <c r="K17" s="5">
        <v>20</v>
      </c>
      <c r="L17" s="5" t="s">
        <v>1</v>
      </c>
      <c r="M17" s="80">
        <f t="shared" si="3"/>
        <v>20</v>
      </c>
      <c r="N17" s="78">
        <f t="shared" si="4"/>
        <v>1500</v>
      </c>
      <c r="O17" s="111">
        <f t="shared" si="5"/>
        <v>1500</v>
      </c>
      <c r="P17" s="5">
        <v>25</v>
      </c>
      <c r="Q17" s="5">
        <v>30</v>
      </c>
      <c r="R17" s="5">
        <v>16</v>
      </c>
      <c r="S17" s="5">
        <v>20</v>
      </c>
      <c r="T17" s="102">
        <v>24</v>
      </c>
      <c r="U17" s="5">
        <v>154698</v>
      </c>
    </row>
    <row r="18" spans="1:21" x14ac:dyDescent="0.25">
      <c r="A18" s="31">
        <v>12</v>
      </c>
      <c r="B18" s="4" t="s">
        <v>707</v>
      </c>
      <c r="C18" s="5">
        <v>1</v>
      </c>
      <c r="D18" s="7">
        <v>0</v>
      </c>
      <c r="E18" s="3">
        <f t="shared" si="0"/>
        <v>1</v>
      </c>
      <c r="F18" s="3" t="s">
        <v>867</v>
      </c>
      <c r="G18" s="9">
        <v>0</v>
      </c>
      <c r="H18" s="5" t="s">
        <v>1</v>
      </c>
      <c r="I18" s="16">
        <f t="shared" si="1"/>
        <v>0</v>
      </c>
      <c r="J18" s="110">
        <f t="shared" si="2"/>
        <v>75</v>
      </c>
      <c r="K18" s="5">
        <v>22</v>
      </c>
      <c r="L18" s="5" t="s">
        <v>1</v>
      </c>
      <c r="M18" s="80">
        <f t="shared" si="3"/>
        <v>22</v>
      </c>
      <c r="N18" s="78">
        <f t="shared" si="4"/>
        <v>1650</v>
      </c>
      <c r="O18" s="111">
        <f t="shared" si="5"/>
        <v>1650</v>
      </c>
      <c r="P18" s="5">
        <v>27.5</v>
      </c>
      <c r="Q18" s="5">
        <v>33</v>
      </c>
      <c r="R18" s="5">
        <v>17</v>
      </c>
      <c r="S18" s="5">
        <v>21.25</v>
      </c>
      <c r="T18" s="102">
        <v>25.5</v>
      </c>
      <c r="U18" s="5">
        <v>154701</v>
      </c>
    </row>
    <row r="19" spans="1:21" x14ac:dyDescent="0.25">
      <c r="A19" s="31">
        <v>13</v>
      </c>
      <c r="B19" s="4" t="s">
        <v>708</v>
      </c>
      <c r="C19" s="5">
        <v>1</v>
      </c>
      <c r="D19" s="7">
        <v>0</v>
      </c>
      <c r="E19" s="3">
        <f t="shared" si="0"/>
        <v>1</v>
      </c>
      <c r="F19" s="3" t="s">
        <v>867</v>
      </c>
      <c r="G19" s="9">
        <v>0</v>
      </c>
      <c r="H19" s="5" t="s">
        <v>1</v>
      </c>
      <c r="I19" s="16">
        <f t="shared" si="1"/>
        <v>0</v>
      </c>
      <c r="J19" s="110">
        <f t="shared" si="2"/>
        <v>75</v>
      </c>
      <c r="K19" s="5">
        <v>28</v>
      </c>
      <c r="L19" s="5" t="s">
        <v>1</v>
      </c>
      <c r="M19" s="80">
        <f t="shared" si="3"/>
        <v>28</v>
      </c>
      <c r="N19" s="78">
        <f t="shared" si="4"/>
        <v>2100</v>
      </c>
      <c r="O19" s="111">
        <f t="shared" si="5"/>
        <v>2100</v>
      </c>
      <c r="P19" s="5">
        <v>35</v>
      </c>
      <c r="Q19" s="5">
        <v>42</v>
      </c>
      <c r="R19" s="5">
        <v>19</v>
      </c>
      <c r="S19" s="5">
        <v>23.75</v>
      </c>
      <c r="T19" s="102">
        <v>28.5</v>
      </c>
      <c r="U19" s="5">
        <v>154704</v>
      </c>
    </row>
    <row r="20" spans="1:21" x14ac:dyDescent="0.25">
      <c r="A20" s="31">
        <v>14</v>
      </c>
      <c r="B20" s="4" t="s">
        <v>709</v>
      </c>
      <c r="C20" s="5">
        <v>1</v>
      </c>
      <c r="D20" s="7">
        <v>0</v>
      </c>
      <c r="E20" s="3">
        <f t="shared" si="0"/>
        <v>1</v>
      </c>
      <c r="F20" s="3" t="s">
        <v>867</v>
      </c>
      <c r="G20" s="9">
        <v>0</v>
      </c>
      <c r="H20" s="5" t="s">
        <v>1</v>
      </c>
      <c r="I20" s="16">
        <f t="shared" si="1"/>
        <v>0</v>
      </c>
      <c r="J20" s="110">
        <f t="shared" si="2"/>
        <v>75</v>
      </c>
      <c r="K20" s="5">
        <v>30</v>
      </c>
      <c r="L20" s="5" t="s">
        <v>1</v>
      </c>
      <c r="M20" s="80">
        <f t="shared" si="3"/>
        <v>30</v>
      </c>
      <c r="N20" s="78">
        <f t="shared" si="4"/>
        <v>2250</v>
      </c>
      <c r="O20" s="111">
        <f t="shared" si="5"/>
        <v>2250</v>
      </c>
      <c r="P20" s="5">
        <v>37.5</v>
      </c>
      <c r="Q20" s="5">
        <v>45</v>
      </c>
      <c r="R20" s="5">
        <v>23</v>
      </c>
      <c r="S20" s="5">
        <v>28.75</v>
      </c>
      <c r="T20" s="102">
        <v>34.5</v>
      </c>
      <c r="U20" s="5">
        <v>154707</v>
      </c>
    </row>
    <row r="21" spans="1:21" x14ac:dyDescent="0.25">
      <c r="A21" s="31">
        <v>15</v>
      </c>
      <c r="B21" s="4" t="s">
        <v>710</v>
      </c>
      <c r="C21" s="5">
        <v>1</v>
      </c>
      <c r="D21" s="7">
        <v>0</v>
      </c>
      <c r="E21" s="3">
        <f t="shared" si="0"/>
        <v>1</v>
      </c>
      <c r="F21" s="3" t="s">
        <v>867</v>
      </c>
      <c r="G21" s="9">
        <v>0</v>
      </c>
      <c r="H21" s="5" t="s">
        <v>1</v>
      </c>
      <c r="I21" s="16">
        <f t="shared" si="1"/>
        <v>0</v>
      </c>
      <c r="J21" s="110">
        <f t="shared" si="2"/>
        <v>75</v>
      </c>
      <c r="K21" s="5">
        <v>34</v>
      </c>
      <c r="L21" s="5" t="s">
        <v>1</v>
      </c>
      <c r="M21" s="80">
        <f t="shared" si="3"/>
        <v>34</v>
      </c>
      <c r="N21" s="78">
        <f t="shared" si="4"/>
        <v>2550</v>
      </c>
      <c r="O21" s="111">
        <f t="shared" si="5"/>
        <v>2550</v>
      </c>
      <c r="P21" s="5">
        <v>42.5</v>
      </c>
      <c r="Q21" s="5">
        <v>51</v>
      </c>
      <c r="R21" s="5">
        <v>27.5</v>
      </c>
      <c r="S21" s="5">
        <v>34.380000000000003</v>
      </c>
      <c r="T21" s="102">
        <v>41.25</v>
      </c>
      <c r="U21" s="5">
        <v>154710</v>
      </c>
    </row>
    <row r="22" spans="1:21" x14ac:dyDescent="0.25">
      <c r="A22" s="31">
        <v>16</v>
      </c>
      <c r="B22" s="4" t="s">
        <v>711</v>
      </c>
      <c r="C22" s="5">
        <v>1</v>
      </c>
      <c r="D22" s="7">
        <v>0</v>
      </c>
      <c r="E22" s="3">
        <f t="shared" si="0"/>
        <v>1</v>
      </c>
      <c r="F22" s="3" t="s">
        <v>867</v>
      </c>
      <c r="G22" s="9">
        <v>0</v>
      </c>
      <c r="H22" s="5" t="s">
        <v>1</v>
      </c>
      <c r="I22" s="16">
        <f t="shared" si="1"/>
        <v>0</v>
      </c>
      <c r="J22" s="110">
        <f t="shared" si="2"/>
        <v>75</v>
      </c>
      <c r="K22" s="5">
        <v>38</v>
      </c>
      <c r="L22" s="5" t="s">
        <v>1</v>
      </c>
      <c r="M22" s="80">
        <f t="shared" si="3"/>
        <v>38</v>
      </c>
      <c r="N22" s="78">
        <f t="shared" si="4"/>
        <v>2850</v>
      </c>
      <c r="O22" s="111">
        <f t="shared" si="5"/>
        <v>2850</v>
      </c>
      <c r="P22" s="5">
        <v>47.5</v>
      </c>
      <c r="Q22" s="5">
        <v>57</v>
      </c>
      <c r="R22" s="5">
        <v>31</v>
      </c>
      <c r="S22" s="5">
        <v>38.75</v>
      </c>
      <c r="T22" s="102">
        <v>46.5</v>
      </c>
      <c r="U22" s="5">
        <v>154713</v>
      </c>
    </row>
    <row r="23" spans="1:21" x14ac:dyDescent="0.25">
      <c r="A23" s="31">
        <v>17</v>
      </c>
      <c r="B23" s="4" t="s">
        <v>712</v>
      </c>
      <c r="C23" s="5">
        <v>1</v>
      </c>
      <c r="D23" s="7">
        <v>0</v>
      </c>
      <c r="E23" s="3">
        <f t="shared" si="0"/>
        <v>1</v>
      </c>
      <c r="F23" s="3" t="s">
        <v>867</v>
      </c>
      <c r="G23" s="9">
        <v>0</v>
      </c>
      <c r="H23" s="5" t="s">
        <v>1</v>
      </c>
      <c r="I23" s="16">
        <f t="shared" si="1"/>
        <v>0</v>
      </c>
      <c r="J23" s="110">
        <f t="shared" si="2"/>
        <v>75</v>
      </c>
      <c r="K23" s="5">
        <v>40</v>
      </c>
      <c r="L23" s="5" t="s">
        <v>1</v>
      </c>
      <c r="M23" s="80">
        <f t="shared" si="3"/>
        <v>40</v>
      </c>
      <c r="N23" s="78">
        <f t="shared" si="4"/>
        <v>3000</v>
      </c>
      <c r="O23" s="111">
        <f t="shared" si="5"/>
        <v>3000</v>
      </c>
      <c r="P23" s="5">
        <v>50</v>
      </c>
      <c r="Q23" s="5">
        <v>60</v>
      </c>
      <c r="R23" s="5">
        <v>32.5</v>
      </c>
      <c r="S23" s="5">
        <v>40.630000000000003</v>
      </c>
      <c r="T23" s="102">
        <v>48.75</v>
      </c>
      <c r="U23" s="5">
        <v>154716</v>
      </c>
    </row>
    <row r="24" spans="1:21" x14ac:dyDescent="0.25">
      <c r="A24" s="31">
        <v>18</v>
      </c>
      <c r="B24" s="4" t="s">
        <v>713</v>
      </c>
      <c r="C24" s="5">
        <v>1</v>
      </c>
      <c r="D24" s="7">
        <v>0</v>
      </c>
      <c r="E24" s="3">
        <f t="shared" si="0"/>
        <v>1</v>
      </c>
      <c r="F24" s="3" t="s">
        <v>867</v>
      </c>
      <c r="G24" s="9">
        <v>0</v>
      </c>
      <c r="H24" s="5" t="s">
        <v>1</v>
      </c>
      <c r="I24" s="16">
        <f t="shared" si="1"/>
        <v>0</v>
      </c>
      <c r="J24" s="110">
        <f t="shared" si="2"/>
        <v>75</v>
      </c>
      <c r="K24" s="5">
        <v>42</v>
      </c>
      <c r="L24" s="5" t="s">
        <v>1</v>
      </c>
      <c r="M24" s="80">
        <f t="shared" si="3"/>
        <v>42</v>
      </c>
      <c r="N24" s="78">
        <f t="shared" si="4"/>
        <v>3150</v>
      </c>
      <c r="O24" s="111">
        <f t="shared" si="5"/>
        <v>3150</v>
      </c>
      <c r="P24" s="5">
        <v>52.5</v>
      </c>
      <c r="Q24" s="5">
        <v>63</v>
      </c>
      <c r="R24" s="5">
        <v>34</v>
      </c>
      <c r="S24" s="5">
        <v>42.5</v>
      </c>
      <c r="T24" s="102">
        <v>51</v>
      </c>
      <c r="U24" s="5">
        <v>154719</v>
      </c>
    </row>
    <row r="25" spans="1:21" x14ac:dyDescent="0.25">
      <c r="A25" s="31">
        <v>19</v>
      </c>
      <c r="B25" s="4" t="s">
        <v>714</v>
      </c>
      <c r="C25" s="5">
        <v>1</v>
      </c>
      <c r="D25" s="7">
        <v>0</v>
      </c>
      <c r="E25" s="3">
        <f t="shared" si="0"/>
        <v>1</v>
      </c>
      <c r="F25" s="3" t="s">
        <v>867</v>
      </c>
      <c r="G25" s="9">
        <v>0</v>
      </c>
      <c r="H25" s="5" t="s">
        <v>1</v>
      </c>
      <c r="I25" s="16">
        <f t="shared" si="1"/>
        <v>0</v>
      </c>
      <c r="J25" s="110">
        <f t="shared" si="2"/>
        <v>75</v>
      </c>
      <c r="K25" s="5">
        <v>44</v>
      </c>
      <c r="L25" s="5" t="s">
        <v>1</v>
      </c>
      <c r="M25" s="80">
        <f t="shared" si="3"/>
        <v>44</v>
      </c>
      <c r="N25" s="78">
        <f t="shared" si="4"/>
        <v>3300</v>
      </c>
      <c r="O25" s="111">
        <f t="shared" si="5"/>
        <v>3300</v>
      </c>
      <c r="P25" s="5">
        <v>55</v>
      </c>
      <c r="Q25" s="5">
        <v>66</v>
      </c>
      <c r="R25" s="5">
        <v>34.5</v>
      </c>
      <c r="S25" s="5">
        <v>43.13</v>
      </c>
      <c r="T25" s="102">
        <v>51.75</v>
      </c>
      <c r="U25" s="5">
        <v>154722</v>
      </c>
    </row>
    <row r="26" spans="1:21" x14ac:dyDescent="0.25">
      <c r="A26" s="31">
        <v>20</v>
      </c>
      <c r="B26" s="4" t="s">
        <v>715</v>
      </c>
      <c r="C26" s="5">
        <v>1</v>
      </c>
      <c r="D26" s="7">
        <v>0</v>
      </c>
      <c r="E26" s="3">
        <f t="shared" si="0"/>
        <v>1</v>
      </c>
      <c r="F26" s="3" t="s">
        <v>867</v>
      </c>
      <c r="G26" s="9">
        <v>0</v>
      </c>
      <c r="H26" s="5" t="s">
        <v>1</v>
      </c>
      <c r="I26" s="16">
        <f t="shared" si="1"/>
        <v>0</v>
      </c>
      <c r="J26" s="110">
        <f t="shared" si="2"/>
        <v>75</v>
      </c>
      <c r="K26" s="5">
        <v>46</v>
      </c>
      <c r="L26" s="5" t="s">
        <v>1</v>
      </c>
      <c r="M26" s="80">
        <f t="shared" si="3"/>
        <v>46</v>
      </c>
      <c r="N26" s="78">
        <f t="shared" si="4"/>
        <v>3450</v>
      </c>
      <c r="O26" s="111">
        <f t="shared" si="5"/>
        <v>3450</v>
      </c>
      <c r="P26" s="5">
        <v>57.5</v>
      </c>
      <c r="Q26" s="5">
        <v>69</v>
      </c>
      <c r="R26" s="5">
        <v>35</v>
      </c>
      <c r="S26" s="5">
        <v>43.75</v>
      </c>
      <c r="T26" s="102">
        <v>52.5</v>
      </c>
      <c r="U26" s="5">
        <v>154725</v>
      </c>
    </row>
    <row r="27" spans="1:21" x14ac:dyDescent="0.25">
      <c r="A27" s="31">
        <v>21</v>
      </c>
      <c r="B27" s="4" t="s">
        <v>716</v>
      </c>
      <c r="C27" s="5">
        <v>1</v>
      </c>
      <c r="D27" s="7">
        <v>0</v>
      </c>
      <c r="E27" s="3">
        <f t="shared" si="0"/>
        <v>1</v>
      </c>
      <c r="F27" s="3" t="s">
        <v>867</v>
      </c>
      <c r="G27" s="9">
        <v>0</v>
      </c>
      <c r="H27" s="5" t="s">
        <v>1</v>
      </c>
      <c r="I27" s="16">
        <f t="shared" si="1"/>
        <v>0</v>
      </c>
      <c r="J27" s="110">
        <f t="shared" si="2"/>
        <v>75</v>
      </c>
      <c r="K27" s="5">
        <v>48</v>
      </c>
      <c r="L27" s="5" t="s">
        <v>1</v>
      </c>
      <c r="M27" s="80">
        <f t="shared" si="3"/>
        <v>48</v>
      </c>
      <c r="N27" s="78">
        <f t="shared" si="4"/>
        <v>3600</v>
      </c>
      <c r="O27" s="111">
        <f t="shared" si="5"/>
        <v>3600</v>
      </c>
      <c r="P27" s="5">
        <v>60</v>
      </c>
      <c r="Q27" s="5">
        <v>72</v>
      </c>
      <c r="R27" s="5">
        <v>36</v>
      </c>
      <c r="S27" s="5">
        <v>45</v>
      </c>
      <c r="T27" s="102">
        <v>54</v>
      </c>
      <c r="U27" s="5">
        <v>154728</v>
      </c>
    </row>
    <row r="28" spans="1:21" x14ac:dyDescent="0.25">
      <c r="A28" s="31">
        <v>22</v>
      </c>
      <c r="B28" s="4" t="s">
        <v>717</v>
      </c>
      <c r="C28" s="5">
        <v>1</v>
      </c>
      <c r="D28" s="7">
        <v>0</v>
      </c>
      <c r="E28" s="3">
        <f t="shared" si="0"/>
        <v>1</v>
      </c>
      <c r="F28" s="3" t="s">
        <v>867</v>
      </c>
      <c r="G28" s="9">
        <v>0</v>
      </c>
      <c r="H28" s="5" t="s">
        <v>1</v>
      </c>
      <c r="I28" s="16">
        <f t="shared" si="1"/>
        <v>0</v>
      </c>
      <c r="J28" s="110">
        <f t="shared" si="2"/>
        <v>75</v>
      </c>
      <c r="K28" s="5">
        <v>50</v>
      </c>
      <c r="L28" s="5" t="s">
        <v>1</v>
      </c>
      <c r="M28" s="80">
        <f t="shared" si="3"/>
        <v>50</v>
      </c>
      <c r="N28" s="78">
        <f t="shared" si="4"/>
        <v>3750</v>
      </c>
      <c r="O28" s="111">
        <f t="shared" si="5"/>
        <v>3750</v>
      </c>
      <c r="P28" s="5">
        <v>62.5</v>
      </c>
      <c r="Q28" s="5">
        <v>75</v>
      </c>
      <c r="R28" s="5"/>
      <c r="S28" s="5"/>
      <c r="T28" s="102"/>
      <c r="U28" s="5">
        <v>154731</v>
      </c>
    </row>
    <row r="29" spans="1:21" x14ac:dyDescent="0.25">
      <c r="A29" s="31">
        <v>23</v>
      </c>
      <c r="B29" s="4" t="s">
        <v>718</v>
      </c>
      <c r="C29" s="5">
        <v>1</v>
      </c>
      <c r="D29" s="7">
        <v>0</v>
      </c>
      <c r="E29" s="3">
        <f t="shared" si="0"/>
        <v>1</v>
      </c>
      <c r="F29" s="3" t="s">
        <v>867</v>
      </c>
      <c r="G29" s="9">
        <v>0</v>
      </c>
      <c r="H29" s="5" t="s">
        <v>1</v>
      </c>
      <c r="I29" s="16">
        <f t="shared" si="1"/>
        <v>0</v>
      </c>
      <c r="J29" s="110">
        <f t="shared" si="2"/>
        <v>75</v>
      </c>
      <c r="K29" s="5">
        <v>52</v>
      </c>
      <c r="L29" s="5" t="s">
        <v>1</v>
      </c>
      <c r="M29" s="80">
        <f t="shared" si="3"/>
        <v>52</v>
      </c>
      <c r="N29" s="78">
        <f t="shared" si="4"/>
        <v>3900</v>
      </c>
      <c r="O29" s="111">
        <f t="shared" si="5"/>
        <v>3900</v>
      </c>
      <c r="P29" s="5">
        <v>65</v>
      </c>
      <c r="Q29" s="5">
        <v>78</v>
      </c>
      <c r="R29" s="5">
        <v>38</v>
      </c>
      <c r="S29" s="5">
        <v>47.5</v>
      </c>
      <c r="T29" s="102">
        <v>57</v>
      </c>
      <c r="U29" s="5">
        <v>154734</v>
      </c>
    </row>
    <row r="30" spans="1:21" x14ac:dyDescent="0.25">
      <c r="A30" s="31">
        <v>24</v>
      </c>
      <c r="B30" s="4" t="s">
        <v>719</v>
      </c>
      <c r="C30" s="5">
        <v>1</v>
      </c>
      <c r="D30" s="7">
        <v>0</v>
      </c>
      <c r="E30" s="3">
        <f t="shared" si="0"/>
        <v>1</v>
      </c>
      <c r="F30" s="3" t="s">
        <v>867</v>
      </c>
      <c r="G30" s="9">
        <v>0</v>
      </c>
      <c r="H30" s="5" t="s">
        <v>1</v>
      </c>
      <c r="I30" s="16">
        <f t="shared" si="1"/>
        <v>0</v>
      </c>
      <c r="J30" s="110">
        <f t="shared" si="2"/>
        <v>75</v>
      </c>
      <c r="K30" s="5">
        <v>56</v>
      </c>
      <c r="L30" s="5" t="s">
        <v>1</v>
      </c>
      <c r="M30" s="80">
        <f t="shared" si="3"/>
        <v>56</v>
      </c>
      <c r="N30" s="78">
        <f t="shared" si="4"/>
        <v>4200</v>
      </c>
      <c r="O30" s="111">
        <f t="shared" si="5"/>
        <v>4200</v>
      </c>
      <c r="P30" s="5">
        <v>70</v>
      </c>
      <c r="Q30" s="5">
        <v>84</v>
      </c>
      <c r="R30" s="5">
        <v>41.5</v>
      </c>
      <c r="S30" s="5">
        <v>51.88</v>
      </c>
      <c r="T30" s="102">
        <v>62.25</v>
      </c>
      <c r="U30" s="5">
        <v>154737</v>
      </c>
    </row>
    <row r="31" spans="1:21" x14ac:dyDescent="0.25">
      <c r="A31" s="31">
        <v>25</v>
      </c>
      <c r="B31" s="4" t="s">
        <v>720</v>
      </c>
      <c r="C31" s="5">
        <v>1</v>
      </c>
      <c r="D31" s="7">
        <v>0</v>
      </c>
      <c r="E31" s="3">
        <f t="shared" si="0"/>
        <v>1</v>
      </c>
      <c r="F31" s="3" t="s">
        <v>867</v>
      </c>
      <c r="G31" s="9">
        <v>0</v>
      </c>
      <c r="H31" s="5" t="s">
        <v>1</v>
      </c>
      <c r="I31" s="16">
        <f t="shared" si="1"/>
        <v>0</v>
      </c>
      <c r="J31" s="110">
        <f t="shared" si="2"/>
        <v>75</v>
      </c>
      <c r="K31" s="5">
        <v>60</v>
      </c>
      <c r="L31" s="5" t="s">
        <v>1</v>
      </c>
      <c r="M31" s="80">
        <f t="shared" si="3"/>
        <v>60</v>
      </c>
      <c r="N31" s="78">
        <f t="shared" si="4"/>
        <v>4500</v>
      </c>
      <c r="O31" s="111">
        <f t="shared" si="5"/>
        <v>4500</v>
      </c>
      <c r="P31" s="5">
        <v>75</v>
      </c>
      <c r="Q31" s="5">
        <v>90</v>
      </c>
      <c r="R31" s="5">
        <v>46</v>
      </c>
      <c r="S31" s="5">
        <v>57.5</v>
      </c>
      <c r="T31" s="102">
        <v>69</v>
      </c>
      <c r="U31" s="5">
        <v>154740</v>
      </c>
    </row>
    <row r="32" spans="1:21" x14ac:dyDescent="0.25">
      <c r="A32" s="31">
        <v>26</v>
      </c>
      <c r="B32" s="4" t="s">
        <v>721</v>
      </c>
      <c r="C32" s="5">
        <v>1</v>
      </c>
      <c r="D32" s="7">
        <v>0</v>
      </c>
      <c r="E32" s="3">
        <f t="shared" si="0"/>
        <v>1</v>
      </c>
      <c r="F32" s="3" t="s">
        <v>867</v>
      </c>
      <c r="G32" s="9">
        <v>0</v>
      </c>
      <c r="H32" s="5" t="s">
        <v>1</v>
      </c>
      <c r="I32" s="16">
        <f t="shared" si="1"/>
        <v>0</v>
      </c>
      <c r="J32" s="110">
        <f t="shared" si="2"/>
        <v>75</v>
      </c>
      <c r="K32" s="5">
        <v>65</v>
      </c>
      <c r="L32" s="5" t="s">
        <v>1</v>
      </c>
      <c r="M32" s="80">
        <f t="shared" si="3"/>
        <v>65</v>
      </c>
      <c r="N32" s="78">
        <f t="shared" si="4"/>
        <v>4875</v>
      </c>
      <c r="O32" s="111">
        <f t="shared" si="5"/>
        <v>4875</v>
      </c>
      <c r="P32" s="5">
        <v>81.25</v>
      </c>
      <c r="Q32" s="5">
        <v>97.5</v>
      </c>
      <c r="R32" s="5">
        <v>48</v>
      </c>
      <c r="S32" s="5">
        <v>60</v>
      </c>
      <c r="T32" s="102">
        <v>72</v>
      </c>
      <c r="U32" s="5">
        <v>154743</v>
      </c>
    </row>
    <row r="33" spans="1:21" x14ac:dyDescent="0.25">
      <c r="A33" s="31">
        <v>27</v>
      </c>
      <c r="B33" s="4" t="s">
        <v>722</v>
      </c>
      <c r="C33" s="5">
        <v>1</v>
      </c>
      <c r="D33" s="7">
        <v>0</v>
      </c>
      <c r="E33" s="3">
        <f t="shared" si="0"/>
        <v>1</v>
      </c>
      <c r="F33" s="3" t="s">
        <v>867</v>
      </c>
      <c r="G33" s="9">
        <v>0</v>
      </c>
      <c r="H33" s="5" t="s">
        <v>1</v>
      </c>
      <c r="I33" s="16">
        <f t="shared" si="1"/>
        <v>0</v>
      </c>
      <c r="J33" s="110">
        <f t="shared" si="2"/>
        <v>75</v>
      </c>
      <c r="K33" s="5">
        <v>70</v>
      </c>
      <c r="L33" s="5" t="s">
        <v>1</v>
      </c>
      <c r="M33" s="80">
        <f t="shared" si="3"/>
        <v>70</v>
      </c>
      <c r="N33" s="78">
        <f t="shared" si="4"/>
        <v>5250</v>
      </c>
      <c r="O33" s="111">
        <f t="shared" si="5"/>
        <v>5250</v>
      </c>
      <c r="P33" s="5">
        <v>87.5</v>
      </c>
      <c r="Q33" s="5">
        <v>105</v>
      </c>
      <c r="R33" s="5"/>
      <c r="S33" s="5"/>
      <c r="T33" s="102"/>
      <c r="U33" s="5">
        <v>154746</v>
      </c>
    </row>
    <row r="34" spans="1:21" x14ac:dyDescent="0.25">
      <c r="A34" s="31">
        <v>28</v>
      </c>
      <c r="B34" s="4" t="s">
        <v>723</v>
      </c>
      <c r="C34" s="5">
        <v>1</v>
      </c>
      <c r="D34" s="7">
        <v>0</v>
      </c>
      <c r="E34" s="3">
        <f t="shared" si="0"/>
        <v>1</v>
      </c>
      <c r="F34" s="3" t="s">
        <v>867</v>
      </c>
      <c r="G34" s="9">
        <v>0</v>
      </c>
      <c r="H34" s="5" t="s">
        <v>1</v>
      </c>
      <c r="I34" s="16">
        <f t="shared" si="1"/>
        <v>0</v>
      </c>
      <c r="J34" s="110">
        <f t="shared" si="2"/>
        <v>75</v>
      </c>
      <c r="K34" s="5">
        <v>75</v>
      </c>
      <c r="L34" s="5" t="s">
        <v>1</v>
      </c>
      <c r="M34" s="80">
        <f t="shared" si="3"/>
        <v>75</v>
      </c>
      <c r="N34" s="78">
        <f t="shared" si="4"/>
        <v>5625</v>
      </c>
      <c r="O34" s="111">
        <f t="shared" si="5"/>
        <v>5625</v>
      </c>
      <c r="P34" s="5">
        <v>93.75</v>
      </c>
      <c r="Q34" s="5">
        <v>112.5</v>
      </c>
      <c r="R34" s="5"/>
      <c r="S34" s="5"/>
      <c r="T34" s="102"/>
      <c r="U34" s="5">
        <v>154749</v>
      </c>
    </row>
    <row r="35" spans="1:21" x14ac:dyDescent="0.25">
      <c r="A35" s="31">
        <v>29</v>
      </c>
      <c r="B35" s="4" t="s">
        <v>724</v>
      </c>
      <c r="C35" s="5">
        <v>1</v>
      </c>
      <c r="D35" s="7">
        <v>0</v>
      </c>
      <c r="E35" s="3">
        <f t="shared" si="0"/>
        <v>1</v>
      </c>
      <c r="F35" s="3" t="s">
        <v>867</v>
      </c>
      <c r="G35" s="9">
        <v>0</v>
      </c>
      <c r="H35" s="5" t="s">
        <v>1</v>
      </c>
      <c r="I35" s="16">
        <f t="shared" si="1"/>
        <v>0</v>
      </c>
      <c r="J35" s="110">
        <f t="shared" si="2"/>
        <v>75</v>
      </c>
      <c r="K35" s="5">
        <v>80</v>
      </c>
      <c r="L35" s="5" t="s">
        <v>1</v>
      </c>
      <c r="M35" s="80">
        <f t="shared" si="3"/>
        <v>80</v>
      </c>
      <c r="N35" s="78">
        <f t="shared" si="4"/>
        <v>6000</v>
      </c>
      <c r="O35" s="111">
        <f t="shared" si="5"/>
        <v>6000</v>
      </c>
      <c r="P35" s="5">
        <v>100</v>
      </c>
      <c r="Q35" s="5">
        <v>120</v>
      </c>
      <c r="R35" s="5">
        <v>60</v>
      </c>
      <c r="S35" s="5">
        <v>75</v>
      </c>
      <c r="T35" s="102">
        <v>90</v>
      </c>
      <c r="U35" s="5">
        <v>154752</v>
      </c>
    </row>
    <row r="36" spans="1:21" x14ac:dyDescent="0.25">
      <c r="A36" s="31">
        <v>30</v>
      </c>
      <c r="B36" s="4" t="s">
        <v>725</v>
      </c>
      <c r="C36" s="5">
        <v>1</v>
      </c>
      <c r="D36" s="7">
        <v>0</v>
      </c>
      <c r="E36" s="3">
        <f t="shared" si="0"/>
        <v>1</v>
      </c>
      <c r="F36" s="3" t="s">
        <v>867</v>
      </c>
      <c r="G36" s="9">
        <v>0</v>
      </c>
      <c r="H36" s="5" t="s">
        <v>1</v>
      </c>
      <c r="I36" s="16">
        <f t="shared" si="1"/>
        <v>0</v>
      </c>
      <c r="J36" s="110">
        <f t="shared" si="2"/>
        <v>75</v>
      </c>
      <c r="K36" s="5">
        <v>85</v>
      </c>
      <c r="L36" s="5" t="s">
        <v>1</v>
      </c>
      <c r="M36" s="80">
        <f t="shared" si="3"/>
        <v>85</v>
      </c>
      <c r="N36" s="78">
        <f t="shared" si="4"/>
        <v>6375</v>
      </c>
      <c r="O36" s="111">
        <f t="shared" si="5"/>
        <v>6375</v>
      </c>
      <c r="P36" s="5">
        <v>106.25</v>
      </c>
      <c r="Q36" s="5">
        <v>127.5</v>
      </c>
      <c r="R36" s="5">
        <v>68.5</v>
      </c>
      <c r="S36" s="5">
        <v>85.63</v>
      </c>
      <c r="T36" s="102">
        <v>102.75</v>
      </c>
      <c r="U36" s="5">
        <v>154755</v>
      </c>
    </row>
    <row r="37" spans="1:21" x14ac:dyDescent="0.25">
      <c r="A37" s="31">
        <v>31</v>
      </c>
      <c r="B37" s="4" t="s">
        <v>726</v>
      </c>
      <c r="C37" s="5">
        <v>1</v>
      </c>
      <c r="D37" s="7">
        <v>0</v>
      </c>
      <c r="E37" s="3">
        <f t="shared" si="0"/>
        <v>1</v>
      </c>
      <c r="F37" s="3" t="s">
        <v>867</v>
      </c>
      <c r="G37" s="9">
        <v>0</v>
      </c>
      <c r="H37" s="5" t="s">
        <v>1</v>
      </c>
      <c r="I37" s="16">
        <f t="shared" si="1"/>
        <v>0</v>
      </c>
      <c r="J37" s="110">
        <f t="shared" si="2"/>
        <v>75</v>
      </c>
      <c r="K37" s="5">
        <v>90</v>
      </c>
      <c r="L37" s="5" t="s">
        <v>1</v>
      </c>
      <c r="M37" s="80">
        <f t="shared" si="3"/>
        <v>90</v>
      </c>
      <c r="N37" s="78">
        <f t="shared" si="4"/>
        <v>6750</v>
      </c>
      <c r="O37" s="111">
        <f t="shared" si="5"/>
        <v>6750</v>
      </c>
      <c r="P37" s="5">
        <v>112.5</v>
      </c>
      <c r="Q37" s="5">
        <v>135</v>
      </c>
      <c r="R37" s="5"/>
      <c r="S37" s="5"/>
      <c r="T37" s="102"/>
      <c r="U37" s="5">
        <v>154758</v>
      </c>
    </row>
    <row r="38" spans="1:21" x14ac:dyDescent="0.25">
      <c r="A38" s="31">
        <v>32</v>
      </c>
      <c r="B38" s="4" t="s">
        <v>727</v>
      </c>
      <c r="C38" s="5">
        <v>1</v>
      </c>
      <c r="D38" s="7">
        <v>0</v>
      </c>
      <c r="E38" s="3">
        <f t="shared" si="0"/>
        <v>1</v>
      </c>
      <c r="F38" s="3" t="s">
        <v>867</v>
      </c>
      <c r="G38" s="9">
        <v>0</v>
      </c>
      <c r="H38" s="5" t="s">
        <v>1</v>
      </c>
      <c r="I38" s="16">
        <f t="shared" si="1"/>
        <v>0</v>
      </c>
      <c r="J38" s="110">
        <f t="shared" si="2"/>
        <v>75</v>
      </c>
      <c r="K38" s="5">
        <v>95</v>
      </c>
      <c r="L38" s="5" t="s">
        <v>1</v>
      </c>
      <c r="M38" s="80">
        <f t="shared" si="3"/>
        <v>95</v>
      </c>
      <c r="N38" s="78">
        <f t="shared" si="4"/>
        <v>7125</v>
      </c>
      <c r="O38" s="111">
        <f t="shared" si="5"/>
        <v>7125</v>
      </c>
      <c r="P38" s="5">
        <v>118.75</v>
      </c>
      <c r="Q38" s="5">
        <v>142.5</v>
      </c>
      <c r="R38" s="5"/>
      <c r="S38" s="5"/>
      <c r="T38" s="102"/>
      <c r="U38" s="5">
        <v>154761</v>
      </c>
    </row>
    <row r="39" spans="1:21" x14ac:dyDescent="0.25">
      <c r="A39" s="31"/>
      <c r="B39" s="4"/>
      <c r="C39" s="5"/>
      <c r="D39" s="7"/>
      <c r="E39" s="3"/>
      <c r="F39" s="3"/>
      <c r="G39" s="9"/>
      <c r="H39" s="5"/>
      <c r="I39" s="16"/>
      <c r="J39" s="4"/>
      <c r="K39" s="5"/>
      <c r="L39" s="5"/>
      <c r="M39" s="15"/>
      <c r="N39" s="16"/>
      <c r="O39" s="42"/>
      <c r="P39" s="5"/>
      <c r="Q39" s="5"/>
      <c r="R39" s="5"/>
      <c r="S39" s="5"/>
      <c r="T39" s="102"/>
      <c r="U39" s="5"/>
    </row>
    <row r="40" spans="1:21" x14ac:dyDescent="0.25">
      <c r="A40" s="31">
        <v>1</v>
      </c>
      <c r="B40" s="4" t="s">
        <v>728</v>
      </c>
      <c r="C40" s="5">
        <v>1</v>
      </c>
      <c r="D40" s="7">
        <v>0</v>
      </c>
      <c r="E40" s="3">
        <f t="shared" si="0"/>
        <v>1</v>
      </c>
      <c r="F40" s="3" t="s">
        <v>867</v>
      </c>
      <c r="G40" s="9">
        <v>0</v>
      </c>
      <c r="H40" s="5" t="s">
        <v>1</v>
      </c>
      <c r="I40" s="16">
        <f t="shared" si="1"/>
        <v>0</v>
      </c>
      <c r="J40" s="110">
        <f t="shared" si="2"/>
        <v>75</v>
      </c>
      <c r="K40" s="5">
        <v>6</v>
      </c>
      <c r="L40" s="5" t="s">
        <v>1</v>
      </c>
      <c r="M40" s="80">
        <f t="shared" ref="M40:M71" si="6">IF(L40="C",(K40/100)*E40,IF(L40="M",(K40/1000)*E40,K40*E40))</f>
        <v>6</v>
      </c>
      <c r="N40" s="78">
        <f t="shared" ref="N40:N71" si="7">M40*J40</f>
        <v>450</v>
      </c>
      <c r="O40" s="111">
        <f t="shared" ref="O40:O71" si="8">N40+I40</f>
        <v>450</v>
      </c>
      <c r="P40" s="5">
        <v>7.5</v>
      </c>
      <c r="Q40" s="5">
        <v>9</v>
      </c>
      <c r="R40" s="5"/>
      <c r="S40" s="5"/>
      <c r="T40" s="102"/>
      <c r="U40" s="5">
        <v>154764</v>
      </c>
    </row>
    <row r="41" spans="1:21" x14ac:dyDescent="0.25">
      <c r="A41" s="31">
        <v>2</v>
      </c>
      <c r="B41" s="4" t="s">
        <v>729</v>
      </c>
      <c r="C41" s="5">
        <v>1</v>
      </c>
      <c r="D41" s="7">
        <v>0</v>
      </c>
      <c r="E41" s="3">
        <f t="shared" si="0"/>
        <v>1</v>
      </c>
      <c r="F41" s="3" t="s">
        <v>867</v>
      </c>
      <c r="G41" s="9">
        <v>0</v>
      </c>
      <c r="H41" s="5" t="s">
        <v>1</v>
      </c>
      <c r="I41" s="16">
        <f t="shared" si="1"/>
        <v>0</v>
      </c>
      <c r="J41" s="110">
        <f t="shared" si="2"/>
        <v>75</v>
      </c>
      <c r="K41" s="5">
        <v>6</v>
      </c>
      <c r="L41" s="5" t="s">
        <v>1</v>
      </c>
      <c r="M41" s="80">
        <f t="shared" si="6"/>
        <v>6</v>
      </c>
      <c r="N41" s="78">
        <f t="shared" si="7"/>
        <v>450</v>
      </c>
      <c r="O41" s="111">
        <f t="shared" si="8"/>
        <v>450</v>
      </c>
      <c r="P41" s="5">
        <v>7.5</v>
      </c>
      <c r="Q41" s="5">
        <v>9</v>
      </c>
      <c r="R41" s="5"/>
      <c r="S41" s="5"/>
      <c r="T41" s="102"/>
      <c r="U41" s="5">
        <v>154767</v>
      </c>
    </row>
    <row r="42" spans="1:21" x14ac:dyDescent="0.25">
      <c r="A42" s="31">
        <v>3</v>
      </c>
      <c r="B42" s="4" t="s">
        <v>730</v>
      </c>
      <c r="C42" s="5">
        <v>1</v>
      </c>
      <c r="D42" s="7">
        <v>0</v>
      </c>
      <c r="E42" s="3">
        <f t="shared" si="0"/>
        <v>1</v>
      </c>
      <c r="F42" s="3" t="s">
        <v>867</v>
      </c>
      <c r="G42" s="9">
        <v>0</v>
      </c>
      <c r="H42" s="5" t="s">
        <v>1</v>
      </c>
      <c r="I42" s="16">
        <f t="shared" si="1"/>
        <v>0</v>
      </c>
      <c r="J42" s="110">
        <f t="shared" si="2"/>
        <v>75</v>
      </c>
      <c r="K42" s="5">
        <v>6</v>
      </c>
      <c r="L42" s="5" t="s">
        <v>1</v>
      </c>
      <c r="M42" s="80">
        <f t="shared" si="6"/>
        <v>6</v>
      </c>
      <c r="N42" s="78">
        <f t="shared" si="7"/>
        <v>450</v>
      </c>
      <c r="O42" s="111">
        <f t="shared" si="8"/>
        <v>450</v>
      </c>
      <c r="P42" s="5">
        <v>7.5</v>
      </c>
      <c r="Q42" s="5">
        <v>9</v>
      </c>
      <c r="R42" s="5">
        <v>10</v>
      </c>
      <c r="S42" s="5">
        <v>12.5</v>
      </c>
      <c r="T42" s="102">
        <v>15</v>
      </c>
      <c r="U42" s="5">
        <v>154770</v>
      </c>
    </row>
    <row r="43" spans="1:21" x14ac:dyDescent="0.25">
      <c r="A43" s="31">
        <v>4</v>
      </c>
      <c r="B43" s="4" t="s">
        <v>731</v>
      </c>
      <c r="C43" s="5">
        <v>1</v>
      </c>
      <c r="D43" s="7">
        <v>0</v>
      </c>
      <c r="E43" s="3">
        <f t="shared" si="0"/>
        <v>1</v>
      </c>
      <c r="F43" s="3" t="s">
        <v>867</v>
      </c>
      <c r="G43" s="9">
        <v>0</v>
      </c>
      <c r="H43" s="5" t="s">
        <v>1</v>
      </c>
      <c r="I43" s="16">
        <f t="shared" si="1"/>
        <v>0</v>
      </c>
      <c r="J43" s="110">
        <f t="shared" si="2"/>
        <v>75</v>
      </c>
      <c r="K43" s="5">
        <v>8</v>
      </c>
      <c r="L43" s="5" t="s">
        <v>1</v>
      </c>
      <c r="M43" s="80">
        <f t="shared" si="6"/>
        <v>8</v>
      </c>
      <c r="N43" s="78">
        <f t="shared" si="7"/>
        <v>600</v>
      </c>
      <c r="O43" s="111">
        <f t="shared" si="8"/>
        <v>600</v>
      </c>
      <c r="P43" s="5">
        <v>10</v>
      </c>
      <c r="Q43" s="5">
        <v>12</v>
      </c>
      <c r="R43" s="5">
        <v>11.5</v>
      </c>
      <c r="S43" s="5">
        <v>14.38</v>
      </c>
      <c r="T43" s="102">
        <v>17.25</v>
      </c>
      <c r="U43" s="5">
        <v>154773</v>
      </c>
    </row>
    <row r="44" spans="1:21" x14ac:dyDescent="0.25">
      <c r="A44" s="31">
        <v>5</v>
      </c>
      <c r="B44" s="4" t="s">
        <v>732</v>
      </c>
      <c r="C44" s="5">
        <v>1</v>
      </c>
      <c r="D44" s="7">
        <v>0</v>
      </c>
      <c r="E44" s="3">
        <f t="shared" si="0"/>
        <v>1</v>
      </c>
      <c r="F44" s="3" t="s">
        <v>867</v>
      </c>
      <c r="G44" s="9">
        <v>0</v>
      </c>
      <c r="H44" s="5" t="s">
        <v>1</v>
      </c>
      <c r="I44" s="16">
        <f t="shared" si="1"/>
        <v>0</v>
      </c>
      <c r="J44" s="110">
        <f t="shared" si="2"/>
        <v>75</v>
      </c>
      <c r="K44" s="5">
        <v>10</v>
      </c>
      <c r="L44" s="5" t="s">
        <v>1</v>
      </c>
      <c r="M44" s="80">
        <f t="shared" si="6"/>
        <v>10</v>
      </c>
      <c r="N44" s="78">
        <f t="shared" si="7"/>
        <v>750</v>
      </c>
      <c r="O44" s="111">
        <f t="shared" si="8"/>
        <v>750</v>
      </c>
      <c r="P44" s="5">
        <v>12.5</v>
      </c>
      <c r="Q44" s="5">
        <v>15</v>
      </c>
      <c r="R44" s="5">
        <v>12.5</v>
      </c>
      <c r="S44" s="5">
        <v>15.63</v>
      </c>
      <c r="T44" s="102">
        <v>18.75</v>
      </c>
      <c r="U44" s="5">
        <v>154776</v>
      </c>
    </row>
    <row r="45" spans="1:21" x14ac:dyDescent="0.25">
      <c r="A45" s="31">
        <v>6</v>
      </c>
      <c r="B45" s="4" t="s">
        <v>733</v>
      </c>
      <c r="C45" s="5">
        <v>1</v>
      </c>
      <c r="D45" s="7">
        <v>0</v>
      </c>
      <c r="E45" s="3">
        <f t="shared" si="0"/>
        <v>1</v>
      </c>
      <c r="F45" s="3" t="s">
        <v>867</v>
      </c>
      <c r="G45" s="9">
        <v>0</v>
      </c>
      <c r="H45" s="5" t="s">
        <v>1</v>
      </c>
      <c r="I45" s="16">
        <f t="shared" si="1"/>
        <v>0</v>
      </c>
      <c r="J45" s="110">
        <f t="shared" si="2"/>
        <v>75</v>
      </c>
      <c r="K45" s="5">
        <v>12</v>
      </c>
      <c r="L45" s="5" t="s">
        <v>1</v>
      </c>
      <c r="M45" s="80">
        <f t="shared" si="6"/>
        <v>12</v>
      </c>
      <c r="N45" s="78">
        <f t="shared" si="7"/>
        <v>900</v>
      </c>
      <c r="O45" s="111">
        <f t="shared" si="8"/>
        <v>900</v>
      </c>
      <c r="P45" s="5">
        <v>15</v>
      </c>
      <c r="Q45" s="5">
        <v>18</v>
      </c>
      <c r="R45" s="5">
        <v>13</v>
      </c>
      <c r="S45" s="5">
        <v>16.25</v>
      </c>
      <c r="T45" s="102">
        <v>19.5</v>
      </c>
      <c r="U45" s="5">
        <v>154779</v>
      </c>
    </row>
    <row r="46" spans="1:21" x14ac:dyDescent="0.25">
      <c r="A46" s="31">
        <v>7</v>
      </c>
      <c r="B46" s="4" t="s">
        <v>734</v>
      </c>
      <c r="C46" s="5">
        <v>1</v>
      </c>
      <c r="D46" s="7">
        <v>0</v>
      </c>
      <c r="E46" s="3">
        <f t="shared" si="0"/>
        <v>1</v>
      </c>
      <c r="F46" s="3" t="s">
        <v>867</v>
      </c>
      <c r="G46" s="9">
        <v>0</v>
      </c>
      <c r="H46" s="5" t="s">
        <v>1</v>
      </c>
      <c r="I46" s="16">
        <f t="shared" si="1"/>
        <v>0</v>
      </c>
      <c r="J46" s="110">
        <f t="shared" si="2"/>
        <v>75</v>
      </c>
      <c r="K46" s="5">
        <v>14</v>
      </c>
      <c r="L46" s="5" t="s">
        <v>1</v>
      </c>
      <c r="M46" s="80">
        <f t="shared" si="6"/>
        <v>14</v>
      </c>
      <c r="N46" s="78">
        <f t="shared" si="7"/>
        <v>1050</v>
      </c>
      <c r="O46" s="111">
        <f t="shared" si="8"/>
        <v>1050</v>
      </c>
      <c r="P46" s="5">
        <v>17.5</v>
      </c>
      <c r="Q46" s="5">
        <v>21</v>
      </c>
      <c r="R46" s="5"/>
      <c r="S46" s="5"/>
      <c r="T46" s="102"/>
      <c r="U46" s="5">
        <v>154782</v>
      </c>
    </row>
    <row r="47" spans="1:21" x14ac:dyDescent="0.25">
      <c r="A47" s="31">
        <v>8</v>
      </c>
      <c r="B47" s="4" t="s">
        <v>735</v>
      </c>
      <c r="C47" s="5">
        <v>1</v>
      </c>
      <c r="D47" s="7">
        <v>0</v>
      </c>
      <c r="E47" s="3">
        <f t="shared" si="0"/>
        <v>1</v>
      </c>
      <c r="F47" s="3" t="s">
        <v>867</v>
      </c>
      <c r="G47" s="9">
        <v>0</v>
      </c>
      <c r="H47" s="5" t="s">
        <v>1</v>
      </c>
      <c r="I47" s="16">
        <f t="shared" si="1"/>
        <v>0</v>
      </c>
      <c r="J47" s="110">
        <f t="shared" si="2"/>
        <v>75</v>
      </c>
      <c r="K47" s="5">
        <v>16</v>
      </c>
      <c r="L47" s="5" t="s">
        <v>1</v>
      </c>
      <c r="M47" s="80">
        <f t="shared" si="6"/>
        <v>16</v>
      </c>
      <c r="N47" s="78">
        <f t="shared" si="7"/>
        <v>1200</v>
      </c>
      <c r="O47" s="111">
        <f t="shared" si="8"/>
        <v>1200</v>
      </c>
      <c r="P47" s="5">
        <v>20</v>
      </c>
      <c r="Q47" s="5">
        <v>24</v>
      </c>
      <c r="R47" s="5"/>
      <c r="S47" s="5"/>
      <c r="T47" s="102"/>
      <c r="U47" s="5">
        <v>154785</v>
      </c>
    </row>
    <row r="48" spans="1:21" x14ac:dyDescent="0.25">
      <c r="A48" s="31">
        <v>9</v>
      </c>
      <c r="B48" s="4" t="s">
        <v>736</v>
      </c>
      <c r="C48" s="5">
        <v>1</v>
      </c>
      <c r="D48" s="7">
        <v>0</v>
      </c>
      <c r="E48" s="3">
        <f t="shared" si="0"/>
        <v>1</v>
      </c>
      <c r="F48" s="3" t="s">
        <v>867</v>
      </c>
      <c r="G48" s="9">
        <v>0</v>
      </c>
      <c r="H48" s="5" t="s">
        <v>1</v>
      </c>
      <c r="I48" s="16">
        <f t="shared" si="1"/>
        <v>0</v>
      </c>
      <c r="J48" s="110">
        <f t="shared" si="2"/>
        <v>75</v>
      </c>
      <c r="K48" s="5">
        <v>18</v>
      </c>
      <c r="L48" s="5" t="s">
        <v>1</v>
      </c>
      <c r="M48" s="80">
        <f t="shared" si="6"/>
        <v>18</v>
      </c>
      <c r="N48" s="78">
        <f t="shared" si="7"/>
        <v>1350</v>
      </c>
      <c r="O48" s="111">
        <f t="shared" si="8"/>
        <v>1350</v>
      </c>
      <c r="P48" s="5">
        <v>22.5</v>
      </c>
      <c r="Q48" s="5">
        <v>27</v>
      </c>
      <c r="R48" s="5">
        <v>15</v>
      </c>
      <c r="S48" s="5">
        <v>18.75</v>
      </c>
      <c r="T48" s="102">
        <v>22.5</v>
      </c>
      <c r="U48" s="5">
        <v>154788</v>
      </c>
    </row>
    <row r="49" spans="1:21" x14ac:dyDescent="0.25">
      <c r="A49" s="31">
        <v>10</v>
      </c>
      <c r="B49" s="4" t="s">
        <v>737</v>
      </c>
      <c r="C49" s="5">
        <v>1</v>
      </c>
      <c r="D49" s="7">
        <v>0</v>
      </c>
      <c r="E49" s="3">
        <f t="shared" si="0"/>
        <v>1</v>
      </c>
      <c r="F49" s="3" t="s">
        <v>867</v>
      </c>
      <c r="G49" s="9">
        <v>0</v>
      </c>
      <c r="H49" s="5" t="s">
        <v>1</v>
      </c>
      <c r="I49" s="16">
        <f t="shared" si="1"/>
        <v>0</v>
      </c>
      <c r="J49" s="110">
        <f t="shared" si="2"/>
        <v>75</v>
      </c>
      <c r="K49" s="5">
        <v>20</v>
      </c>
      <c r="L49" s="5" t="s">
        <v>1</v>
      </c>
      <c r="M49" s="80">
        <f t="shared" si="6"/>
        <v>20</v>
      </c>
      <c r="N49" s="78">
        <f t="shared" si="7"/>
        <v>1500</v>
      </c>
      <c r="O49" s="111">
        <f t="shared" si="8"/>
        <v>1500</v>
      </c>
      <c r="P49" s="5">
        <v>25</v>
      </c>
      <c r="Q49" s="5">
        <v>30</v>
      </c>
      <c r="R49" s="5">
        <v>15.5</v>
      </c>
      <c r="S49" s="5">
        <v>19.38</v>
      </c>
      <c r="T49" s="102">
        <v>23.25</v>
      </c>
      <c r="U49" s="5">
        <v>154791</v>
      </c>
    </row>
    <row r="50" spans="1:21" x14ac:dyDescent="0.25">
      <c r="A50" s="31">
        <v>11</v>
      </c>
      <c r="B50" s="4" t="s">
        <v>738</v>
      </c>
      <c r="C50" s="5">
        <v>1</v>
      </c>
      <c r="D50" s="7">
        <v>0</v>
      </c>
      <c r="E50" s="3">
        <f t="shared" si="0"/>
        <v>1</v>
      </c>
      <c r="F50" s="3" t="s">
        <v>867</v>
      </c>
      <c r="G50" s="9">
        <v>0</v>
      </c>
      <c r="H50" s="5" t="s">
        <v>1</v>
      </c>
      <c r="I50" s="16">
        <f t="shared" si="1"/>
        <v>0</v>
      </c>
      <c r="J50" s="110">
        <f t="shared" si="2"/>
        <v>75</v>
      </c>
      <c r="K50" s="5">
        <v>20</v>
      </c>
      <c r="L50" s="5" t="s">
        <v>1</v>
      </c>
      <c r="M50" s="80">
        <f t="shared" si="6"/>
        <v>20</v>
      </c>
      <c r="N50" s="78">
        <f t="shared" si="7"/>
        <v>1500</v>
      </c>
      <c r="O50" s="111">
        <f t="shared" si="8"/>
        <v>1500</v>
      </c>
      <c r="P50" s="5">
        <v>25</v>
      </c>
      <c r="Q50" s="5">
        <v>30</v>
      </c>
      <c r="R50" s="5">
        <v>16</v>
      </c>
      <c r="S50" s="5">
        <v>20</v>
      </c>
      <c r="T50" s="102">
        <v>24</v>
      </c>
      <c r="U50" s="5">
        <v>154794</v>
      </c>
    </row>
    <row r="51" spans="1:21" x14ac:dyDescent="0.25">
      <c r="A51" s="31">
        <v>12</v>
      </c>
      <c r="B51" s="4" t="s">
        <v>739</v>
      </c>
      <c r="C51" s="5">
        <v>1</v>
      </c>
      <c r="D51" s="7">
        <v>0</v>
      </c>
      <c r="E51" s="3">
        <f t="shared" si="0"/>
        <v>1</v>
      </c>
      <c r="F51" s="3" t="s">
        <v>867</v>
      </c>
      <c r="G51" s="9">
        <v>0</v>
      </c>
      <c r="H51" s="5" t="s">
        <v>1</v>
      </c>
      <c r="I51" s="16">
        <f t="shared" si="1"/>
        <v>0</v>
      </c>
      <c r="J51" s="110">
        <f t="shared" si="2"/>
        <v>75</v>
      </c>
      <c r="K51" s="5">
        <v>22</v>
      </c>
      <c r="L51" s="5" t="s">
        <v>1</v>
      </c>
      <c r="M51" s="80">
        <f t="shared" si="6"/>
        <v>22</v>
      </c>
      <c r="N51" s="78">
        <f t="shared" si="7"/>
        <v>1650</v>
      </c>
      <c r="O51" s="111">
        <f t="shared" si="8"/>
        <v>1650</v>
      </c>
      <c r="P51" s="5">
        <v>27.5</v>
      </c>
      <c r="Q51" s="5">
        <v>33</v>
      </c>
      <c r="R51" s="5">
        <v>17</v>
      </c>
      <c r="S51" s="5">
        <v>21.25</v>
      </c>
      <c r="T51" s="102">
        <v>25.5</v>
      </c>
      <c r="U51" s="5">
        <v>154797</v>
      </c>
    </row>
    <row r="52" spans="1:21" x14ac:dyDescent="0.25">
      <c r="A52" s="31">
        <v>13</v>
      </c>
      <c r="B52" s="4" t="s">
        <v>740</v>
      </c>
      <c r="C52" s="5">
        <v>1</v>
      </c>
      <c r="D52" s="7">
        <v>0</v>
      </c>
      <c r="E52" s="3">
        <f t="shared" si="0"/>
        <v>1</v>
      </c>
      <c r="F52" s="3" t="s">
        <v>867</v>
      </c>
      <c r="G52" s="9">
        <v>0</v>
      </c>
      <c r="H52" s="5" t="s">
        <v>1</v>
      </c>
      <c r="I52" s="16">
        <f t="shared" si="1"/>
        <v>0</v>
      </c>
      <c r="J52" s="110">
        <f t="shared" si="2"/>
        <v>75</v>
      </c>
      <c r="K52" s="5">
        <v>28</v>
      </c>
      <c r="L52" s="5" t="s">
        <v>1</v>
      </c>
      <c r="M52" s="80">
        <f t="shared" si="6"/>
        <v>28</v>
      </c>
      <c r="N52" s="78">
        <f t="shared" si="7"/>
        <v>2100</v>
      </c>
      <c r="O52" s="111">
        <f t="shared" si="8"/>
        <v>2100</v>
      </c>
      <c r="P52" s="5">
        <v>35</v>
      </c>
      <c r="Q52" s="5">
        <v>42</v>
      </c>
      <c r="R52" s="5">
        <v>19</v>
      </c>
      <c r="S52" s="5">
        <v>23.75</v>
      </c>
      <c r="T52" s="102">
        <v>28.5</v>
      </c>
      <c r="U52" s="5">
        <v>154800</v>
      </c>
    </row>
    <row r="53" spans="1:21" x14ac:dyDescent="0.25">
      <c r="A53" s="31">
        <v>14</v>
      </c>
      <c r="B53" s="4" t="s">
        <v>741</v>
      </c>
      <c r="C53" s="5">
        <v>1</v>
      </c>
      <c r="D53" s="7">
        <v>0</v>
      </c>
      <c r="E53" s="3">
        <f t="shared" si="0"/>
        <v>1</v>
      </c>
      <c r="F53" s="3" t="s">
        <v>867</v>
      </c>
      <c r="G53" s="9">
        <v>0</v>
      </c>
      <c r="H53" s="5" t="s">
        <v>1</v>
      </c>
      <c r="I53" s="16">
        <f t="shared" si="1"/>
        <v>0</v>
      </c>
      <c r="J53" s="110">
        <f t="shared" si="2"/>
        <v>75</v>
      </c>
      <c r="K53" s="5">
        <v>30</v>
      </c>
      <c r="L53" s="5" t="s">
        <v>1</v>
      </c>
      <c r="M53" s="80">
        <f t="shared" si="6"/>
        <v>30</v>
      </c>
      <c r="N53" s="78">
        <f t="shared" si="7"/>
        <v>2250</v>
      </c>
      <c r="O53" s="111">
        <f t="shared" si="8"/>
        <v>2250</v>
      </c>
      <c r="P53" s="5">
        <v>37.5</v>
      </c>
      <c r="Q53" s="5">
        <v>45</v>
      </c>
      <c r="R53" s="5">
        <v>23</v>
      </c>
      <c r="S53" s="5">
        <v>28.75</v>
      </c>
      <c r="T53" s="102">
        <v>34.5</v>
      </c>
      <c r="U53" s="5">
        <v>154803</v>
      </c>
    </row>
    <row r="54" spans="1:21" x14ac:dyDescent="0.25">
      <c r="A54" s="31">
        <v>15</v>
      </c>
      <c r="B54" s="4" t="s">
        <v>742</v>
      </c>
      <c r="C54" s="5">
        <v>1</v>
      </c>
      <c r="D54" s="7">
        <v>0</v>
      </c>
      <c r="E54" s="3">
        <f t="shared" si="0"/>
        <v>1</v>
      </c>
      <c r="F54" s="3" t="s">
        <v>867</v>
      </c>
      <c r="G54" s="9">
        <v>0</v>
      </c>
      <c r="H54" s="5" t="s">
        <v>1</v>
      </c>
      <c r="I54" s="16">
        <f t="shared" si="1"/>
        <v>0</v>
      </c>
      <c r="J54" s="110">
        <f t="shared" si="2"/>
        <v>75</v>
      </c>
      <c r="K54" s="5">
        <v>34</v>
      </c>
      <c r="L54" s="5" t="s">
        <v>1</v>
      </c>
      <c r="M54" s="80">
        <f t="shared" si="6"/>
        <v>34</v>
      </c>
      <c r="N54" s="78">
        <f t="shared" si="7"/>
        <v>2550</v>
      </c>
      <c r="O54" s="111">
        <f t="shared" si="8"/>
        <v>2550</v>
      </c>
      <c r="P54" s="5">
        <v>42.5</v>
      </c>
      <c r="Q54" s="5">
        <v>51</v>
      </c>
      <c r="R54" s="5">
        <v>27.5</v>
      </c>
      <c r="S54" s="5">
        <v>34.380000000000003</v>
      </c>
      <c r="T54" s="102">
        <v>41.25</v>
      </c>
      <c r="U54" s="5">
        <v>154806</v>
      </c>
    </row>
    <row r="55" spans="1:21" x14ac:dyDescent="0.25">
      <c r="A55" s="31">
        <v>16</v>
      </c>
      <c r="B55" s="4" t="s">
        <v>743</v>
      </c>
      <c r="C55" s="5">
        <v>1</v>
      </c>
      <c r="D55" s="7">
        <v>0</v>
      </c>
      <c r="E55" s="3">
        <f t="shared" si="0"/>
        <v>1</v>
      </c>
      <c r="F55" s="3" t="s">
        <v>867</v>
      </c>
      <c r="G55" s="9">
        <v>0</v>
      </c>
      <c r="H55" s="5" t="s">
        <v>1</v>
      </c>
      <c r="I55" s="16">
        <f t="shared" si="1"/>
        <v>0</v>
      </c>
      <c r="J55" s="110">
        <f t="shared" si="2"/>
        <v>75</v>
      </c>
      <c r="K55" s="5">
        <v>38</v>
      </c>
      <c r="L55" s="5" t="s">
        <v>1</v>
      </c>
      <c r="M55" s="80">
        <f t="shared" si="6"/>
        <v>38</v>
      </c>
      <c r="N55" s="78">
        <f t="shared" si="7"/>
        <v>2850</v>
      </c>
      <c r="O55" s="111">
        <f t="shared" si="8"/>
        <v>2850</v>
      </c>
      <c r="P55" s="5">
        <v>47.5</v>
      </c>
      <c r="Q55" s="5">
        <v>57</v>
      </c>
      <c r="R55" s="5">
        <v>31</v>
      </c>
      <c r="S55" s="5">
        <v>38.75</v>
      </c>
      <c r="T55" s="102">
        <v>46.5</v>
      </c>
      <c r="U55" s="5">
        <v>154809</v>
      </c>
    </row>
    <row r="56" spans="1:21" x14ac:dyDescent="0.25">
      <c r="A56" s="31">
        <v>17</v>
      </c>
      <c r="B56" s="4" t="s">
        <v>744</v>
      </c>
      <c r="C56" s="5">
        <v>1</v>
      </c>
      <c r="D56" s="7">
        <v>0</v>
      </c>
      <c r="E56" s="3">
        <f t="shared" si="0"/>
        <v>1</v>
      </c>
      <c r="F56" s="3" t="s">
        <v>867</v>
      </c>
      <c r="G56" s="9">
        <v>0</v>
      </c>
      <c r="H56" s="5" t="s">
        <v>1</v>
      </c>
      <c r="I56" s="16">
        <f t="shared" si="1"/>
        <v>0</v>
      </c>
      <c r="J56" s="110">
        <f t="shared" si="2"/>
        <v>75</v>
      </c>
      <c r="K56" s="5">
        <v>40</v>
      </c>
      <c r="L56" s="5" t="s">
        <v>1</v>
      </c>
      <c r="M56" s="80">
        <f t="shared" si="6"/>
        <v>40</v>
      </c>
      <c r="N56" s="78">
        <f t="shared" si="7"/>
        <v>3000</v>
      </c>
      <c r="O56" s="111">
        <f t="shared" si="8"/>
        <v>3000</v>
      </c>
      <c r="P56" s="5">
        <v>50</v>
      </c>
      <c r="Q56" s="5">
        <v>60</v>
      </c>
      <c r="R56" s="5">
        <v>32.5</v>
      </c>
      <c r="S56" s="5">
        <v>40.630000000000003</v>
      </c>
      <c r="T56" s="102">
        <v>48.75</v>
      </c>
      <c r="U56" s="5">
        <v>154812</v>
      </c>
    </row>
    <row r="57" spans="1:21" x14ac:dyDescent="0.25">
      <c r="A57" s="31">
        <v>18</v>
      </c>
      <c r="B57" s="4" t="s">
        <v>745</v>
      </c>
      <c r="C57" s="5">
        <v>1</v>
      </c>
      <c r="D57" s="7">
        <v>0</v>
      </c>
      <c r="E57" s="3">
        <f t="shared" si="0"/>
        <v>1</v>
      </c>
      <c r="F57" s="3" t="s">
        <v>867</v>
      </c>
      <c r="G57" s="9">
        <v>0</v>
      </c>
      <c r="H57" s="5" t="s">
        <v>1</v>
      </c>
      <c r="I57" s="16">
        <f t="shared" si="1"/>
        <v>0</v>
      </c>
      <c r="J57" s="110">
        <f t="shared" si="2"/>
        <v>75</v>
      </c>
      <c r="K57" s="5">
        <v>42</v>
      </c>
      <c r="L57" s="5" t="s">
        <v>1</v>
      </c>
      <c r="M57" s="80">
        <f t="shared" si="6"/>
        <v>42</v>
      </c>
      <c r="N57" s="78">
        <f t="shared" si="7"/>
        <v>3150</v>
      </c>
      <c r="O57" s="111">
        <f t="shared" si="8"/>
        <v>3150</v>
      </c>
      <c r="P57" s="5">
        <v>52.5</v>
      </c>
      <c r="Q57" s="5">
        <v>63</v>
      </c>
      <c r="R57" s="5">
        <v>34</v>
      </c>
      <c r="S57" s="5">
        <v>42.5</v>
      </c>
      <c r="T57" s="102">
        <v>51</v>
      </c>
      <c r="U57" s="5">
        <v>154815</v>
      </c>
    </row>
    <row r="58" spans="1:21" x14ac:dyDescent="0.25">
      <c r="A58" s="31">
        <v>19</v>
      </c>
      <c r="B58" s="4" t="s">
        <v>746</v>
      </c>
      <c r="C58" s="5">
        <v>1</v>
      </c>
      <c r="D58" s="7">
        <v>0</v>
      </c>
      <c r="E58" s="3">
        <f t="shared" si="0"/>
        <v>1</v>
      </c>
      <c r="F58" s="3" t="s">
        <v>867</v>
      </c>
      <c r="G58" s="9">
        <v>0</v>
      </c>
      <c r="H58" s="5" t="s">
        <v>1</v>
      </c>
      <c r="I58" s="16">
        <f t="shared" si="1"/>
        <v>0</v>
      </c>
      <c r="J58" s="110">
        <f t="shared" si="2"/>
        <v>75</v>
      </c>
      <c r="K58" s="5">
        <v>44</v>
      </c>
      <c r="L58" s="5" t="s">
        <v>1</v>
      </c>
      <c r="M58" s="80">
        <f t="shared" si="6"/>
        <v>44</v>
      </c>
      <c r="N58" s="78">
        <f t="shared" si="7"/>
        <v>3300</v>
      </c>
      <c r="O58" s="111">
        <f t="shared" si="8"/>
        <v>3300</v>
      </c>
      <c r="P58" s="5">
        <v>55</v>
      </c>
      <c r="Q58" s="5">
        <v>66</v>
      </c>
      <c r="R58" s="5">
        <v>34.5</v>
      </c>
      <c r="S58" s="5">
        <v>43.13</v>
      </c>
      <c r="T58" s="102">
        <v>51.75</v>
      </c>
      <c r="U58" s="5">
        <v>154818</v>
      </c>
    </row>
    <row r="59" spans="1:21" x14ac:dyDescent="0.25">
      <c r="A59" s="31">
        <v>20</v>
      </c>
      <c r="B59" s="4" t="s">
        <v>747</v>
      </c>
      <c r="C59" s="5">
        <v>1</v>
      </c>
      <c r="D59" s="7">
        <v>0</v>
      </c>
      <c r="E59" s="3">
        <f t="shared" si="0"/>
        <v>1</v>
      </c>
      <c r="F59" s="3" t="s">
        <v>867</v>
      </c>
      <c r="G59" s="9">
        <v>0</v>
      </c>
      <c r="H59" s="5" t="s">
        <v>1</v>
      </c>
      <c r="I59" s="16">
        <f t="shared" si="1"/>
        <v>0</v>
      </c>
      <c r="J59" s="110">
        <f t="shared" si="2"/>
        <v>75</v>
      </c>
      <c r="K59" s="5">
        <v>46</v>
      </c>
      <c r="L59" s="5" t="s">
        <v>1</v>
      </c>
      <c r="M59" s="80">
        <f t="shared" si="6"/>
        <v>46</v>
      </c>
      <c r="N59" s="78">
        <f t="shared" si="7"/>
        <v>3450</v>
      </c>
      <c r="O59" s="111">
        <f t="shared" si="8"/>
        <v>3450</v>
      </c>
      <c r="P59" s="5">
        <v>57.5</v>
      </c>
      <c r="Q59" s="5">
        <v>69</v>
      </c>
      <c r="R59" s="5">
        <v>35</v>
      </c>
      <c r="S59" s="5">
        <v>43.75</v>
      </c>
      <c r="T59" s="102">
        <v>52.5</v>
      </c>
      <c r="U59" s="5">
        <v>154821</v>
      </c>
    </row>
    <row r="60" spans="1:21" x14ac:dyDescent="0.25">
      <c r="A60" s="31">
        <v>21</v>
      </c>
      <c r="B60" s="4" t="s">
        <v>748</v>
      </c>
      <c r="C60" s="5">
        <v>1</v>
      </c>
      <c r="D60" s="7">
        <v>0</v>
      </c>
      <c r="E60" s="3">
        <f t="shared" si="0"/>
        <v>1</v>
      </c>
      <c r="F60" s="3" t="s">
        <v>867</v>
      </c>
      <c r="G60" s="9">
        <v>0</v>
      </c>
      <c r="H60" s="5" t="s">
        <v>1</v>
      </c>
      <c r="I60" s="16">
        <f t="shared" si="1"/>
        <v>0</v>
      </c>
      <c r="J60" s="110">
        <f t="shared" si="2"/>
        <v>75</v>
      </c>
      <c r="K60" s="5">
        <v>48</v>
      </c>
      <c r="L60" s="5" t="s">
        <v>1</v>
      </c>
      <c r="M60" s="80">
        <f t="shared" si="6"/>
        <v>48</v>
      </c>
      <c r="N60" s="78">
        <f t="shared" si="7"/>
        <v>3600</v>
      </c>
      <c r="O60" s="111">
        <f t="shared" si="8"/>
        <v>3600</v>
      </c>
      <c r="P60" s="5">
        <v>60</v>
      </c>
      <c r="Q60" s="5">
        <v>72</v>
      </c>
      <c r="R60" s="5">
        <v>36</v>
      </c>
      <c r="S60" s="5">
        <v>45</v>
      </c>
      <c r="T60" s="102">
        <v>54</v>
      </c>
      <c r="U60" s="5">
        <v>154824</v>
      </c>
    </row>
    <row r="61" spans="1:21" x14ac:dyDescent="0.25">
      <c r="A61" s="31">
        <v>22</v>
      </c>
      <c r="B61" s="4" t="s">
        <v>749</v>
      </c>
      <c r="C61" s="5">
        <v>1</v>
      </c>
      <c r="D61" s="7">
        <v>0</v>
      </c>
      <c r="E61" s="3">
        <f t="shared" si="0"/>
        <v>1</v>
      </c>
      <c r="F61" s="3" t="s">
        <v>867</v>
      </c>
      <c r="G61" s="9">
        <v>0</v>
      </c>
      <c r="H61" s="5" t="s">
        <v>1</v>
      </c>
      <c r="I61" s="16">
        <f t="shared" si="1"/>
        <v>0</v>
      </c>
      <c r="J61" s="110">
        <f t="shared" si="2"/>
        <v>75</v>
      </c>
      <c r="K61" s="5">
        <v>50</v>
      </c>
      <c r="L61" s="5" t="s">
        <v>1</v>
      </c>
      <c r="M61" s="80">
        <f t="shared" si="6"/>
        <v>50</v>
      </c>
      <c r="N61" s="78">
        <f t="shared" si="7"/>
        <v>3750</v>
      </c>
      <c r="O61" s="111">
        <f t="shared" si="8"/>
        <v>3750</v>
      </c>
      <c r="P61" s="5">
        <v>62.5</v>
      </c>
      <c r="Q61" s="5">
        <v>75</v>
      </c>
      <c r="R61" s="5"/>
      <c r="S61" s="5"/>
      <c r="T61" s="102"/>
      <c r="U61" s="5">
        <v>154827</v>
      </c>
    </row>
    <row r="62" spans="1:21" x14ac:dyDescent="0.25">
      <c r="A62" s="31">
        <v>23</v>
      </c>
      <c r="B62" s="4" t="s">
        <v>750</v>
      </c>
      <c r="C62" s="5">
        <v>1</v>
      </c>
      <c r="D62" s="7">
        <v>0</v>
      </c>
      <c r="E62" s="3">
        <f t="shared" si="0"/>
        <v>1</v>
      </c>
      <c r="F62" s="3" t="s">
        <v>867</v>
      </c>
      <c r="G62" s="9">
        <v>0</v>
      </c>
      <c r="H62" s="5" t="s">
        <v>1</v>
      </c>
      <c r="I62" s="16">
        <f t="shared" si="1"/>
        <v>0</v>
      </c>
      <c r="J62" s="110">
        <f t="shared" si="2"/>
        <v>75</v>
      </c>
      <c r="K62" s="5">
        <v>52</v>
      </c>
      <c r="L62" s="5" t="s">
        <v>1</v>
      </c>
      <c r="M62" s="80">
        <f t="shared" si="6"/>
        <v>52</v>
      </c>
      <c r="N62" s="78">
        <f t="shared" si="7"/>
        <v>3900</v>
      </c>
      <c r="O62" s="111">
        <f t="shared" si="8"/>
        <v>3900</v>
      </c>
      <c r="P62" s="5">
        <v>65</v>
      </c>
      <c r="Q62" s="5">
        <v>78</v>
      </c>
      <c r="R62" s="5">
        <v>38</v>
      </c>
      <c r="S62" s="5">
        <v>47.5</v>
      </c>
      <c r="T62" s="102">
        <v>57</v>
      </c>
      <c r="U62" s="5">
        <v>154830</v>
      </c>
    </row>
    <row r="63" spans="1:21" x14ac:dyDescent="0.25">
      <c r="A63" s="31">
        <v>24</v>
      </c>
      <c r="B63" s="4" t="s">
        <v>751</v>
      </c>
      <c r="C63" s="5">
        <v>1</v>
      </c>
      <c r="D63" s="7">
        <v>0</v>
      </c>
      <c r="E63" s="3">
        <f t="shared" si="0"/>
        <v>1</v>
      </c>
      <c r="F63" s="3" t="s">
        <v>867</v>
      </c>
      <c r="G63" s="9">
        <v>0</v>
      </c>
      <c r="H63" s="5" t="s">
        <v>1</v>
      </c>
      <c r="I63" s="16">
        <f t="shared" si="1"/>
        <v>0</v>
      </c>
      <c r="J63" s="110">
        <f t="shared" si="2"/>
        <v>75</v>
      </c>
      <c r="K63" s="5">
        <v>56</v>
      </c>
      <c r="L63" s="5" t="s">
        <v>1</v>
      </c>
      <c r="M63" s="80">
        <f t="shared" si="6"/>
        <v>56</v>
      </c>
      <c r="N63" s="78">
        <f t="shared" si="7"/>
        <v>4200</v>
      </c>
      <c r="O63" s="111">
        <f t="shared" si="8"/>
        <v>4200</v>
      </c>
      <c r="P63" s="5">
        <v>70</v>
      </c>
      <c r="Q63" s="5">
        <v>84</v>
      </c>
      <c r="R63" s="5">
        <v>41.5</v>
      </c>
      <c r="S63" s="5">
        <v>51.88</v>
      </c>
      <c r="T63" s="102">
        <v>62.25</v>
      </c>
      <c r="U63" s="5">
        <v>154833</v>
      </c>
    </row>
    <row r="64" spans="1:21" x14ac:dyDescent="0.25">
      <c r="A64" s="31">
        <v>25</v>
      </c>
      <c r="B64" s="4" t="s">
        <v>752</v>
      </c>
      <c r="C64" s="5">
        <v>1</v>
      </c>
      <c r="D64" s="7">
        <v>0</v>
      </c>
      <c r="E64" s="3">
        <f t="shared" si="0"/>
        <v>1</v>
      </c>
      <c r="F64" s="3" t="s">
        <v>867</v>
      </c>
      <c r="G64" s="9">
        <v>0</v>
      </c>
      <c r="H64" s="5" t="s">
        <v>1</v>
      </c>
      <c r="I64" s="16">
        <f t="shared" si="1"/>
        <v>0</v>
      </c>
      <c r="J64" s="110">
        <f t="shared" si="2"/>
        <v>75</v>
      </c>
      <c r="K64" s="5">
        <v>60</v>
      </c>
      <c r="L64" s="5" t="s">
        <v>1</v>
      </c>
      <c r="M64" s="80">
        <f t="shared" si="6"/>
        <v>60</v>
      </c>
      <c r="N64" s="78">
        <f t="shared" si="7"/>
        <v>4500</v>
      </c>
      <c r="O64" s="111">
        <f t="shared" si="8"/>
        <v>4500</v>
      </c>
      <c r="P64" s="5">
        <v>75</v>
      </c>
      <c r="Q64" s="5">
        <v>90</v>
      </c>
      <c r="R64" s="5">
        <v>46</v>
      </c>
      <c r="S64" s="5">
        <v>57.5</v>
      </c>
      <c r="T64" s="102">
        <v>69</v>
      </c>
      <c r="U64" s="5">
        <v>154836</v>
      </c>
    </row>
    <row r="65" spans="1:21" x14ac:dyDescent="0.25">
      <c r="A65" s="31">
        <v>26</v>
      </c>
      <c r="B65" s="4" t="s">
        <v>753</v>
      </c>
      <c r="C65" s="5">
        <v>1</v>
      </c>
      <c r="D65" s="7">
        <v>0</v>
      </c>
      <c r="E65" s="3">
        <f t="shared" si="0"/>
        <v>1</v>
      </c>
      <c r="F65" s="3" t="s">
        <v>867</v>
      </c>
      <c r="G65" s="9">
        <v>0</v>
      </c>
      <c r="H65" s="5" t="s">
        <v>1</v>
      </c>
      <c r="I65" s="16">
        <f t="shared" si="1"/>
        <v>0</v>
      </c>
      <c r="J65" s="110">
        <f t="shared" si="2"/>
        <v>75</v>
      </c>
      <c r="K65" s="5">
        <v>65</v>
      </c>
      <c r="L65" s="5" t="s">
        <v>1</v>
      </c>
      <c r="M65" s="80">
        <f t="shared" si="6"/>
        <v>65</v>
      </c>
      <c r="N65" s="78">
        <f t="shared" si="7"/>
        <v>4875</v>
      </c>
      <c r="O65" s="111">
        <f t="shared" si="8"/>
        <v>4875</v>
      </c>
      <c r="P65" s="5">
        <v>81.25</v>
      </c>
      <c r="Q65" s="5">
        <v>97.5</v>
      </c>
      <c r="R65" s="5">
        <v>48</v>
      </c>
      <c r="S65" s="5">
        <v>60</v>
      </c>
      <c r="T65" s="102">
        <v>72</v>
      </c>
      <c r="U65" s="5">
        <v>154839</v>
      </c>
    </row>
    <row r="66" spans="1:21" x14ac:dyDescent="0.25">
      <c r="A66" s="31">
        <v>27</v>
      </c>
      <c r="B66" s="4" t="s">
        <v>754</v>
      </c>
      <c r="C66" s="5">
        <v>1</v>
      </c>
      <c r="D66" s="7">
        <v>0</v>
      </c>
      <c r="E66" s="3">
        <f t="shared" si="0"/>
        <v>1</v>
      </c>
      <c r="F66" s="3" t="s">
        <v>867</v>
      </c>
      <c r="G66" s="9">
        <v>0</v>
      </c>
      <c r="H66" s="5" t="s">
        <v>1</v>
      </c>
      <c r="I66" s="16">
        <f t="shared" si="1"/>
        <v>0</v>
      </c>
      <c r="J66" s="110">
        <f t="shared" si="2"/>
        <v>75</v>
      </c>
      <c r="K66" s="5">
        <v>70</v>
      </c>
      <c r="L66" s="5" t="s">
        <v>1</v>
      </c>
      <c r="M66" s="80">
        <f t="shared" si="6"/>
        <v>70</v>
      </c>
      <c r="N66" s="78">
        <f t="shared" si="7"/>
        <v>5250</v>
      </c>
      <c r="O66" s="111">
        <f t="shared" si="8"/>
        <v>5250</v>
      </c>
      <c r="P66" s="5">
        <v>87.5</v>
      </c>
      <c r="Q66" s="5">
        <v>105</v>
      </c>
      <c r="R66" s="5"/>
      <c r="S66" s="5"/>
      <c r="T66" s="102"/>
      <c r="U66" s="5">
        <v>154842</v>
      </c>
    </row>
    <row r="67" spans="1:21" x14ac:dyDescent="0.25">
      <c r="A67" s="31">
        <v>28</v>
      </c>
      <c r="B67" s="4" t="s">
        <v>755</v>
      </c>
      <c r="C67" s="5">
        <v>1</v>
      </c>
      <c r="D67" s="7">
        <v>0</v>
      </c>
      <c r="E67" s="3">
        <f t="shared" si="0"/>
        <v>1</v>
      </c>
      <c r="F67" s="3" t="s">
        <v>867</v>
      </c>
      <c r="G67" s="9">
        <v>0</v>
      </c>
      <c r="H67" s="5" t="s">
        <v>1</v>
      </c>
      <c r="I67" s="16">
        <f t="shared" si="1"/>
        <v>0</v>
      </c>
      <c r="J67" s="110">
        <f t="shared" si="2"/>
        <v>75</v>
      </c>
      <c r="K67" s="5">
        <v>75</v>
      </c>
      <c r="L67" s="5" t="s">
        <v>1</v>
      </c>
      <c r="M67" s="80">
        <f t="shared" si="6"/>
        <v>75</v>
      </c>
      <c r="N67" s="78">
        <f t="shared" si="7"/>
        <v>5625</v>
      </c>
      <c r="O67" s="111">
        <f t="shared" si="8"/>
        <v>5625</v>
      </c>
      <c r="P67" s="5">
        <v>93.75</v>
      </c>
      <c r="Q67" s="5">
        <v>112.5</v>
      </c>
      <c r="R67" s="5"/>
      <c r="S67" s="5"/>
      <c r="T67" s="102"/>
      <c r="U67" s="5">
        <v>154845</v>
      </c>
    </row>
    <row r="68" spans="1:21" x14ac:dyDescent="0.25">
      <c r="A68" s="31">
        <v>29</v>
      </c>
      <c r="B68" s="4" t="s">
        <v>756</v>
      </c>
      <c r="C68" s="5">
        <v>1</v>
      </c>
      <c r="D68" s="7">
        <v>0</v>
      </c>
      <c r="E68" s="3">
        <f t="shared" si="0"/>
        <v>1</v>
      </c>
      <c r="F68" s="3" t="s">
        <v>867</v>
      </c>
      <c r="G68" s="9">
        <v>0</v>
      </c>
      <c r="H68" s="5" t="s">
        <v>1</v>
      </c>
      <c r="I68" s="16">
        <f t="shared" si="1"/>
        <v>0</v>
      </c>
      <c r="J68" s="110">
        <f t="shared" si="2"/>
        <v>75</v>
      </c>
      <c r="K68" s="5">
        <v>80</v>
      </c>
      <c r="L68" s="5" t="s">
        <v>1</v>
      </c>
      <c r="M68" s="80">
        <f t="shared" si="6"/>
        <v>80</v>
      </c>
      <c r="N68" s="78">
        <f t="shared" si="7"/>
        <v>6000</v>
      </c>
      <c r="O68" s="111">
        <f t="shared" si="8"/>
        <v>6000</v>
      </c>
      <c r="P68" s="5">
        <v>100</v>
      </c>
      <c r="Q68" s="5">
        <v>120</v>
      </c>
      <c r="R68" s="5">
        <v>60</v>
      </c>
      <c r="S68" s="5">
        <v>75</v>
      </c>
      <c r="T68" s="102">
        <v>90</v>
      </c>
      <c r="U68" s="5">
        <v>154848</v>
      </c>
    </row>
    <row r="69" spans="1:21" x14ac:dyDescent="0.25">
      <c r="A69" s="31">
        <v>30</v>
      </c>
      <c r="B69" s="4" t="s">
        <v>757</v>
      </c>
      <c r="C69" s="5">
        <v>1</v>
      </c>
      <c r="D69" s="7">
        <v>0</v>
      </c>
      <c r="E69" s="3">
        <f t="shared" si="0"/>
        <v>1</v>
      </c>
      <c r="F69" s="3" t="s">
        <v>867</v>
      </c>
      <c r="G69" s="9">
        <v>0</v>
      </c>
      <c r="H69" s="5" t="s">
        <v>1</v>
      </c>
      <c r="I69" s="16">
        <f t="shared" si="1"/>
        <v>0</v>
      </c>
      <c r="J69" s="110">
        <f t="shared" si="2"/>
        <v>75</v>
      </c>
      <c r="K69" s="5">
        <v>85</v>
      </c>
      <c r="L69" s="5" t="s">
        <v>1</v>
      </c>
      <c r="M69" s="80">
        <f t="shared" si="6"/>
        <v>85</v>
      </c>
      <c r="N69" s="78">
        <f t="shared" si="7"/>
        <v>6375</v>
      </c>
      <c r="O69" s="111">
        <f t="shared" si="8"/>
        <v>6375</v>
      </c>
      <c r="P69" s="5">
        <v>106.25</v>
      </c>
      <c r="Q69" s="5">
        <v>127.5</v>
      </c>
      <c r="R69" s="5">
        <v>68.5</v>
      </c>
      <c r="S69" s="5">
        <v>85.63</v>
      </c>
      <c r="T69" s="102">
        <v>102.75</v>
      </c>
      <c r="U69" s="5">
        <v>154851</v>
      </c>
    </row>
    <row r="70" spans="1:21" x14ac:dyDescent="0.25">
      <c r="A70" s="31">
        <v>31</v>
      </c>
      <c r="B70" s="4" t="s">
        <v>758</v>
      </c>
      <c r="C70" s="5">
        <v>1</v>
      </c>
      <c r="D70" s="7">
        <v>0</v>
      </c>
      <c r="E70" s="3">
        <f t="shared" si="0"/>
        <v>1</v>
      </c>
      <c r="F70" s="3" t="s">
        <v>867</v>
      </c>
      <c r="G70" s="9">
        <v>0</v>
      </c>
      <c r="H70" s="5" t="s">
        <v>1</v>
      </c>
      <c r="I70" s="16">
        <f t="shared" ref="I70:I133" si="9">IF(H70="C",(G70/100)*E70,IF(H70="M",(G70/1000)*E70,G70*E70))</f>
        <v>0</v>
      </c>
      <c r="J70" s="110">
        <f t="shared" si="2"/>
        <v>75</v>
      </c>
      <c r="K70" s="5">
        <v>90</v>
      </c>
      <c r="L70" s="5" t="s">
        <v>1</v>
      </c>
      <c r="M70" s="80">
        <f t="shared" si="6"/>
        <v>90</v>
      </c>
      <c r="N70" s="78">
        <f t="shared" si="7"/>
        <v>6750</v>
      </c>
      <c r="O70" s="111">
        <f t="shared" si="8"/>
        <v>6750</v>
      </c>
      <c r="P70" s="5">
        <v>112.5</v>
      </c>
      <c r="Q70" s="5">
        <v>135</v>
      </c>
      <c r="R70" s="5"/>
      <c r="S70" s="5"/>
      <c r="T70" s="102"/>
      <c r="U70" s="5">
        <v>154854</v>
      </c>
    </row>
    <row r="71" spans="1:21" x14ac:dyDescent="0.25">
      <c r="A71" s="31">
        <v>32</v>
      </c>
      <c r="B71" s="4" t="s">
        <v>759</v>
      </c>
      <c r="C71" s="5">
        <v>1</v>
      </c>
      <c r="D71" s="7">
        <v>0</v>
      </c>
      <c r="E71" s="3">
        <f t="shared" ref="E71:E134" si="10">C71+(C71*D71)</f>
        <v>1</v>
      </c>
      <c r="F71" s="3" t="s">
        <v>867</v>
      </c>
      <c r="G71" s="9">
        <v>0</v>
      </c>
      <c r="H71" s="5" t="s">
        <v>1</v>
      </c>
      <c r="I71" s="16">
        <f t="shared" si="9"/>
        <v>0</v>
      </c>
      <c r="J71" s="110">
        <f t="shared" si="2"/>
        <v>75</v>
      </c>
      <c r="K71" s="5">
        <v>95</v>
      </c>
      <c r="L71" s="5" t="s">
        <v>1</v>
      </c>
      <c r="M71" s="80">
        <f t="shared" si="6"/>
        <v>95</v>
      </c>
      <c r="N71" s="78">
        <f t="shared" si="7"/>
        <v>7125</v>
      </c>
      <c r="O71" s="111">
        <f t="shared" si="8"/>
        <v>7125</v>
      </c>
      <c r="P71" s="5">
        <v>118.75</v>
      </c>
      <c r="Q71" s="5">
        <v>142.5</v>
      </c>
      <c r="R71" s="5"/>
      <c r="S71" s="5"/>
      <c r="T71" s="102"/>
      <c r="U71" s="5">
        <v>154857</v>
      </c>
    </row>
    <row r="72" spans="1:21" x14ac:dyDescent="0.25">
      <c r="A72" s="31"/>
      <c r="B72" s="4"/>
      <c r="C72" s="5"/>
      <c r="D72" s="7"/>
      <c r="E72" s="3"/>
      <c r="F72" s="3"/>
      <c r="G72" s="9"/>
      <c r="H72" s="5"/>
      <c r="I72" s="16"/>
      <c r="J72" s="4"/>
      <c r="K72" s="5"/>
      <c r="L72" s="5"/>
      <c r="M72" s="15"/>
      <c r="N72" s="16"/>
      <c r="O72" s="42"/>
      <c r="P72" s="5"/>
      <c r="Q72" s="5"/>
      <c r="R72" s="5"/>
      <c r="S72" s="5"/>
      <c r="T72" s="102"/>
      <c r="U72" s="5"/>
    </row>
    <row r="73" spans="1:21" x14ac:dyDescent="0.25">
      <c r="A73" s="31">
        <v>1</v>
      </c>
      <c r="B73" s="4" t="s">
        <v>760</v>
      </c>
      <c r="C73" s="5">
        <v>1</v>
      </c>
      <c r="D73" s="7">
        <v>0</v>
      </c>
      <c r="E73" s="3">
        <f t="shared" si="10"/>
        <v>1</v>
      </c>
      <c r="F73" s="3" t="s">
        <v>867</v>
      </c>
      <c r="G73" s="9">
        <v>0</v>
      </c>
      <c r="H73" s="5" t="s">
        <v>1</v>
      </c>
      <c r="I73" s="16">
        <f t="shared" si="9"/>
        <v>0</v>
      </c>
      <c r="J73" s="110">
        <f t="shared" si="2"/>
        <v>75</v>
      </c>
      <c r="K73" s="5">
        <v>6</v>
      </c>
      <c r="L73" s="5" t="s">
        <v>1</v>
      </c>
      <c r="M73" s="80">
        <f t="shared" ref="M73:M104" si="11">IF(L73="C",(K73/100)*E73,IF(L73="M",(K73/1000)*E73,K73*E73))</f>
        <v>6</v>
      </c>
      <c r="N73" s="78">
        <f t="shared" ref="N73:N104" si="12">M73*J73</f>
        <v>450</v>
      </c>
      <c r="O73" s="111">
        <f t="shared" ref="O73:O104" si="13">N73+I73</f>
        <v>450</v>
      </c>
      <c r="P73" s="5">
        <v>7.5</v>
      </c>
      <c r="Q73" s="5">
        <v>9</v>
      </c>
      <c r="R73" s="5"/>
      <c r="S73" s="5"/>
      <c r="T73" s="102"/>
      <c r="U73" s="5">
        <v>154860</v>
      </c>
    </row>
    <row r="74" spans="1:21" x14ac:dyDescent="0.25">
      <c r="A74" s="31">
        <v>2</v>
      </c>
      <c r="B74" s="4" t="s">
        <v>761</v>
      </c>
      <c r="C74" s="5">
        <v>1</v>
      </c>
      <c r="D74" s="7">
        <v>0</v>
      </c>
      <c r="E74" s="3">
        <f t="shared" si="10"/>
        <v>1</v>
      </c>
      <c r="F74" s="3" t="s">
        <v>867</v>
      </c>
      <c r="G74" s="9">
        <v>0</v>
      </c>
      <c r="H74" s="5" t="s">
        <v>1</v>
      </c>
      <c r="I74" s="16">
        <f t="shared" si="9"/>
        <v>0</v>
      </c>
      <c r="J74" s="110">
        <f t="shared" si="2"/>
        <v>75</v>
      </c>
      <c r="K74" s="5">
        <v>6</v>
      </c>
      <c r="L74" s="5" t="s">
        <v>1</v>
      </c>
      <c r="M74" s="80">
        <f t="shared" si="11"/>
        <v>6</v>
      </c>
      <c r="N74" s="78">
        <f t="shared" si="12"/>
        <v>450</v>
      </c>
      <c r="O74" s="111">
        <f t="shared" si="13"/>
        <v>450</v>
      </c>
      <c r="P74" s="5">
        <v>7.5</v>
      </c>
      <c r="Q74" s="5">
        <v>9</v>
      </c>
      <c r="R74" s="5"/>
      <c r="S74" s="5"/>
      <c r="T74" s="102"/>
      <c r="U74" s="5">
        <v>154863</v>
      </c>
    </row>
    <row r="75" spans="1:21" x14ac:dyDescent="0.25">
      <c r="A75" s="31">
        <v>3</v>
      </c>
      <c r="B75" s="4" t="s">
        <v>762</v>
      </c>
      <c r="C75" s="5">
        <v>1</v>
      </c>
      <c r="D75" s="7">
        <v>0</v>
      </c>
      <c r="E75" s="3">
        <f t="shared" si="10"/>
        <v>1</v>
      </c>
      <c r="F75" s="3" t="s">
        <v>867</v>
      </c>
      <c r="G75" s="9">
        <v>0</v>
      </c>
      <c r="H75" s="5" t="s">
        <v>1</v>
      </c>
      <c r="I75" s="16">
        <f t="shared" si="9"/>
        <v>0</v>
      </c>
      <c r="J75" s="110">
        <f t="shared" ref="J75:J137" si="14">$O$4</f>
        <v>75</v>
      </c>
      <c r="K75" s="5">
        <v>6</v>
      </c>
      <c r="L75" s="5" t="s">
        <v>1</v>
      </c>
      <c r="M75" s="80">
        <f t="shared" si="11"/>
        <v>6</v>
      </c>
      <c r="N75" s="78">
        <f t="shared" si="12"/>
        <v>450</v>
      </c>
      <c r="O75" s="111">
        <f t="shared" si="13"/>
        <v>450</v>
      </c>
      <c r="P75" s="5">
        <v>7.5</v>
      </c>
      <c r="Q75" s="5">
        <v>9</v>
      </c>
      <c r="R75" s="5">
        <v>10</v>
      </c>
      <c r="S75" s="5">
        <v>12.5</v>
      </c>
      <c r="T75" s="102">
        <v>15</v>
      </c>
      <c r="U75" s="5">
        <v>154866</v>
      </c>
    </row>
    <row r="76" spans="1:21" x14ac:dyDescent="0.25">
      <c r="A76" s="31">
        <v>4</v>
      </c>
      <c r="B76" s="4" t="s">
        <v>763</v>
      </c>
      <c r="C76" s="5">
        <v>1</v>
      </c>
      <c r="D76" s="7">
        <v>0</v>
      </c>
      <c r="E76" s="3">
        <f t="shared" si="10"/>
        <v>1</v>
      </c>
      <c r="F76" s="3" t="s">
        <v>867</v>
      </c>
      <c r="G76" s="9">
        <v>0</v>
      </c>
      <c r="H76" s="5" t="s">
        <v>1</v>
      </c>
      <c r="I76" s="16">
        <f t="shared" si="9"/>
        <v>0</v>
      </c>
      <c r="J76" s="110">
        <f t="shared" si="14"/>
        <v>75</v>
      </c>
      <c r="K76" s="5">
        <v>8</v>
      </c>
      <c r="L76" s="5" t="s">
        <v>1</v>
      </c>
      <c r="M76" s="80">
        <f t="shared" si="11"/>
        <v>8</v>
      </c>
      <c r="N76" s="78">
        <f t="shared" si="12"/>
        <v>600</v>
      </c>
      <c r="O76" s="111">
        <f t="shared" si="13"/>
        <v>600</v>
      </c>
      <c r="P76" s="5">
        <v>10</v>
      </c>
      <c r="Q76" s="5">
        <v>12</v>
      </c>
      <c r="R76" s="5">
        <v>11.5</v>
      </c>
      <c r="S76" s="5">
        <v>14.38</v>
      </c>
      <c r="T76" s="102">
        <v>17.25</v>
      </c>
      <c r="U76" s="5">
        <v>154869</v>
      </c>
    </row>
    <row r="77" spans="1:21" x14ac:dyDescent="0.25">
      <c r="A77" s="31">
        <v>5</v>
      </c>
      <c r="B77" s="4" t="s">
        <v>764</v>
      </c>
      <c r="C77" s="5">
        <v>1</v>
      </c>
      <c r="D77" s="7">
        <v>0</v>
      </c>
      <c r="E77" s="3">
        <f t="shared" si="10"/>
        <v>1</v>
      </c>
      <c r="F77" s="3" t="s">
        <v>867</v>
      </c>
      <c r="G77" s="9">
        <v>0</v>
      </c>
      <c r="H77" s="5" t="s">
        <v>1</v>
      </c>
      <c r="I77" s="16">
        <f t="shared" si="9"/>
        <v>0</v>
      </c>
      <c r="J77" s="110">
        <f t="shared" si="14"/>
        <v>75</v>
      </c>
      <c r="K77" s="5">
        <v>10</v>
      </c>
      <c r="L77" s="5" t="s">
        <v>1</v>
      </c>
      <c r="M77" s="80">
        <f t="shared" si="11"/>
        <v>10</v>
      </c>
      <c r="N77" s="78">
        <f t="shared" si="12"/>
        <v>750</v>
      </c>
      <c r="O77" s="111">
        <f t="shared" si="13"/>
        <v>750</v>
      </c>
      <c r="P77" s="5">
        <v>12.5</v>
      </c>
      <c r="Q77" s="5">
        <v>15</v>
      </c>
      <c r="R77" s="5">
        <v>12.5</v>
      </c>
      <c r="S77" s="5">
        <v>15.63</v>
      </c>
      <c r="T77" s="102">
        <v>18.75</v>
      </c>
      <c r="U77" s="5">
        <v>154872</v>
      </c>
    </row>
    <row r="78" spans="1:21" x14ac:dyDescent="0.25">
      <c r="A78" s="31">
        <v>6</v>
      </c>
      <c r="B78" s="4" t="s">
        <v>765</v>
      </c>
      <c r="C78" s="5">
        <v>1</v>
      </c>
      <c r="D78" s="7">
        <v>0</v>
      </c>
      <c r="E78" s="3">
        <f t="shared" si="10"/>
        <v>1</v>
      </c>
      <c r="F78" s="3" t="s">
        <v>867</v>
      </c>
      <c r="G78" s="9">
        <v>0</v>
      </c>
      <c r="H78" s="5" t="s">
        <v>1</v>
      </c>
      <c r="I78" s="16">
        <f t="shared" si="9"/>
        <v>0</v>
      </c>
      <c r="J78" s="110">
        <f t="shared" si="14"/>
        <v>75</v>
      </c>
      <c r="K78" s="5">
        <v>12</v>
      </c>
      <c r="L78" s="5" t="s">
        <v>1</v>
      </c>
      <c r="M78" s="80">
        <f t="shared" si="11"/>
        <v>12</v>
      </c>
      <c r="N78" s="78">
        <f t="shared" si="12"/>
        <v>900</v>
      </c>
      <c r="O78" s="111">
        <f t="shared" si="13"/>
        <v>900</v>
      </c>
      <c r="P78" s="5">
        <v>15</v>
      </c>
      <c r="Q78" s="5">
        <v>18</v>
      </c>
      <c r="R78" s="5">
        <v>13</v>
      </c>
      <c r="S78" s="5">
        <v>16.25</v>
      </c>
      <c r="T78" s="102">
        <v>19.5</v>
      </c>
      <c r="U78" s="5">
        <v>154875</v>
      </c>
    </row>
    <row r="79" spans="1:21" x14ac:dyDescent="0.25">
      <c r="A79" s="31">
        <v>7</v>
      </c>
      <c r="B79" s="4" t="s">
        <v>766</v>
      </c>
      <c r="C79" s="5">
        <v>1</v>
      </c>
      <c r="D79" s="7">
        <v>0</v>
      </c>
      <c r="E79" s="3">
        <f t="shared" si="10"/>
        <v>1</v>
      </c>
      <c r="F79" s="3" t="s">
        <v>867</v>
      </c>
      <c r="G79" s="9">
        <v>0</v>
      </c>
      <c r="H79" s="5" t="s">
        <v>1</v>
      </c>
      <c r="I79" s="16">
        <f t="shared" si="9"/>
        <v>0</v>
      </c>
      <c r="J79" s="110">
        <f t="shared" si="14"/>
        <v>75</v>
      </c>
      <c r="K79" s="5">
        <v>14</v>
      </c>
      <c r="L79" s="5" t="s">
        <v>1</v>
      </c>
      <c r="M79" s="80">
        <f t="shared" si="11"/>
        <v>14</v>
      </c>
      <c r="N79" s="78">
        <f t="shared" si="12"/>
        <v>1050</v>
      </c>
      <c r="O79" s="111">
        <f t="shared" si="13"/>
        <v>1050</v>
      </c>
      <c r="P79" s="5">
        <v>17.5</v>
      </c>
      <c r="Q79" s="5">
        <v>21</v>
      </c>
      <c r="R79" s="5"/>
      <c r="S79" s="5"/>
      <c r="T79" s="102"/>
      <c r="U79" s="5">
        <v>154878</v>
      </c>
    </row>
    <row r="80" spans="1:21" x14ac:dyDescent="0.25">
      <c r="A80" s="31">
        <v>8</v>
      </c>
      <c r="B80" s="4" t="s">
        <v>767</v>
      </c>
      <c r="C80" s="5">
        <v>1</v>
      </c>
      <c r="D80" s="7">
        <v>0</v>
      </c>
      <c r="E80" s="3">
        <f t="shared" si="10"/>
        <v>1</v>
      </c>
      <c r="F80" s="3" t="s">
        <v>867</v>
      </c>
      <c r="G80" s="9">
        <v>0</v>
      </c>
      <c r="H80" s="5" t="s">
        <v>1</v>
      </c>
      <c r="I80" s="16">
        <f t="shared" si="9"/>
        <v>0</v>
      </c>
      <c r="J80" s="110">
        <f t="shared" si="14"/>
        <v>75</v>
      </c>
      <c r="K80" s="5">
        <v>16</v>
      </c>
      <c r="L80" s="5" t="s">
        <v>1</v>
      </c>
      <c r="M80" s="80">
        <f t="shared" si="11"/>
        <v>16</v>
      </c>
      <c r="N80" s="78">
        <f t="shared" si="12"/>
        <v>1200</v>
      </c>
      <c r="O80" s="111">
        <f t="shared" si="13"/>
        <v>1200</v>
      </c>
      <c r="P80" s="5">
        <v>20</v>
      </c>
      <c r="Q80" s="5">
        <v>24</v>
      </c>
      <c r="R80" s="5"/>
      <c r="S80" s="5"/>
      <c r="T80" s="102"/>
      <c r="U80" s="5">
        <v>154881</v>
      </c>
    </row>
    <row r="81" spans="1:21" x14ac:dyDescent="0.25">
      <c r="A81" s="31">
        <v>9</v>
      </c>
      <c r="B81" s="4" t="s">
        <v>768</v>
      </c>
      <c r="C81" s="5">
        <v>1</v>
      </c>
      <c r="D81" s="7">
        <v>0</v>
      </c>
      <c r="E81" s="3">
        <f t="shared" si="10"/>
        <v>1</v>
      </c>
      <c r="F81" s="3" t="s">
        <v>867</v>
      </c>
      <c r="G81" s="9">
        <v>0</v>
      </c>
      <c r="H81" s="5" t="s">
        <v>1</v>
      </c>
      <c r="I81" s="16">
        <f t="shared" si="9"/>
        <v>0</v>
      </c>
      <c r="J81" s="110">
        <f t="shared" si="14"/>
        <v>75</v>
      </c>
      <c r="K81" s="5">
        <v>18</v>
      </c>
      <c r="L81" s="5" t="s">
        <v>1</v>
      </c>
      <c r="M81" s="80">
        <f t="shared" si="11"/>
        <v>18</v>
      </c>
      <c r="N81" s="78">
        <f t="shared" si="12"/>
        <v>1350</v>
      </c>
      <c r="O81" s="111">
        <f t="shared" si="13"/>
        <v>1350</v>
      </c>
      <c r="P81" s="5">
        <v>22.5</v>
      </c>
      <c r="Q81" s="5">
        <v>27</v>
      </c>
      <c r="R81" s="5">
        <v>15</v>
      </c>
      <c r="S81" s="5">
        <v>18.75</v>
      </c>
      <c r="T81" s="102">
        <v>22.5</v>
      </c>
      <c r="U81" s="5">
        <v>154884</v>
      </c>
    </row>
    <row r="82" spans="1:21" x14ac:dyDescent="0.25">
      <c r="A82" s="31">
        <v>10</v>
      </c>
      <c r="B82" s="4" t="s">
        <v>769</v>
      </c>
      <c r="C82" s="5">
        <v>1</v>
      </c>
      <c r="D82" s="7">
        <v>0</v>
      </c>
      <c r="E82" s="3">
        <f t="shared" si="10"/>
        <v>1</v>
      </c>
      <c r="F82" s="3" t="s">
        <v>867</v>
      </c>
      <c r="G82" s="9">
        <v>0</v>
      </c>
      <c r="H82" s="5" t="s">
        <v>1</v>
      </c>
      <c r="I82" s="16">
        <f t="shared" si="9"/>
        <v>0</v>
      </c>
      <c r="J82" s="110">
        <f t="shared" si="14"/>
        <v>75</v>
      </c>
      <c r="K82" s="5">
        <v>20</v>
      </c>
      <c r="L82" s="5" t="s">
        <v>1</v>
      </c>
      <c r="M82" s="80">
        <f t="shared" si="11"/>
        <v>20</v>
      </c>
      <c r="N82" s="78">
        <f t="shared" si="12"/>
        <v>1500</v>
      </c>
      <c r="O82" s="111">
        <f t="shared" si="13"/>
        <v>1500</v>
      </c>
      <c r="P82" s="5">
        <v>25</v>
      </c>
      <c r="Q82" s="5">
        <v>30</v>
      </c>
      <c r="R82" s="5">
        <v>15.5</v>
      </c>
      <c r="S82" s="5">
        <v>19.38</v>
      </c>
      <c r="T82" s="102">
        <v>23.25</v>
      </c>
      <c r="U82" s="5">
        <v>154887</v>
      </c>
    </row>
    <row r="83" spans="1:21" x14ac:dyDescent="0.25">
      <c r="A83" s="31">
        <v>11</v>
      </c>
      <c r="B83" s="4" t="s">
        <v>770</v>
      </c>
      <c r="C83" s="5">
        <v>1</v>
      </c>
      <c r="D83" s="7">
        <v>0</v>
      </c>
      <c r="E83" s="3">
        <f t="shared" si="10"/>
        <v>1</v>
      </c>
      <c r="F83" s="3" t="s">
        <v>867</v>
      </c>
      <c r="G83" s="9">
        <v>0</v>
      </c>
      <c r="H83" s="5" t="s">
        <v>1</v>
      </c>
      <c r="I83" s="16">
        <f t="shared" si="9"/>
        <v>0</v>
      </c>
      <c r="J83" s="110">
        <f t="shared" si="14"/>
        <v>75</v>
      </c>
      <c r="K83" s="5">
        <v>20</v>
      </c>
      <c r="L83" s="5" t="s">
        <v>1</v>
      </c>
      <c r="M83" s="80">
        <f t="shared" si="11"/>
        <v>20</v>
      </c>
      <c r="N83" s="78">
        <f t="shared" si="12"/>
        <v>1500</v>
      </c>
      <c r="O83" s="111">
        <f t="shared" si="13"/>
        <v>1500</v>
      </c>
      <c r="P83" s="5">
        <v>25</v>
      </c>
      <c r="Q83" s="5">
        <v>30</v>
      </c>
      <c r="R83" s="5">
        <v>16</v>
      </c>
      <c r="S83" s="5">
        <v>20</v>
      </c>
      <c r="T83" s="102">
        <v>24</v>
      </c>
      <c r="U83" s="5">
        <v>154890</v>
      </c>
    </row>
    <row r="84" spans="1:21" x14ac:dyDescent="0.25">
      <c r="A84" s="31">
        <v>12</v>
      </c>
      <c r="B84" s="4" t="s">
        <v>771</v>
      </c>
      <c r="C84" s="5">
        <v>1</v>
      </c>
      <c r="D84" s="7">
        <v>0</v>
      </c>
      <c r="E84" s="3">
        <f t="shared" si="10"/>
        <v>1</v>
      </c>
      <c r="F84" s="3" t="s">
        <v>867</v>
      </c>
      <c r="G84" s="9">
        <v>0</v>
      </c>
      <c r="H84" s="5" t="s">
        <v>1</v>
      </c>
      <c r="I84" s="16">
        <f t="shared" si="9"/>
        <v>0</v>
      </c>
      <c r="J84" s="110">
        <f t="shared" si="14"/>
        <v>75</v>
      </c>
      <c r="K84" s="5">
        <v>22</v>
      </c>
      <c r="L84" s="5" t="s">
        <v>1</v>
      </c>
      <c r="M84" s="80">
        <f t="shared" si="11"/>
        <v>22</v>
      </c>
      <c r="N84" s="78">
        <f t="shared" si="12"/>
        <v>1650</v>
      </c>
      <c r="O84" s="111">
        <f t="shared" si="13"/>
        <v>1650</v>
      </c>
      <c r="P84" s="5">
        <v>27.5</v>
      </c>
      <c r="Q84" s="5">
        <v>33</v>
      </c>
      <c r="R84" s="5">
        <v>17</v>
      </c>
      <c r="S84" s="5">
        <v>21.25</v>
      </c>
      <c r="T84" s="102">
        <v>25.5</v>
      </c>
      <c r="U84" s="5">
        <v>154893</v>
      </c>
    </row>
    <row r="85" spans="1:21" x14ac:dyDescent="0.25">
      <c r="A85" s="31">
        <v>13</v>
      </c>
      <c r="B85" s="4" t="s">
        <v>772</v>
      </c>
      <c r="C85" s="5">
        <v>1</v>
      </c>
      <c r="D85" s="7">
        <v>0</v>
      </c>
      <c r="E85" s="3">
        <f t="shared" si="10"/>
        <v>1</v>
      </c>
      <c r="F85" s="3" t="s">
        <v>867</v>
      </c>
      <c r="G85" s="9">
        <v>0</v>
      </c>
      <c r="H85" s="5"/>
      <c r="I85" s="16">
        <f t="shared" si="9"/>
        <v>0</v>
      </c>
      <c r="J85" s="110">
        <f t="shared" si="14"/>
        <v>75</v>
      </c>
      <c r="K85" s="5">
        <v>28</v>
      </c>
      <c r="L85" s="5"/>
      <c r="M85" s="80">
        <f t="shared" si="11"/>
        <v>28</v>
      </c>
      <c r="N85" s="78">
        <f t="shared" si="12"/>
        <v>2100</v>
      </c>
      <c r="O85" s="111">
        <f t="shared" si="13"/>
        <v>2100</v>
      </c>
      <c r="P85" s="5">
        <v>35</v>
      </c>
      <c r="Q85" s="5">
        <v>42</v>
      </c>
      <c r="R85" s="5">
        <v>19</v>
      </c>
      <c r="S85" s="5">
        <v>23.75</v>
      </c>
      <c r="T85" s="102">
        <v>28.5</v>
      </c>
      <c r="U85" s="5">
        <v>154896</v>
      </c>
    </row>
    <row r="86" spans="1:21" x14ac:dyDescent="0.25">
      <c r="A86" s="31">
        <v>14</v>
      </c>
      <c r="B86" s="4" t="s">
        <v>773</v>
      </c>
      <c r="C86" s="5">
        <v>1</v>
      </c>
      <c r="D86" s="7">
        <v>0</v>
      </c>
      <c r="E86" s="3">
        <f t="shared" si="10"/>
        <v>1</v>
      </c>
      <c r="F86" s="3" t="s">
        <v>867</v>
      </c>
      <c r="G86" s="9">
        <v>0</v>
      </c>
      <c r="H86" s="5" t="s">
        <v>1</v>
      </c>
      <c r="I86" s="16">
        <f t="shared" si="9"/>
        <v>0</v>
      </c>
      <c r="J86" s="110">
        <f t="shared" si="14"/>
        <v>75</v>
      </c>
      <c r="K86" s="5">
        <v>30</v>
      </c>
      <c r="L86" s="5" t="s">
        <v>1</v>
      </c>
      <c r="M86" s="80">
        <f t="shared" si="11"/>
        <v>30</v>
      </c>
      <c r="N86" s="78">
        <f t="shared" si="12"/>
        <v>2250</v>
      </c>
      <c r="O86" s="111">
        <f t="shared" si="13"/>
        <v>2250</v>
      </c>
      <c r="P86" s="5">
        <v>37.5</v>
      </c>
      <c r="Q86" s="5">
        <v>45</v>
      </c>
      <c r="R86" s="5">
        <v>23</v>
      </c>
      <c r="S86" s="5">
        <v>28.75</v>
      </c>
      <c r="T86" s="102">
        <v>34.5</v>
      </c>
      <c r="U86" s="5">
        <v>154899</v>
      </c>
    </row>
    <row r="87" spans="1:21" x14ac:dyDescent="0.25">
      <c r="A87" s="31">
        <v>15</v>
      </c>
      <c r="B87" s="4" t="s">
        <v>774</v>
      </c>
      <c r="C87" s="5">
        <v>1</v>
      </c>
      <c r="D87" s="7">
        <v>0</v>
      </c>
      <c r="E87" s="3">
        <f t="shared" si="10"/>
        <v>1</v>
      </c>
      <c r="F87" s="3" t="s">
        <v>867</v>
      </c>
      <c r="G87" s="9">
        <v>0</v>
      </c>
      <c r="H87" s="5" t="s">
        <v>1</v>
      </c>
      <c r="I87" s="16">
        <f t="shared" si="9"/>
        <v>0</v>
      </c>
      <c r="J87" s="110">
        <f t="shared" si="14"/>
        <v>75</v>
      </c>
      <c r="K87" s="5">
        <v>34</v>
      </c>
      <c r="L87" s="5" t="s">
        <v>1</v>
      </c>
      <c r="M87" s="80">
        <f t="shared" si="11"/>
        <v>34</v>
      </c>
      <c r="N87" s="78">
        <f t="shared" si="12"/>
        <v>2550</v>
      </c>
      <c r="O87" s="111">
        <f t="shared" si="13"/>
        <v>2550</v>
      </c>
      <c r="P87" s="5">
        <v>42.5</v>
      </c>
      <c r="Q87" s="5">
        <v>51</v>
      </c>
      <c r="R87" s="5">
        <v>27.5</v>
      </c>
      <c r="S87" s="5">
        <v>34.380000000000003</v>
      </c>
      <c r="T87" s="102">
        <v>41.25</v>
      </c>
      <c r="U87" s="5">
        <v>154902</v>
      </c>
    </row>
    <row r="88" spans="1:21" x14ac:dyDescent="0.25">
      <c r="A88" s="31">
        <v>16</v>
      </c>
      <c r="B88" s="4" t="s">
        <v>775</v>
      </c>
      <c r="C88" s="5">
        <v>1</v>
      </c>
      <c r="D88" s="7">
        <v>0</v>
      </c>
      <c r="E88" s="3">
        <f t="shared" si="10"/>
        <v>1</v>
      </c>
      <c r="F88" s="3" t="s">
        <v>867</v>
      </c>
      <c r="G88" s="9">
        <v>0</v>
      </c>
      <c r="H88" s="5" t="s">
        <v>1</v>
      </c>
      <c r="I88" s="16">
        <f t="shared" si="9"/>
        <v>0</v>
      </c>
      <c r="J88" s="110">
        <f t="shared" si="14"/>
        <v>75</v>
      </c>
      <c r="K88" s="5">
        <v>38</v>
      </c>
      <c r="L88" s="5" t="s">
        <v>1</v>
      </c>
      <c r="M88" s="80">
        <f t="shared" si="11"/>
        <v>38</v>
      </c>
      <c r="N88" s="78">
        <f t="shared" si="12"/>
        <v>2850</v>
      </c>
      <c r="O88" s="111">
        <f t="shared" si="13"/>
        <v>2850</v>
      </c>
      <c r="P88" s="5">
        <v>47.5</v>
      </c>
      <c r="Q88" s="5">
        <v>57</v>
      </c>
      <c r="R88" s="5">
        <v>31</v>
      </c>
      <c r="S88" s="5">
        <v>38.75</v>
      </c>
      <c r="T88" s="102">
        <v>46.5</v>
      </c>
      <c r="U88" s="5">
        <v>154905</v>
      </c>
    </row>
    <row r="89" spans="1:21" x14ac:dyDescent="0.25">
      <c r="A89" s="31">
        <v>17</v>
      </c>
      <c r="B89" s="4" t="s">
        <v>776</v>
      </c>
      <c r="C89" s="5">
        <v>1</v>
      </c>
      <c r="D89" s="7">
        <v>0</v>
      </c>
      <c r="E89" s="3">
        <f t="shared" si="10"/>
        <v>1</v>
      </c>
      <c r="F89" s="3" t="s">
        <v>867</v>
      </c>
      <c r="G89" s="9">
        <v>0</v>
      </c>
      <c r="H89" s="5" t="s">
        <v>1</v>
      </c>
      <c r="I89" s="16">
        <f t="shared" si="9"/>
        <v>0</v>
      </c>
      <c r="J89" s="110">
        <f t="shared" si="14"/>
        <v>75</v>
      </c>
      <c r="K89" s="5">
        <v>40</v>
      </c>
      <c r="L89" s="5" t="s">
        <v>1</v>
      </c>
      <c r="M89" s="80">
        <f t="shared" si="11"/>
        <v>40</v>
      </c>
      <c r="N89" s="78">
        <f t="shared" si="12"/>
        <v>3000</v>
      </c>
      <c r="O89" s="111">
        <f t="shared" si="13"/>
        <v>3000</v>
      </c>
      <c r="P89" s="5">
        <v>50</v>
      </c>
      <c r="Q89" s="5">
        <v>60</v>
      </c>
      <c r="R89" s="5">
        <v>32.5</v>
      </c>
      <c r="S89" s="5">
        <v>40.630000000000003</v>
      </c>
      <c r="T89" s="102">
        <v>48.75</v>
      </c>
      <c r="U89" s="5">
        <v>154908</v>
      </c>
    </row>
    <row r="90" spans="1:21" x14ac:dyDescent="0.25">
      <c r="A90" s="31">
        <v>18</v>
      </c>
      <c r="B90" s="4" t="s">
        <v>777</v>
      </c>
      <c r="C90" s="5">
        <v>1</v>
      </c>
      <c r="D90" s="7">
        <v>0</v>
      </c>
      <c r="E90" s="3">
        <f t="shared" si="10"/>
        <v>1</v>
      </c>
      <c r="F90" s="3" t="s">
        <v>867</v>
      </c>
      <c r="G90" s="9">
        <v>0</v>
      </c>
      <c r="H90" s="5" t="s">
        <v>1</v>
      </c>
      <c r="I90" s="16">
        <f t="shared" si="9"/>
        <v>0</v>
      </c>
      <c r="J90" s="110">
        <f t="shared" si="14"/>
        <v>75</v>
      </c>
      <c r="K90" s="5">
        <v>42</v>
      </c>
      <c r="L90" s="5" t="s">
        <v>1</v>
      </c>
      <c r="M90" s="80">
        <f t="shared" si="11"/>
        <v>42</v>
      </c>
      <c r="N90" s="78">
        <f t="shared" si="12"/>
        <v>3150</v>
      </c>
      <c r="O90" s="111">
        <f t="shared" si="13"/>
        <v>3150</v>
      </c>
      <c r="P90" s="5">
        <v>52.5</v>
      </c>
      <c r="Q90" s="5">
        <v>63</v>
      </c>
      <c r="R90" s="5">
        <v>34</v>
      </c>
      <c r="S90" s="5">
        <v>42.5</v>
      </c>
      <c r="T90" s="102">
        <v>51</v>
      </c>
      <c r="U90" s="5">
        <v>154911</v>
      </c>
    </row>
    <row r="91" spans="1:21" x14ac:dyDescent="0.25">
      <c r="A91" s="31">
        <v>19</v>
      </c>
      <c r="B91" s="4" t="s">
        <v>778</v>
      </c>
      <c r="C91" s="5">
        <v>1</v>
      </c>
      <c r="D91" s="7">
        <v>0</v>
      </c>
      <c r="E91" s="3">
        <f t="shared" si="10"/>
        <v>1</v>
      </c>
      <c r="F91" s="3" t="s">
        <v>867</v>
      </c>
      <c r="G91" s="9">
        <v>0</v>
      </c>
      <c r="H91" s="5" t="s">
        <v>1</v>
      </c>
      <c r="I91" s="16">
        <f t="shared" si="9"/>
        <v>0</v>
      </c>
      <c r="J91" s="110">
        <f t="shared" si="14"/>
        <v>75</v>
      </c>
      <c r="K91" s="5">
        <v>44</v>
      </c>
      <c r="L91" s="5" t="s">
        <v>1</v>
      </c>
      <c r="M91" s="80">
        <f t="shared" si="11"/>
        <v>44</v>
      </c>
      <c r="N91" s="78">
        <f t="shared" si="12"/>
        <v>3300</v>
      </c>
      <c r="O91" s="111">
        <f t="shared" si="13"/>
        <v>3300</v>
      </c>
      <c r="P91" s="5">
        <v>55</v>
      </c>
      <c r="Q91" s="5">
        <v>66</v>
      </c>
      <c r="R91" s="5">
        <v>34.5</v>
      </c>
      <c r="S91" s="5">
        <v>43.13</v>
      </c>
      <c r="T91" s="102">
        <v>51.75</v>
      </c>
      <c r="U91" s="5">
        <v>154914</v>
      </c>
    </row>
    <row r="92" spans="1:21" x14ac:dyDescent="0.25">
      <c r="A92" s="31">
        <v>20</v>
      </c>
      <c r="B92" s="4" t="s">
        <v>779</v>
      </c>
      <c r="C92" s="5">
        <v>1</v>
      </c>
      <c r="D92" s="7">
        <v>0</v>
      </c>
      <c r="E92" s="3">
        <f t="shared" si="10"/>
        <v>1</v>
      </c>
      <c r="F92" s="3" t="s">
        <v>867</v>
      </c>
      <c r="G92" s="9">
        <v>0</v>
      </c>
      <c r="H92" s="5" t="s">
        <v>1</v>
      </c>
      <c r="I92" s="16">
        <f t="shared" si="9"/>
        <v>0</v>
      </c>
      <c r="J92" s="110">
        <f t="shared" si="14"/>
        <v>75</v>
      </c>
      <c r="K92" s="5">
        <v>46</v>
      </c>
      <c r="L92" s="5" t="s">
        <v>1</v>
      </c>
      <c r="M92" s="80">
        <f t="shared" si="11"/>
        <v>46</v>
      </c>
      <c r="N92" s="78">
        <f t="shared" si="12"/>
        <v>3450</v>
      </c>
      <c r="O92" s="111">
        <f t="shared" si="13"/>
        <v>3450</v>
      </c>
      <c r="P92" s="5">
        <v>57.5</v>
      </c>
      <c r="Q92" s="5">
        <v>69</v>
      </c>
      <c r="R92" s="5">
        <v>35</v>
      </c>
      <c r="S92" s="5">
        <v>43.75</v>
      </c>
      <c r="T92" s="102">
        <v>52.5</v>
      </c>
      <c r="U92" s="5">
        <v>154917</v>
      </c>
    </row>
    <row r="93" spans="1:21" x14ac:dyDescent="0.25">
      <c r="A93" s="31">
        <v>21</v>
      </c>
      <c r="B93" s="4" t="s">
        <v>780</v>
      </c>
      <c r="C93" s="5">
        <v>1</v>
      </c>
      <c r="D93" s="7">
        <v>0</v>
      </c>
      <c r="E93" s="3">
        <f t="shared" si="10"/>
        <v>1</v>
      </c>
      <c r="F93" s="3" t="s">
        <v>867</v>
      </c>
      <c r="G93" s="9">
        <v>0</v>
      </c>
      <c r="H93" s="5" t="s">
        <v>1</v>
      </c>
      <c r="I93" s="16">
        <f t="shared" si="9"/>
        <v>0</v>
      </c>
      <c r="J93" s="110">
        <f t="shared" si="14"/>
        <v>75</v>
      </c>
      <c r="K93" s="5">
        <v>48</v>
      </c>
      <c r="L93" s="5" t="s">
        <v>1</v>
      </c>
      <c r="M93" s="80">
        <f t="shared" si="11"/>
        <v>48</v>
      </c>
      <c r="N93" s="78">
        <f t="shared" si="12"/>
        <v>3600</v>
      </c>
      <c r="O93" s="111">
        <f t="shared" si="13"/>
        <v>3600</v>
      </c>
      <c r="P93" s="5">
        <v>60</v>
      </c>
      <c r="Q93" s="5">
        <v>72</v>
      </c>
      <c r="R93" s="5">
        <v>36</v>
      </c>
      <c r="S93" s="5">
        <v>45</v>
      </c>
      <c r="T93" s="102">
        <v>54</v>
      </c>
      <c r="U93" s="5">
        <v>154920</v>
      </c>
    </row>
    <row r="94" spans="1:21" x14ac:dyDescent="0.25">
      <c r="A94" s="31">
        <v>22</v>
      </c>
      <c r="B94" s="4" t="s">
        <v>781</v>
      </c>
      <c r="C94" s="5">
        <v>1</v>
      </c>
      <c r="D94" s="7">
        <v>0</v>
      </c>
      <c r="E94" s="3">
        <f t="shared" si="10"/>
        <v>1</v>
      </c>
      <c r="F94" s="3" t="s">
        <v>867</v>
      </c>
      <c r="G94" s="9">
        <v>0</v>
      </c>
      <c r="H94" s="5" t="s">
        <v>1</v>
      </c>
      <c r="I94" s="16">
        <f t="shared" si="9"/>
        <v>0</v>
      </c>
      <c r="J94" s="110">
        <f t="shared" si="14"/>
        <v>75</v>
      </c>
      <c r="K94" s="5">
        <v>50</v>
      </c>
      <c r="L94" s="5" t="s">
        <v>1</v>
      </c>
      <c r="M94" s="80">
        <f t="shared" si="11"/>
        <v>50</v>
      </c>
      <c r="N94" s="78">
        <f t="shared" si="12"/>
        <v>3750</v>
      </c>
      <c r="O94" s="111">
        <f t="shared" si="13"/>
        <v>3750</v>
      </c>
      <c r="P94" s="5">
        <v>62.5</v>
      </c>
      <c r="Q94" s="5">
        <v>75</v>
      </c>
      <c r="R94" s="5"/>
      <c r="S94" s="5"/>
      <c r="T94" s="102"/>
      <c r="U94" s="5">
        <v>154923</v>
      </c>
    </row>
    <row r="95" spans="1:21" x14ac:dyDescent="0.25">
      <c r="A95" s="31">
        <v>23</v>
      </c>
      <c r="B95" s="4" t="s">
        <v>782</v>
      </c>
      <c r="C95" s="5">
        <v>1</v>
      </c>
      <c r="D95" s="7">
        <v>0</v>
      </c>
      <c r="E95" s="3">
        <f t="shared" si="10"/>
        <v>1</v>
      </c>
      <c r="F95" s="3" t="s">
        <v>867</v>
      </c>
      <c r="G95" s="9">
        <v>0</v>
      </c>
      <c r="H95" s="5" t="s">
        <v>1</v>
      </c>
      <c r="I95" s="16">
        <f t="shared" si="9"/>
        <v>0</v>
      </c>
      <c r="J95" s="110">
        <f t="shared" si="14"/>
        <v>75</v>
      </c>
      <c r="K95" s="5">
        <v>52</v>
      </c>
      <c r="L95" s="5" t="s">
        <v>1</v>
      </c>
      <c r="M95" s="80">
        <f t="shared" si="11"/>
        <v>52</v>
      </c>
      <c r="N95" s="78">
        <f t="shared" si="12"/>
        <v>3900</v>
      </c>
      <c r="O95" s="111">
        <f t="shared" si="13"/>
        <v>3900</v>
      </c>
      <c r="P95" s="5">
        <v>65</v>
      </c>
      <c r="Q95" s="5">
        <v>78</v>
      </c>
      <c r="R95" s="5">
        <v>38</v>
      </c>
      <c r="S95" s="5">
        <v>47.5</v>
      </c>
      <c r="T95" s="102">
        <v>57</v>
      </c>
      <c r="U95" s="5">
        <v>154926</v>
      </c>
    </row>
    <row r="96" spans="1:21" x14ac:dyDescent="0.25">
      <c r="A96" s="31">
        <v>24</v>
      </c>
      <c r="B96" s="4" t="s">
        <v>783</v>
      </c>
      <c r="C96" s="5">
        <v>1</v>
      </c>
      <c r="D96" s="7">
        <v>0</v>
      </c>
      <c r="E96" s="3">
        <f t="shared" si="10"/>
        <v>1</v>
      </c>
      <c r="F96" s="3" t="s">
        <v>867</v>
      </c>
      <c r="G96" s="9">
        <v>0</v>
      </c>
      <c r="H96" s="5" t="s">
        <v>1</v>
      </c>
      <c r="I96" s="16">
        <f t="shared" si="9"/>
        <v>0</v>
      </c>
      <c r="J96" s="110">
        <f t="shared" si="14"/>
        <v>75</v>
      </c>
      <c r="K96" s="5">
        <v>56</v>
      </c>
      <c r="L96" s="5" t="s">
        <v>1</v>
      </c>
      <c r="M96" s="80">
        <f t="shared" si="11"/>
        <v>56</v>
      </c>
      <c r="N96" s="78">
        <f t="shared" si="12"/>
        <v>4200</v>
      </c>
      <c r="O96" s="111">
        <f t="shared" si="13"/>
        <v>4200</v>
      </c>
      <c r="P96" s="5">
        <v>70</v>
      </c>
      <c r="Q96" s="5">
        <v>84</v>
      </c>
      <c r="R96" s="5">
        <v>41.5</v>
      </c>
      <c r="S96" s="5">
        <v>51.88</v>
      </c>
      <c r="T96" s="102">
        <v>62.25</v>
      </c>
      <c r="U96" s="5">
        <v>154929</v>
      </c>
    </row>
    <row r="97" spans="1:21" x14ac:dyDescent="0.25">
      <c r="A97" s="31">
        <v>25</v>
      </c>
      <c r="B97" s="4" t="s">
        <v>784</v>
      </c>
      <c r="C97" s="5">
        <v>1</v>
      </c>
      <c r="D97" s="7">
        <v>0</v>
      </c>
      <c r="E97" s="3">
        <f t="shared" si="10"/>
        <v>1</v>
      </c>
      <c r="F97" s="3" t="s">
        <v>867</v>
      </c>
      <c r="G97" s="9">
        <v>0</v>
      </c>
      <c r="H97" s="5" t="s">
        <v>1</v>
      </c>
      <c r="I97" s="16">
        <f t="shared" si="9"/>
        <v>0</v>
      </c>
      <c r="J97" s="110">
        <f t="shared" si="14"/>
        <v>75</v>
      </c>
      <c r="K97" s="5">
        <v>60</v>
      </c>
      <c r="L97" s="5" t="s">
        <v>1</v>
      </c>
      <c r="M97" s="80">
        <f t="shared" si="11"/>
        <v>60</v>
      </c>
      <c r="N97" s="78">
        <f t="shared" si="12"/>
        <v>4500</v>
      </c>
      <c r="O97" s="111">
        <f t="shared" si="13"/>
        <v>4500</v>
      </c>
      <c r="P97" s="5">
        <v>75</v>
      </c>
      <c r="Q97" s="5">
        <v>90</v>
      </c>
      <c r="R97" s="5">
        <v>46</v>
      </c>
      <c r="S97" s="5">
        <v>57.5</v>
      </c>
      <c r="T97" s="102">
        <v>69</v>
      </c>
      <c r="U97" s="5">
        <v>154932</v>
      </c>
    </row>
    <row r="98" spans="1:21" x14ac:dyDescent="0.25">
      <c r="A98" s="31">
        <v>26</v>
      </c>
      <c r="B98" s="4" t="s">
        <v>785</v>
      </c>
      <c r="C98" s="5">
        <v>1</v>
      </c>
      <c r="D98" s="7">
        <v>0</v>
      </c>
      <c r="E98" s="3">
        <f t="shared" si="10"/>
        <v>1</v>
      </c>
      <c r="F98" s="3" t="s">
        <v>867</v>
      </c>
      <c r="G98" s="9">
        <v>0</v>
      </c>
      <c r="H98" s="5" t="s">
        <v>1</v>
      </c>
      <c r="I98" s="16">
        <f t="shared" si="9"/>
        <v>0</v>
      </c>
      <c r="J98" s="110">
        <f t="shared" si="14"/>
        <v>75</v>
      </c>
      <c r="K98" s="5">
        <v>65</v>
      </c>
      <c r="L98" s="5" t="s">
        <v>1</v>
      </c>
      <c r="M98" s="80">
        <f t="shared" si="11"/>
        <v>65</v>
      </c>
      <c r="N98" s="78">
        <f t="shared" si="12"/>
        <v>4875</v>
      </c>
      <c r="O98" s="111">
        <f t="shared" si="13"/>
        <v>4875</v>
      </c>
      <c r="P98" s="5">
        <v>81.25</v>
      </c>
      <c r="Q98" s="5">
        <v>97.5</v>
      </c>
      <c r="R98" s="5">
        <v>48</v>
      </c>
      <c r="S98" s="5">
        <v>60</v>
      </c>
      <c r="T98" s="102">
        <v>72</v>
      </c>
      <c r="U98" s="5">
        <v>154935</v>
      </c>
    </row>
    <row r="99" spans="1:21" x14ac:dyDescent="0.25">
      <c r="A99" s="31">
        <v>27</v>
      </c>
      <c r="B99" s="4" t="s">
        <v>786</v>
      </c>
      <c r="C99" s="5">
        <v>1</v>
      </c>
      <c r="D99" s="7">
        <v>0</v>
      </c>
      <c r="E99" s="3">
        <f t="shared" si="10"/>
        <v>1</v>
      </c>
      <c r="F99" s="3" t="s">
        <v>867</v>
      </c>
      <c r="G99" s="9">
        <v>0</v>
      </c>
      <c r="H99" s="5" t="s">
        <v>1</v>
      </c>
      <c r="I99" s="16">
        <f t="shared" si="9"/>
        <v>0</v>
      </c>
      <c r="J99" s="110">
        <f t="shared" si="14"/>
        <v>75</v>
      </c>
      <c r="K99" s="5">
        <v>70</v>
      </c>
      <c r="L99" s="5" t="s">
        <v>1</v>
      </c>
      <c r="M99" s="80">
        <f t="shared" si="11"/>
        <v>70</v>
      </c>
      <c r="N99" s="78">
        <f t="shared" si="12"/>
        <v>5250</v>
      </c>
      <c r="O99" s="111">
        <f t="shared" si="13"/>
        <v>5250</v>
      </c>
      <c r="P99" s="5">
        <v>87.5</v>
      </c>
      <c r="Q99" s="5">
        <v>105</v>
      </c>
      <c r="R99" s="5"/>
      <c r="S99" s="5"/>
      <c r="T99" s="102"/>
      <c r="U99" s="5">
        <v>154938</v>
      </c>
    </row>
    <row r="100" spans="1:21" x14ac:dyDescent="0.25">
      <c r="A100" s="31">
        <v>28</v>
      </c>
      <c r="B100" s="4" t="s">
        <v>787</v>
      </c>
      <c r="C100" s="5">
        <v>1</v>
      </c>
      <c r="D100" s="7">
        <v>0</v>
      </c>
      <c r="E100" s="3">
        <f t="shared" si="10"/>
        <v>1</v>
      </c>
      <c r="F100" s="3" t="s">
        <v>867</v>
      </c>
      <c r="G100" s="9">
        <v>0</v>
      </c>
      <c r="H100" s="5" t="s">
        <v>1</v>
      </c>
      <c r="I100" s="16">
        <f t="shared" si="9"/>
        <v>0</v>
      </c>
      <c r="J100" s="110">
        <f t="shared" si="14"/>
        <v>75</v>
      </c>
      <c r="K100" s="5">
        <v>75</v>
      </c>
      <c r="L100" s="5" t="s">
        <v>1</v>
      </c>
      <c r="M100" s="80">
        <f t="shared" si="11"/>
        <v>75</v>
      </c>
      <c r="N100" s="78">
        <f t="shared" si="12"/>
        <v>5625</v>
      </c>
      <c r="O100" s="111">
        <f t="shared" si="13"/>
        <v>5625</v>
      </c>
      <c r="P100" s="5">
        <v>93.75</v>
      </c>
      <c r="Q100" s="5">
        <v>112.5</v>
      </c>
      <c r="R100" s="5"/>
      <c r="S100" s="5"/>
      <c r="T100" s="102"/>
      <c r="U100" s="5">
        <v>154941</v>
      </c>
    </row>
    <row r="101" spans="1:21" x14ac:dyDescent="0.25">
      <c r="A101" s="31">
        <v>29</v>
      </c>
      <c r="B101" s="4" t="s">
        <v>788</v>
      </c>
      <c r="C101" s="5">
        <v>1</v>
      </c>
      <c r="D101" s="7">
        <v>0</v>
      </c>
      <c r="E101" s="3">
        <f t="shared" si="10"/>
        <v>1</v>
      </c>
      <c r="F101" s="3" t="s">
        <v>867</v>
      </c>
      <c r="G101" s="9">
        <v>0</v>
      </c>
      <c r="H101" s="5" t="s">
        <v>1</v>
      </c>
      <c r="I101" s="16">
        <f t="shared" si="9"/>
        <v>0</v>
      </c>
      <c r="J101" s="110">
        <f t="shared" si="14"/>
        <v>75</v>
      </c>
      <c r="K101" s="5">
        <v>80</v>
      </c>
      <c r="L101" s="5" t="s">
        <v>1</v>
      </c>
      <c r="M101" s="80">
        <f t="shared" si="11"/>
        <v>80</v>
      </c>
      <c r="N101" s="78">
        <f t="shared" si="12"/>
        <v>6000</v>
      </c>
      <c r="O101" s="111">
        <f t="shared" si="13"/>
        <v>6000</v>
      </c>
      <c r="P101" s="5">
        <v>100</v>
      </c>
      <c r="Q101" s="5">
        <v>120</v>
      </c>
      <c r="R101" s="5">
        <v>60</v>
      </c>
      <c r="S101" s="5">
        <v>75</v>
      </c>
      <c r="T101" s="102">
        <v>90</v>
      </c>
      <c r="U101" s="5">
        <v>154944</v>
      </c>
    </row>
    <row r="102" spans="1:21" x14ac:dyDescent="0.25">
      <c r="A102" s="31">
        <v>30</v>
      </c>
      <c r="B102" s="4" t="s">
        <v>789</v>
      </c>
      <c r="C102" s="5">
        <v>1</v>
      </c>
      <c r="D102" s="7">
        <v>0</v>
      </c>
      <c r="E102" s="3">
        <f t="shared" si="10"/>
        <v>1</v>
      </c>
      <c r="F102" s="3" t="s">
        <v>867</v>
      </c>
      <c r="G102" s="9">
        <v>0</v>
      </c>
      <c r="H102" s="5" t="s">
        <v>1</v>
      </c>
      <c r="I102" s="16">
        <f t="shared" si="9"/>
        <v>0</v>
      </c>
      <c r="J102" s="110">
        <f t="shared" si="14"/>
        <v>75</v>
      </c>
      <c r="K102" s="5">
        <v>85</v>
      </c>
      <c r="L102" s="5" t="s">
        <v>1</v>
      </c>
      <c r="M102" s="80">
        <f t="shared" si="11"/>
        <v>85</v>
      </c>
      <c r="N102" s="78">
        <f t="shared" si="12"/>
        <v>6375</v>
      </c>
      <c r="O102" s="111">
        <f t="shared" si="13"/>
        <v>6375</v>
      </c>
      <c r="P102" s="5">
        <v>106.25</v>
      </c>
      <c r="Q102" s="5">
        <v>127.5</v>
      </c>
      <c r="R102" s="5">
        <v>68.5</v>
      </c>
      <c r="S102" s="5">
        <v>85.63</v>
      </c>
      <c r="T102" s="102">
        <v>102.75</v>
      </c>
      <c r="U102" s="5">
        <v>154947</v>
      </c>
    </row>
    <row r="103" spans="1:21" x14ac:dyDescent="0.25">
      <c r="A103" s="31">
        <v>31</v>
      </c>
      <c r="B103" s="4" t="s">
        <v>790</v>
      </c>
      <c r="C103" s="5">
        <v>1</v>
      </c>
      <c r="D103" s="7">
        <v>0</v>
      </c>
      <c r="E103" s="3">
        <f t="shared" si="10"/>
        <v>1</v>
      </c>
      <c r="F103" s="3" t="s">
        <v>867</v>
      </c>
      <c r="G103" s="9">
        <v>0</v>
      </c>
      <c r="H103" s="5" t="s">
        <v>1</v>
      </c>
      <c r="I103" s="16">
        <f t="shared" si="9"/>
        <v>0</v>
      </c>
      <c r="J103" s="110">
        <f t="shared" si="14"/>
        <v>75</v>
      </c>
      <c r="K103" s="5">
        <v>90</v>
      </c>
      <c r="L103" s="5" t="s">
        <v>1</v>
      </c>
      <c r="M103" s="80">
        <f t="shared" si="11"/>
        <v>90</v>
      </c>
      <c r="N103" s="78">
        <f t="shared" si="12"/>
        <v>6750</v>
      </c>
      <c r="O103" s="111">
        <f t="shared" si="13"/>
        <v>6750</v>
      </c>
      <c r="P103" s="5">
        <v>112.5</v>
      </c>
      <c r="Q103" s="5">
        <v>135</v>
      </c>
      <c r="R103" s="5"/>
      <c r="S103" s="5"/>
      <c r="T103" s="102"/>
      <c r="U103" s="5">
        <v>154950</v>
      </c>
    </row>
    <row r="104" spans="1:21" x14ac:dyDescent="0.25">
      <c r="A104" s="31">
        <v>32</v>
      </c>
      <c r="B104" s="4" t="s">
        <v>791</v>
      </c>
      <c r="C104" s="5">
        <v>1</v>
      </c>
      <c r="D104" s="7">
        <v>0</v>
      </c>
      <c r="E104" s="3">
        <f t="shared" si="10"/>
        <v>1</v>
      </c>
      <c r="F104" s="3" t="s">
        <v>867</v>
      </c>
      <c r="G104" s="9">
        <v>0</v>
      </c>
      <c r="H104" s="5" t="s">
        <v>1</v>
      </c>
      <c r="I104" s="16">
        <f t="shared" si="9"/>
        <v>0</v>
      </c>
      <c r="J104" s="110">
        <f t="shared" si="14"/>
        <v>75</v>
      </c>
      <c r="K104" s="5">
        <v>95</v>
      </c>
      <c r="L104" s="5" t="s">
        <v>1</v>
      </c>
      <c r="M104" s="80">
        <f t="shared" si="11"/>
        <v>95</v>
      </c>
      <c r="N104" s="78">
        <f t="shared" si="12"/>
        <v>7125</v>
      </c>
      <c r="O104" s="111">
        <f t="shared" si="13"/>
        <v>7125</v>
      </c>
      <c r="P104" s="5">
        <v>118.75</v>
      </c>
      <c r="Q104" s="5">
        <v>142.5</v>
      </c>
      <c r="R104" s="5"/>
      <c r="S104" s="5"/>
      <c r="T104" s="102"/>
      <c r="U104" s="5">
        <v>154953</v>
      </c>
    </row>
    <row r="105" spans="1:21" x14ac:dyDescent="0.25">
      <c r="A105" s="31"/>
      <c r="B105" s="4"/>
      <c r="C105" s="5"/>
      <c r="D105" s="7"/>
      <c r="E105" s="3"/>
      <c r="F105" s="3"/>
      <c r="G105" s="9"/>
      <c r="H105" s="5"/>
      <c r="I105" s="16"/>
      <c r="J105" s="4"/>
      <c r="K105" s="5"/>
      <c r="L105" s="5"/>
      <c r="M105" s="15"/>
      <c r="N105" s="16"/>
      <c r="O105" s="42"/>
      <c r="P105" s="5"/>
      <c r="Q105" s="5"/>
      <c r="R105" s="5"/>
      <c r="S105" s="5"/>
      <c r="T105" s="102"/>
      <c r="U105" s="5"/>
    </row>
    <row r="106" spans="1:21" x14ac:dyDescent="0.25">
      <c r="A106" s="31">
        <v>1</v>
      </c>
      <c r="B106" s="4" t="s">
        <v>792</v>
      </c>
      <c r="C106" s="5">
        <v>1</v>
      </c>
      <c r="D106" s="7">
        <v>0</v>
      </c>
      <c r="E106" s="3">
        <f t="shared" si="10"/>
        <v>1</v>
      </c>
      <c r="F106" s="3" t="s">
        <v>867</v>
      </c>
      <c r="G106" s="9">
        <v>0</v>
      </c>
      <c r="H106" s="5" t="s">
        <v>1</v>
      </c>
      <c r="I106" s="16">
        <f t="shared" si="9"/>
        <v>0</v>
      </c>
      <c r="J106" s="110">
        <f t="shared" si="14"/>
        <v>75</v>
      </c>
      <c r="K106" s="5">
        <v>8</v>
      </c>
      <c r="L106" s="5" t="s">
        <v>1</v>
      </c>
      <c r="M106" s="80">
        <f t="shared" ref="M106:M137" si="15">IF(L106="C",(K106/100)*E106,IF(L106="M",(K106/1000)*E106,K106*E106))</f>
        <v>8</v>
      </c>
      <c r="N106" s="78">
        <f t="shared" ref="N106:N137" si="16">M106*J106</f>
        <v>600</v>
      </c>
      <c r="O106" s="111">
        <f t="shared" ref="O106:O137" si="17">N106+I106</f>
        <v>600</v>
      </c>
      <c r="P106" s="5">
        <v>10</v>
      </c>
      <c r="Q106" s="5">
        <v>12</v>
      </c>
      <c r="R106" s="5"/>
      <c r="S106" s="5"/>
      <c r="T106" s="102"/>
      <c r="U106" s="5">
        <v>154956</v>
      </c>
    </row>
    <row r="107" spans="1:21" x14ac:dyDescent="0.25">
      <c r="A107" s="31">
        <v>2</v>
      </c>
      <c r="B107" s="4" t="s">
        <v>793</v>
      </c>
      <c r="C107" s="5">
        <v>1</v>
      </c>
      <c r="D107" s="7">
        <v>0</v>
      </c>
      <c r="E107" s="3">
        <f t="shared" si="10"/>
        <v>1</v>
      </c>
      <c r="F107" s="3" t="s">
        <v>867</v>
      </c>
      <c r="G107" s="9">
        <v>0</v>
      </c>
      <c r="H107" s="5" t="s">
        <v>1</v>
      </c>
      <c r="I107" s="16">
        <f t="shared" si="9"/>
        <v>0</v>
      </c>
      <c r="J107" s="110">
        <f t="shared" si="14"/>
        <v>75</v>
      </c>
      <c r="K107" s="5">
        <v>8</v>
      </c>
      <c r="L107" s="5" t="s">
        <v>1</v>
      </c>
      <c r="M107" s="80">
        <f t="shared" si="15"/>
        <v>8</v>
      </c>
      <c r="N107" s="78">
        <f t="shared" si="16"/>
        <v>600</v>
      </c>
      <c r="O107" s="111">
        <f t="shared" si="17"/>
        <v>600</v>
      </c>
      <c r="P107" s="5">
        <v>10</v>
      </c>
      <c r="Q107" s="5">
        <v>12</v>
      </c>
      <c r="R107" s="5"/>
      <c r="S107" s="5"/>
      <c r="T107" s="102"/>
      <c r="U107" s="5">
        <v>154959</v>
      </c>
    </row>
    <row r="108" spans="1:21" x14ac:dyDescent="0.25">
      <c r="A108" s="31">
        <v>3</v>
      </c>
      <c r="B108" s="4" t="s">
        <v>794</v>
      </c>
      <c r="C108" s="5">
        <v>1</v>
      </c>
      <c r="D108" s="7">
        <v>0</v>
      </c>
      <c r="E108" s="3">
        <f t="shared" si="10"/>
        <v>1</v>
      </c>
      <c r="F108" s="3" t="s">
        <v>867</v>
      </c>
      <c r="G108" s="9">
        <v>0</v>
      </c>
      <c r="H108" s="5" t="s">
        <v>1</v>
      </c>
      <c r="I108" s="16">
        <f t="shared" si="9"/>
        <v>0</v>
      </c>
      <c r="J108" s="110">
        <f t="shared" si="14"/>
        <v>75</v>
      </c>
      <c r="K108" s="5">
        <v>8</v>
      </c>
      <c r="L108" s="5" t="s">
        <v>1</v>
      </c>
      <c r="M108" s="80">
        <f t="shared" si="15"/>
        <v>8</v>
      </c>
      <c r="N108" s="78">
        <f t="shared" si="16"/>
        <v>600</v>
      </c>
      <c r="O108" s="111">
        <f t="shared" si="17"/>
        <v>600</v>
      </c>
      <c r="P108" s="5">
        <v>10</v>
      </c>
      <c r="Q108" s="5">
        <v>12</v>
      </c>
      <c r="R108" s="5">
        <v>10</v>
      </c>
      <c r="S108" s="5">
        <v>12.5</v>
      </c>
      <c r="T108" s="102">
        <v>15</v>
      </c>
      <c r="U108" s="5">
        <v>154962</v>
      </c>
    </row>
    <row r="109" spans="1:21" x14ac:dyDescent="0.25">
      <c r="A109" s="31">
        <v>4</v>
      </c>
      <c r="B109" s="4" t="s">
        <v>795</v>
      </c>
      <c r="C109" s="5">
        <v>1</v>
      </c>
      <c r="D109" s="7">
        <v>0</v>
      </c>
      <c r="E109" s="3">
        <f t="shared" si="10"/>
        <v>1</v>
      </c>
      <c r="F109" s="3" t="s">
        <v>867</v>
      </c>
      <c r="G109" s="9">
        <v>0</v>
      </c>
      <c r="H109" s="5" t="s">
        <v>1</v>
      </c>
      <c r="I109" s="16">
        <f t="shared" si="9"/>
        <v>0</v>
      </c>
      <c r="J109" s="110">
        <f t="shared" si="14"/>
        <v>75</v>
      </c>
      <c r="K109" s="5">
        <v>12</v>
      </c>
      <c r="L109" s="5" t="s">
        <v>1</v>
      </c>
      <c r="M109" s="80">
        <f t="shared" si="15"/>
        <v>12</v>
      </c>
      <c r="N109" s="78">
        <f t="shared" si="16"/>
        <v>900</v>
      </c>
      <c r="O109" s="111">
        <f t="shared" si="17"/>
        <v>900</v>
      </c>
      <c r="P109" s="5">
        <v>15</v>
      </c>
      <c r="Q109" s="5">
        <v>18</v>
      </c>
      <c r="R109" s="5">
        <v>11.5</v>
      </c>
      <c r="S109" s="5">
        <v>14.38</v>
      </c>
      <c r="T109" s="102">
        <v>17.25</v>
      </c>
      <c r="U109" s="5">
        <v>154965</v>
      </c>
    </row>
    <row r="110" spans="1:21" x14ac:dyDescent="0.25">
      <c r="A110" s="31">
        <v>5</v>
      </c>
      <c r="B110" s="4" t="s">
        <v>796</v>
      </c>
      <c r="C110" s="5">
        <v>1</v>
      </c>
      <c r="D110" s="7">
        <v>0</v>
      </c>
      <c r="E110" s="3">
        <f t="shared" si="10"/>
        <v>1</v>
      </c>
      <c r="F110" s="3" t="s">
        <v>867</v>
      </c>
      <c r="G110" s="9">
        <v>0</v>
      </c>
      <c r="H110" s="5" t="s">
        <v>1</v>
      </c>
      <c r="I110" s="16">
        <f t="shared" si="9"/>
        <v>0</v>
      </c>
      <c r="J110" s="110">
        <f t="shared" si="14"/>
        <v>75</v>
      </c>
      <c r="K110" s="5">
        <v>14</v>
      </c>
      <c r="L110" s="5" t="s">
        <v>1</v>
      </c>
      <c r="M110" s="80">
        <f t="shared" si="15"/>
        <v>14</v>
      </c>
      <c r="N110" s="78">
        <f t="shared" si="16"/>
        <v>1050</v>
      </c>
      <c r="O110" s="111">
        <f t="shared" si="17"/>
        <v>1050</v>
      </c>
      <c r="P110" s="5">
        <v>17.5</v>
      </c>
      <c r="Q110" s="5">
        <v>21</v>
      </c>
      <c r="R110" s="5">
        <v>12.5</v>
      </c>
      <c r="S110" s="5">
        <v>15.63</v>
      </c>
      <c r="T110" s="102">
        <v>18.75</v>
      </c>
      <c r="U110" s="5">
        <v>154968</v>
      </c>
    </row>
    <row r="111" spans="1:21" x14ac:dyDescent="0.25">
      <c r="A111" s="31">
        <v>6</v>
      </c>
      <c r="B111" s="4" t="s">
        <v>797</v>
      </c>
      <c r="C111" s="5">
        <v>1</v>
      </c>
      <c r="D111" s="7">
        <v>0</v>
      </c>
      <c r="E111" s="3">
        <f t="shared" si="10"/>
        <v>1</v>
      </c>
      <c r="F111" s="3" t="s">
        <v>867</v>
      </c>
      <c r="G111" s="9">
        <v>0</v>
      </c>
      <c r="H111" s="5" t="s">
        <v>1</v>
      </c>
      <c r="I111" s="16">
        <f t="shared" si="9"/>
        <v>0</v>
      </c>
      <c r="J111" s="110">
        <f t="shared" si="14"/>
        <v>75</v>
      </c>
      <c r="K111" s="5">
        <v>16</v>
      </c>
      <c r="L111" s="5" t="s">
        <v>1</v>
      </c>
      <c r="M111" s="80">
        <f t="shared" si="15"/>
        <v>16</v>
      </c>
      <c r="N111" s="78">
        <f t="shared" si="16"/>
        <v>1200</v>
      </c>
      <c r="O111" s="111">
        <f t="shared" si="17"/>
        <v>1200</v>
      </c>
      <c r="P111" s="5">
        <v>20</v>
      </c>
      <c r="Q111" s="5">
        <v>24</v>
      </c>
      <c r="R111" s="5">
        <v>13</v>
      </c>
      <c r="S111" s="5">
        <v>16.25</v>
      </c>
      <c r="T111" s="102">
        <v>19.5</v>
      </c>
      <c r="U111" s="5">
        <v>154971</v>
      </c>
    </row>
    <row r="112" spans="1:21" x14ac:dyDescent="0.25">
      <c r="A112" s="31">
        <v>7</v>
      </c>
      <c r="B112" s="4" t="s">
        <v>798</v>
      </c>
      <c r="C112" s="5">
        <v>1</v>
      </c>
      <c r="D112" s="7">
        <v>0</v>
      </c>
      <c r="E112" s="3">
        <f t="shared" si="10"/>
        <v>1</v>
      </c>
      <c r="F112" s="3" t="s">
        <v>867</v>
      </c>
      <c r="G112" s="9">
        <v>0</v>
      </c>
      <c r="H112" s="5" t="s">
        <v>1</v>
      </c>
      <c r="I112" s="16">
        <f t="shared" si="9"/>
        <v>0</v>
      </c>
      <c r="J112" s="110">
        <f t="shared" si="14"/>
        <v>75</v>
      </c>
      <c r="K112" s="5">
        <v>18</v>
      </c>
      <c r="L112" s="5" t="s">
        <v>1</v>
      </c>
      <c r="M112" s="80">
        <f t="shared" si="15"/>
        <v>18</v>
      </c>
      <c r="N112" s="78">
        <f t="shared" si="16"/>
        <v>1350</v>
      </c>
      <c r="O112" s="111">
        <f t="shared" si="17"/>
        <v>1350</v>
      </c>
      <c r="P112" s="5">
        <v>22.5</v>
      </c>
      <c r="Q112" s="5">
        <v>27</v>
      </c>
      <c r="R112" s="5"/>
      <c r="S112" s="5"/>
      <c r="T112" s="102"/>
      <c r="U112" s="5">
        <v>154974</v>
      </c>
    </row>
    <row r="113" spans="1:21" x14ac:dyDescent="0.25">
      <c r="A113" s="31">
        <v>8</v>
      </c>
      <c r="B113" s="4" t="s">
        <v>799</v>
      </c>
      <c r="C113" s="5">
        <v>1</v>
      </c>
      <c r="D113" s="7">
        <v>0</v>
      </c>
      <c r="E113" s="3">
        <f t="shared" si="10"/>
        <v>1</v>
      </c>
      <c r="F113" s="3" t="s">
        <v>867</v>
      </c>
      <c r="G113" s="9">
        <v>0</v>
      </c>
      <c r="H113" s="5" t="s">
        <v>1</v>
      </c>
      <c r="I113" s="16">
        <f t="shared" si="9"/>
        <v>0</v>
      </c>
      <c r="J113" s="110">
        <f t="shared" si="14"/>
        <v>75</v>
      </c>
      <c r="K113" s="5">
        <v>20</v>
      </c>
      <c r="L113" s="5" t="s">
        <v>1</v>
      </c>
      <c r="M113" s="80">
        <f t="shared" si="15"/>
        <v>20</v>
      </c>
      <c r="N113" s="78">
        <f t="shared" si="16"/>
        <v>1500</v>
      </c>
      <c r="O113" s="111">
        <f t="shared" si="17"/>
        <v>1500</v>
      </c>
      <c r="P113" s="5">
        <v>25</v>
      </c>
      <c r="Q113" s="5">
        <v>30</v>
      </c>
      <c r="R113" s="5"/>
      <c r="S113" s="5"/>
      <c r="T113" s="102"/>
      <c r="U113" s="5">
        <v>154977</v>
      </c>
    </row>
    <row r="114" spans="1:21" x14ac:dyDescent="0.25">
      <c r="A114" s="31">
        <v>9</v>
      </c>
      <c r="B114" s="4" t="s">
        <v>800</v>
      </c>
      <c r="C114" s="5">
        <v>1</v>
      </c>
      <c r="D114" s="7">
        <v>0</v>
      </c>
      <c r="E114" s="3">
        <f t="shared" si="10"/>
        <v>1</v>
      </c>
      <c r="F114" s="3" t="s">
        <v>867</v>
      </c>
      <c r="G114" s="9">
        <v>0</v>
      </c>
      <c r="H114" s="5" t="s">
        <v>1</v>
      </c>
      <c r="I114" s="16">
        <f t="shared" si="9"/>
        <v>0</v>
      </c>
      <c r="J114" s="110">
        <f t="shared" si="14"/>
        <v>75</v>
      </c>
      <c r="K114" s="5">
        <v>22</v>
      </c>
      <c r="L114" s="5" t="s">
        <v>1</v>
      </c>
      <c r="M114" s="80">
        <f t="shared" si="15"/>
        <v>22</v>
      </c>
      <c r="N114" s="78">
        <f t="shared" si="16"/>
        <v>1650</v>
      </c>
      <c r="O114" s="111">
        <f t="shared" si="17"/>
        <v>1650</v>
      </c>
      <c r="P114" s="5">
        <v>27.5</v>
      </c>
      <c r="Q114" s="5">
        <v>33</v>
      </c>
      <c r="R114" s="5">
        <v>15</v>
      </c>
      <c r="S114" s="5">
        <v>18.75</v>
      </c>
      <c r="T114" s="102">
        <v>22.5</v>
      </c>
      <c r="U114" s="5">
        <v>154980</v>
      </c>
    </row>
    <row r="115" spans="1:21" x14ac:dyDescent="0.25">
      <c r="A115" s="31">
        <v>10</v>
      </c>
      <c r="B115" s="4" t="s">
        <v>801</v>
      </c>
      <c r="C115" s="5">
        <v>1</v>
      </c>
      <c r="D115" s="7">
        <v>0</v>
      </c>
      <c r="E115" s="3">
        <f t="shared" si="10"/>
        <v>1</v>
      </c>
      <c r="F115" s="3" t="s">
        <v>867</v>
      </c>
      <c r="G115" s="9">
        <v>0</v>
      </c>
      <c r="H115" s="5" t="s">
        <v>1</v>
      </c>
      <c r="I115" s="16">
        <f t="shared" si="9"/>
        <v>0</v>
      </c>
      <c r="J115" s="110">
        <f t="shared" si="14"/>
        <v>75</v>
      </c>
      <c r="K115" s="5">
        <v>24</v>
      </c>
      <c r="L115" s="5" t="s">
        <v>1</v>
      </c>
      <c r="M115" s="80">
        <f t="shared" si="15"/>
        <v>24</v>
      </c>
      <c r="N115" s="78">
        <f t="shared" si="16"/>
        <v>1800</v>
      </c>
      <c r="O115" s="111">
        <f t="shared" si="17"/>
        <v>1800</v>
      </c>
      <c r="P115" s="5">
        <v>30</v>
      </c>
      <c r="Q115" s="5">
        <v>36</v>
      </c>
      <c r="R115" s="5">
        <v>15.5</v>
      </c>
      <c r="S115" s="5">
        <v>19.38</v>
      </c>
      <c r="T115" s="102">
        <v>23.25</v>
      </c>
      <c r="U115" s="5">
        <v>154983</v>
      </c>
    </row>
    <row r="116" spans="1:21" x14ac:dyDescent="0.25">
      <c r="A116" s="31">
        <v>11</v>
      </c>
      <c r="B116" s="4" t="s">
        <v>802</v>
      </c>
      <c r="C116" s="5">
        <v>1</v>
      </c>
      <c r="D116" s="7">
        <v>0</v>
      </c>
      <c r="E116" s="3">
        <f t="shared" si="10"/>
        <v>1</v>
      </c>
      <c r="F116" s="3" t="s">
        <v>867</v>
      </c>
      <c r="G116" s="9">
        <v>0</v>
      </c>
      <c r="H116" s="5" t="s">
        <v>1</v>
      </c>
      <c r="I116" s="16">
        <f t="shared" si="9"/>
        <v>0</v>
      </c>
      <c r="J116" s="110">
        <f t="shared" si="14"/>
        <v>75</v>
      </c>
      <c r="K116" s="5">
        <v>26</v>
      </c>
      <c r="L116" s="5" t="s">
        <v>1</v>
      </c>
      <c r="M116" s="80">
        <f t="shared" si="15"/>
        <v>26</v>
      </c>
      <c r="N116" s="78">
        <f t="shared" si="16"/>
        <v>1950</v>
      </c>
      <c r="O116" s="111">
        <f t="shared" si="17"/>
        <v>1950</v>
      </c>
      <c r="P116" s="5">
        <v>32.5</v>
      </c>
      <c r="Q116" s="5">
        <v>39</v>
      </c>
      <c r="R116" s="5">
        <v>16</v>
      </c>
      <c r="S116" s="5">
        <v>20</v>
      </c>
      <c r="T116" s="102">
        <v>24</v>
      </c>
      <c r="U116" s="5">
        <v>154986</v>
      </c>
    </row>
    <row r="117" spans="1:21" x14ac:dyDescent="0.25">
      <c r="A117" s="31">
        <v>12</v>
      </c>
      <c r="B117" s="4" t="s">
        <v>803</v>
      </c>
      <c r="C117" s="5">
        <v>1</v>
      </c>
      <c r="D117" s="7">
        <v>0</v>
      </c>
      <c r="E117" s="3">
        <f t="shared" si="10"/>
        <v>1</v>
      </c>
      <c r="F117" s="3" t="s">
        <v>867</v>
      </c>
      <c r="G117" s="9">
        <v>0</v>
      </c>
      <c r="H117" s="5" t="s">
        <v>1</v>
      </c>
      <c r="I117" s="16">
        <f t="shared" si="9"/>
        <v>0</v>
      </c>
      <c r="J117" s="110">
        <f t="shared" si="14"/>
        <v>75</v>
      </c>
      <c r="K117" s="5">
        <v>28</v>
      </c>
      <c r="L117" s="5" t="s">
        <v>1</v>
      </c>
      <c r="M117" s="80">
        <f t="shared" si="15"/>
        <v>28</v>
      </c>
      <c r="N117" s="78">
        <f t="shared" si="16"/>
        <v>2100</v>
      </c>
      <c r="O117" s="111">
        <f t="shared" si="17"/>
        <v>2100</v>
      </c>
      <c r="P117" s="5">
        <v>35</v>
      </c>
      <c r="Q117" s="5">
        <v>42</v>
      </c>
      <c r="R117" s="5">
        <v>17</v>
      </c>
      <c r="S117" s="5">
        <v>21.25</v>
      </c>
      <c r="T117" s="102">
        <v>25.5</v>
      </c>
      <c r="U117" s="5">
        <v>154989</v>
      </c>
    </row>
    <row r="118" spans="1:21" x14ac:dyDescent="0.25">
      <c r="A118" s="31">
        <v>13</v>
      </c>
      <c r="B118" s="4" t="s">
        <v>804</v>
      </c>
      <c r="C118" s="5">
        <v>1</v>
      </c>
      <c r="D118" s="7">
        <v>0</v>
      </c>
      <c r="E118" s="3">
        <f t="shared" si="10"/>
        <v>1</v>
      </c>
      <c r="F118" s="3" t="s">
        <v>867</v>
      </c>
      <c r="G118" s="9">
        <v>0</v>
      </c>
      <c r="H118" s="5" t="s">
        <v>1</v>
      </c>
      <c r="I118" s="16">
        <f t="shared" si="9"/>
        <v>0</v>
      </c>
      <c r="J118" s="110">
        <f t="shared" si="14"/>
        <v>75</v>
      </c>
      <c r="K118" s="5">
        <v>30</v>
      </c>
      <c r="L118" s="5" t="s">
        <v>1</v>
      </c>
      <c r="M118" s="80">
        <f t="shared" si="15"/>
        <v>30</v>
      </c>
      <c r="N118" s="78">
        <f t="shared" si="16"/>
        <v>2250</v>
      </c>
      <c r="O118" s="111">
        <f t="shared" si="17"/>
        <v>2250</v>
      </c>
      <c r="P118" s="5">
        <v>37.5</v>
      </c>
      <c r="Q118" s="5">
        <v>45</v>
      </c>
      <c r="R118" s="5">
        <v>19</v>
      </c>
      <c r="S118" s="5">
        <v>23.75</v>
      </c>
      <c r="T118" s="102">
        <v>28.5</v>
      </c>
      <c r="U118" s="5">
        <v>154992</v>
      </c>
    </row>
    <row r="119" spans="1:21" x14ac:dyDescent="0.25">
      <c r="A119" s="31">
        <v>14</v>
      </c>
      <c r="B119" s="4" t="s">
        <v>805</v>
      </c>
      <c r="C119" s="5">
        <v>1</v>
      </c>
      <c r="D119" s="7">
        <v>0</v>
      </c>
      <c r="E119" s="3">
        <f t="shared" si="10"/>
        <v>1</v>
      </c>
      <c r="F119" s="3" t="s">
        <v>867</v>
      </c>
      <c r="G119" s="9">
        <v>0</v>
      </c>
      <c r="H119" s="5" t="s">
        <v>1</v>
      </c>
      <c r="I119" s="16">
        <f t="shared" si="9"/>
        <v>0</v>
      </c>
      <c r="J119" s="110">
        <f t="shared" si="14"/>
        <v>75</v>
      </c>
      <c r="K119" s="5">
        <v>34</v>
      </c>
      <c r="L119" s="5" t="s">
        <v>1</v>
      </c>
      <c r="M119" s="80">
        <f t="shared" si="15"/>
        <v>34</v>
      </c>
      <c r="N119" s="78">
        <f t="shared" si="16"/>
        <v>2550</v>
      </c>
      <c r="O119" s="111">
        <f t="shared" si="17"/>
        <v>2550</v>
      </c>
      <c r="P119" s="5">
        <v>42.5</v>
      </c>
      <c r="Q119" s="5">
        <v>51</v>
      </c>
      <c r="R119" s="5">
        <v>23</v>
      </c>
      <c r="S119" s="5">
        <v>28.75</v>
      </c>
      <c r="T119" s="102">
        <v>34.5</v>
      </c>
      <c r="U119" s="5">
        <v>154995</v>
      </c>
    </row>
    <row r="120" spans="1:21" x14ac:dyDescent="0.25">
      <c r="A120" s="31">
        <v>15</v>
      </c>
      <c r="B120" s="4" t="s">
        <v>806</v>
      </c>
      <c r="C120" s="5">
        <v>1</v>
      </c>
      <c r="D120" s="7">
        <v>0</v>
      </c>
      <c r="E120" s="3">
        <f t="shared" si="10"/>
        <v>1</v>
      </c>
      <c r="F120" s="3" t="s">
        <v>867</v>
      </c>
      <c r="G120" s="9">
        <v>0</v>
      </c>
      <c r="H120" s="5" t="s">
        <v>1</v>
      </c>
      <c r="I120" s="16">
        <f t="shared" si="9"/>
        <v>0</v>
      </c>
      <c r="J120" s="110">
        <f t="shared" si="14"/>
        <v>75</v>
      </c>
      <c r="K120" s="5">
        <v>38</v>
      </c>
      <c r="L120" s="5" t="s">
        <v>1</v>
      </c>
      <c r="M120" s="80">
        <f t="shared" si="15"/>
        <v>38</v>
      </c>
      <c r="N120" s="78">
        <f t="shared" si="16"/>
        <v>2850</v>
      </c>
      <c r="O120" s="111">
        <f t="shared" si="17"/>
        <v>2850</v>
      </c>
      <c r="P120" s="5">
        <v>47.5</v>
      </c>
      <c r="Q120" s="5">
        <v>57</v>
      </c>
      <c r="R120" s="5">
        <v>27.5</v>
      </c>
      <c r="S120" s="5">
        <v>34.380000000000003</v>
      </c>
      <c r="T120" s="102">
        <v>41.25</v>
      </c>
      <c r="U120" s="5">
        <v>154998</v>
      </c>
    </row>
    <row r="121" spans="1:21" x14ac:dyDescent="0.25">
      <c r="A121" s="31">
        <v>16</v>
      </c>
      <c r="B121" s="4" t="s">
        <v>807</v>
      </c>
      <c r="C121" s="5">
        <v>1</v>
      </c>
      <c r="D121" s="7">
        <v>0</v>
      </c>
      <c r="E121" s="3">
        <f t="shared" si="10"/>
        <v>1</v>
      </c>
      <c r="F121" s="3" t="s">
        <v>867</v>
      </c>
      <c r="G121" s="9">
        <v>0</v>
      </c>
      <c r="H121" s="5" t="s">
        <v>1</v>
      </c>
      <c r="I121" s="16">
        <f t="shared" si="9"/>
        <v>0</v>
      </c>
      <c r="J121" s="110">
        <f t="shared" si="14"/>
        <v>75</v>
      </c>
      <c r="K121" s="5">
        <v>42</v>
      </c>
      <c r="L121" s="5" t="s">
        <v>1</v>
      </c>
      <c r="M121" s="80">
        <f t="shared" si="15"/>
        <v>42</v>
      </c>
      <c r="N121" s="78">
        <f t="shared" si="16"/>
        <v>3150</v>
      </c>
      <c r="O121" s="111">
        <f t="shared" si="17"/>
        <v>3150</v>
      </c>
      <c r="P121" s="5">
        <v>52.5</v>
      </c>
      <c r="Q121" s="5">
        <v>63</v>
      </c>
      <c r="R121" s="5">
        <v>31</v>
      </c>
      <c r="S121" s="5">
        <v>38.75</v>
      </c>
      <c r="T121" s="102">
        <v>46.5</v>
      </c>
      <c r="U121" s="5">
        <v>155001</v>
      </c>
    </row>
    <row r="122" spans="1:21" x14ac:dyDescent="0.25">
      <c r="A122" s="31">
        <v>17</v>
      </c>
      <c r="B122" s="4" t="s">
        <v>808</v>
      </c>
      <c r="C122" s="5">
        <v>1</v>
      </c>
      <c r="D122" s="7">
        <v>0</v>
      </c>
      <c r="E122" s="3">
        <f t="shared" si="10"/>
        <v>1</v>
      </c>
      <c r="F122" s="3" t="s">
        <v>867</v>
      </c>
      <c r="G122" s="9">
        <v>0</v>
      </c>
      <c r="H122" s="5" t="s">
        <v>1</v>
      </c>
      <c r="I122" s="16">
        <f t="shared" si="9"/>
        <v>0</v>
      </c>
      <c r="J122" s="110">
        <f t="shared" si="14"/>
        <v>75</v>
      </c>
      <c r="K122" s="5">
        <v>46</v>
      </c>
      <c r="L122" s="5" t="s">
        <v>1</v>
      </c>
      <c r="M122" s="80">
        <f t="shared" si="15"/>
        <v>46</v>
      </c>
      <c r="N122" s="78">
        <f t="shared" si="16"/>
        <v>3450</v>
      </c>
      <c r="O122" s="111">
        <f t="shared" si="17"/>
        <v>3450</v>
      </c>
      <c r="P122" s="5">
        <v>57.5</v>
      </c>
      <c r="Q122" s="5">
        <v>69</v>
      </c>
      <c r="R122" s="5">
        <v>32.5</v>
      </c>
      <c r="S122" s="5">
        <v>40.630000000000003</v>
      </c>
      <c r="T122" s="102">
        <v>48.75</v>
      </c>
      <c r="U122" s="5">
        <v>155004</v>
      </c>
    </row>
    <row r="123" spans="1:21" x14ac:dyDescent="0.25">
      <c r="A123" s="31">
        <v>18</v>
      </c>
      <c r="B123" s="4" t="s">
        <v>809</v>
      </c>
      <c r="C123" s="5">
        <v>1</v>
      </c>
      <c r="D123" s="7">
        <v>0</v>
      </c>
      <c r="E123" s="3">
        <f t="shared" si="10"/>
        <v>1</v>
      </c>
      <c r="F123" s="3" t="s">
        <v>867</v>
      </c>
      <c r="G123" s="9">
        <v>0</v>
      </c>
      <c r="H123" s="5" t="s">
        <v>1</v>
      </c>
      <c r="I123" s="16">
        <f t="shared" si="9"/>
        <v>0</v>
      </c>
      <c r="J123" s="110">
        <f t="shared" si="14"/>
        <v>75</v>
      </c>
      <c r="K123" s="5">
        <v>50</v>
      </c>
      <c r="L123" s="5" t="s">
        <v>1</v>
      </c>
      <c r="M123" s="80">
        <f t="shared" si="15"/>
        <v>50</v>
      </c>
      <c r="N123" s="78">
        <f t="shared" si="16"/>
        <v>3750</v>
      </c>
      <c r="O123" s="111">
        <f t="shared" si="17"/>
        <v>3750</v>
      </c>
      <c r="P123" s="5">
        <v>62.5</v>
      </c>
      <c r="Q123" s="5">
        <v>75</v>
      </c>
      <c r="R123" s="5">
        <v>34</v>
      </c>
      <c r="S123" s="5">
        <v>42.5</v>
      </c>
      <c r="T123" s="102">
        <v>51</v>
      </c>
      <c r="U123" s="5">
        <v>155007</v>
      </c>
    </row>
    <row r="124" spans="1:21" x14ac:dyDescent="0.25">
      <c r="A124" s="31">
        <v>19</v>
      </c>
      <c r="B124" s="4" t="s">
        <v>810</v>
      </c>
      <c r="C124" s="5">
        <v>1</v>
      </c>
      <c r="D124" s="7">
        <v>0</v>
      </c>
      <c r="E124" s="3">
        <f t="shared" si="10"/>
        <v>1</v>
      </c>
      <c r="F124" s="3" t="s">
        <v>867</v>
      </c>
      <c r="G124" s="9">
        <v>0</v>
      </c>
      <c r="H124" s="5" t="s">
        <v>1</v>
      </c>
      <c r="I124" s="16">
        <f t="shared" si="9"/>
        <v>0</v>
      </c>
      <c r="J124" s="110">
        <f t="shared" si="14"/>
        <v>75</v>
      </c>
      <c r="K124" s="5">
        <v>54</v>
      </c>
      <c r="L124" s="5" t="s">
        <v>1</v>
      </c>
      <c r="M124" s="80">
        <f t="shared" si="15"/>
        <v>54</v>
      </c>
      <c r="N124" s="78">
        <f t="shared" si="16"/>
        <v>4050</v>
      </c>
      <c r="O124" s="111">
        <f t="shared" si="17"/>
        <v>4050</v>
      </c>
      <c r="P124" s="5">
        <v>67.5</v>
      </c>
      <c r="Q124" s="5">
        <v>81</v>
      </c>
      <c r="R124" s="5">
        <v>34.5</v>
      </c>
      <c r="S124" s="5">
        <v>43.13</v>
      </c>
      <c r="T124" s="102">
        <v>51.75</v>
      </c>
      <c r="U124" s="5">
        <v>155010</v>
      </c>
    </row>
    <row r="125" spans="1:21" x14ac:dyDescent="0.25">
      <c r="A125" s="31">
        <v>20</v>
      </c>
      <c r="B125" s="4" t="s">
        <v>811</v>
      </c>
      <c r="C125" s="5">
        <v>1</v>
      </c>
      <c r="D125" s="7">
        <v>0</v>
      </c>
      <c r="E125" s="3">
        <f t="shared" si="10"/>
        <v>1</v>
      </c>
      <c r="F125" s="3" t="s">
        <v>867</v>
      </c>
      <c r="G125" s="9">
        <v>0</v>
      </c>
      <c r="H125" s="5" t="s">
        <v>1</v>
      </c>
      <c r="I125" s="16">
        <f t="shared" si="9"/>
        <v>0</v>
      </c>
      <c r="J125" s="110">
        <f t="shared" si="14"/>
        <v>75</v>
      </c>
      <c r="K125" s="5">
        <v>58</v>
      </c>
      <c r="L125" s="5" t="s">
        <v>1</v>
      </c>
      <c r="M125" s="80">
        <f t="shared" si="15"/>
        <v>58</v>
      </c>
      <c r="N125" s="78">
        <f t="shared" si="16"/>
        <v>4350</v>
      </c>
      <c r="O125" s="111">
        <f t="shared" si="17"/>
        <v>4350</v>
      </c>
      <c r="P125" s="5">
        <v>72.5</v>
      </c>
      <c r="Q125" s="5">
        <v>87</v>
      </c>
      <c r="R125" s="5">
        <v>35</v>
      </c>
      <c r="S125" s="5">
        <v>43.75</v>
      </c>
      <c r="T125" s="102">
        <v>52.5</v>
      </c>
      <c r="U125" s="5">
        <v>155013</v>
      </c>
    </row>
    <row r="126" spans="1:21" x14ac:dyDescent="0.25">
      <c r="A126" s="31">
        <v>21</v>
      </c>
      <c r="B126" s="4" t="s">
        <v>812</v>
      </c>
      <c r="C126" s="5">
        <v>1</v>
      </c>
      <c r="D126" s="7">
        <v>0</v>
      </c>
      <c r="E126" s="3">
        <f t="shared" si="10"/>
        <v>1</v>
      </c>
      <c r="F126" s="3" t="s">
        <v>867</v>
      </c>
      <c r="G126" s="9">
        <v>0</v>
      </c>
      <c r="H126" s="5" t="s">
        <v>1</v>
      </c>
      <c r="I126" s="16">
        <f t="shared" si="9"/>
        <v>0</v>
      </c>
      <c r="J126" s="110">
        <f t="shared" si="14"/>
        <v>75</v>
      </c>
      <c r="K126" s="5">
        <v>62</v>
      </c>
      <c r="L126" s="5" t="s">
        <v>1</v>
      </c>
      <c r="M126" s="80">
        <f t="shared" si="15"/>
        <v>62</v>
      </c>
      <c r="N126" s="78">
        <f t="shared" si="16"/>
        <v>4650</v>
      </c>
      <c r="O126" s="111">
        <f t="shared" si="17"/>
        <v>4650</v>
      </c>
      <c r="P126" s="5">
        <v>77.5</v>
      </c>
      <c r="Q126" s="5">
        <v>93</v>
      </c>
      <c r="R126" s="5">
        <v>36</v>
      </c>
      <c r="S126" s="5">
        <v>45</v>
      </c>
      <c r="T126" s="102">
        <v>54</v>
      </c>
      <c r="U126" s="5">
        <v>155016</v>
      </c>
    </row>
    <row r="127" spans="1:21" x14ac:dyDescent="0.25">
      <c r="A127" s="31">
        <v>22</v>
      </c>
      <c r="B127" s="4" t="s">
        <v>813</v>
      </c>
      <c r="C127" s="5">
        <v>1</v>
      </c>
      <c r="D127" s="7">
        <v>0</v>
      </c>
      <c r="E127" s="3">
        <f t="shared" si="10"/>
        <v>1</v>
      </c>
      <c r="F127" s="3" t="s">
        <v>867</v>
      </c>
      <c r="G127" s="9">
        <v>0</v>
      </c>
      <c r="H127" s="5" t="s">
        <v>1</v>
      </c>
      <c r="I127" s="16">
        <f t="shared" si="9"/>
        <v>0</v>
      </c>
      <c r="J127" s="110">
        <f t="shared" si="14"/>
        <v>75</v>
      </c>
      <c r="K127" s="5">
        <v>66</v>
      </c>
      <c r="L127" s="5" t="s">
        <v>1</v>
      </c>
      <c r="M127" s="80">
        <f t="shared" si="15"/>
        <v>66</v>
      </c>
      <c r="N127" s="78">
        <f t="shared" si="16"/>
        <v>4950</v>
      </c>
      <c r="O127" s="111">
        <f t="shared" si="17"/>
        <v>4950</v>
      </c>
      <c r="P127" s="5">
        <v>82.5</v>
      </c>
      <c r="Q127" s="5">
        <v>99</v>
      </c>
      <c r="R127" s="5"/>
      <c r="S127" s="5"/>
      <c r="T127" s="102"/>
      <c r="U127" s="5">
        <v>155019</v>
      </c>
    </row>
    <row r="128" spans="1:21" x14ac:dyDescent="0.25">
      <c r="A128" s="31">
        <v>23</v>
      </c>
      <c r="B128" s="4" t="s">
        <v>814</v>
      </c>
      <c r="C128" s="5">
        <v>1</v>
      </c>
      <c r="D128" s="7">
        <v>0</v>
      </c>
      <c r="E128" s="3">
        <f t="shared" si="10"/>
        <v>1</v>
      </c>
      <c r="F128" s="3" t="s">
        <v>867</v>
      </c>
      <c r="G128" s="9">
        <v>0</v>
      </c>
      <c r="H128" s="5" t="s">
        <v>1</v>
      </c>
      <c r="I128" s="16">
        <f t="shared" si="9"/>
        <v>0</v>
      </c>
      <c r="J128" s="110">
        <f t="shared" si="14"/>
        <v>75</v>
      </c>
      <c r="K128" s="5">
        <v>70</v>
      </c>
      <c r="L128" s="5" t="s">
        <v>1</v>
      </c>
      <c r="M128" s="80">
        <f t="shared" si="15"/>
        <v>70</v>
      </c>
      <c r="N128" s="78">
        <f t="shared" si="16"/>
        <v>5250</v>
      </c>
      <c r="O128" s="111">
        <f t="shared" si="17"/>
        <v>5250</v>
      </c>
      <c r="P128" s="5">
        <v>87.5</v>
      </c>
      <c r="Q128" s="5">
        <v>105</v>
      </c>
      <c r="R128" s="5">
        <v>38</v>
      </c>
      <c r="S128" s="5">
        <v>47.5</v>
      </c>
      <c r="T128" s="102">
        <v>57</v>
      </c>
      <c r="U128" s="5">
        <v>155022</v>
      </c>
    </row>
    <row r="129" spans="1:21" x14ac:dyDescent="0.25">
      <c r="A129" s="31">
        <v>24</v>
      </c>
      <c r="B129" s="4" t="s">
        <v>815</v>
      </c>
      <c r="C129" s="5">
        <v>1</v>
      </c>
      <c r="D129" s="7">
        <v>0</v>
      </c>
      <c r="E129" s="3">
        <f t="shared" si="10"/>
        <v>1</v>
      </c>
      <c r="F129" s="3" t="s">
        <v>867</v>
      </c>
      <c r="G129" s="9">
        <v>0</v>
      </c>
      <c r="H129" s="5" t="s">
        <v>1</v>
      </c>
      <c r="I129" s="16">
        <f t="shared" si="9"/>
        <v>0</v>
      </c>
      <c r="J129" s="110">
        <f t="shared" si="14"/>
        <v>75</v>
      </c>
      <c r="K129" s="5">
        <v>74</v>
      </c>
      <c r="L129" s="5" t="s">
        <v>1</v>
      </c>
      <c r="M129" s="80">
        <f t="shared" si="15"/>
        <v>74</v>
      </c>
      <c r="N129" s="78">
        <f t="shared" si="16"/>
        <v>5550</v>
      </c>
      <c r="O129" s="111">
        <f t="shared" si="17"/>
        <v>5550</v>
      </c>
      <c r="P129" s="5">
        <v>92.5</v>
      </c>
      <c r="Q129" s="5">
        <v>111</v>
      </c>
      <c r="R129" s="5">
        <v>41.5</v>
      </c>
      <c r="S129" s="5">
        <v>51.88</v>
      </c>
      <c r="T129" s="102">
        <v>62.25</v>
      </c>
      <c r="U129" s="5">
        <v>155025</v>
      </c>
    </row>
    <row r="130" spans="1:21" x14ac:dyDescent="0.25">
      <c r="A130" s="31">
        <v>25</v>
      </c>
      <c r="B130" s="4" t="s">
        <v>816</v>
      </c>
      <c r="C130" s="5">
        <v>1</v>
      </c>
      <c r="D130" s="7">
        <v>0</v>
      </c>
      <c r="E130" s="3">
        <f t="shared" si="10"/>
        <v>1</v>
      </c>
      <c r="F130" s="3" t="s">
        <v>867</v>
      </c>
      <c r="G130" s="9">
        <v>0</v>
      </c>
      <c r="H130" s="5" t="s">
        <v>1</v>
      </c>
      <c r="I130" s="16">
        <f t="shared" si="9"/>
        <v>0</v>
      </c>
      <c r="J130" s="110">
        <f t="shared" si="14"/>
        <v>75</v>
      </c>
      <c r="K130" s="5">
        <v>80</v>
      </c>
      <c r="L130" s="5" t="s">
        <v>1</v>
      </c>
      <c r="M130" s="80">
        <f t="shared" si="15"/>
        <v>80</v>
      </c>
      <c r="N130" s="78">
        <f t="shared" si="16"/>
        <v>6000</v>
      </c>
      <c r="O130" s="111">
        <f t="shared" si="17"/>
        <v>6000</v>
      </c>
      <c r="P130" s="5">
        <v>100</v>
      </c>
      <c r="Q130" s="5">
        <v>120</v>
      </c>
      <c r="R130" s="5">
        <v>46</v>
      </c>
      <c r="S130" s="5">
        <v>57.5</v>
      </c>
      <c r="T130" s="102">
        <v>69</v>
      </c>
      <c r="U130" s="5">
        <v>155028</v>
      </c>
    </row>
    <row r="131" spans="1:21" x14ac:dyDescent="0.25">
      <c r="A131" s="31">
        <v>26</v>
      </c>
      <c r="B131" s="4" t="s">
        <v>817</v>
      </c>
      <c r="C131" s="5">
        <v>1</v>
      </c>
      <c r="D131" s="7">
        <v>0</v>
      </c>
      <c r="E131" s="3">
        <f t="shared" si="10"/>
        <v>1</v>
      </c>
      <c r="F131" s="3" t="s">
        <v>867</v>
      </c>
      <c r="G131" s="9">
        <v>0</v>
      </c>
      <c r="H131" s="5" t="s">
        <v>1</v>
      </c>
      <c r="I131" s="16">
        <f t="shared" si="9"/>
        <v>0</v>
      </c>
      <c r="J131" s="110">
        <f t="shared" si="14"/>
        <v>75</v>
      </c>
      <c r="K131" s="5">
        <v>86</v>
      </c>
      <c r="L131" s="5" t="s">
        <v>1</v>
      </c>
      <c r="M131" s="80">
        <f t="shared" si="15"/>
        <v>86</v>
      </c>
      <c r="N131" s="78">
        <f t="shared" si="16"/>
        <v>6450</v>
      </c>
      <c r="O131" s="111">
        <f t="shared" si="17"/>
        <v>6450</v>
      </c>
      <c r="P131" s="5">
        <v>107.5</v>
      </c>
      <c r="Q131" s="5">
        <v>129</v>
      </c>
      <c r="R131" s="5">
        <v>48</v>
      </c>
      <c r="S131" s="5">
        <v>60</v>
      </c>
      <c r="T131" s="102">
        <v>72</v>
      </c>
      <c r="U131" s="5">
        <v>155031</v>
      </c>
    </row>
    <row r="132" spans="1:21" x14ac:dyDescent="0.25">
      <c r="A132" s="31">
        <v>27</v>
      </c>
      <c r="B132" s="4" t="s">
        <v>818</v>
      </c>
      <c r="C132" s="5">
        <v>1</v>
      </c>
      <c r="D132" s="7">
        <v>0</v>
      </c>
      <c r="E132" s="3">
        <f t="shared" si="10"/>
        <v>1</v>
      </c>
      <c r="F132" s="3" t="s">
        <v>867</v>
      </c>
      <c r="G132" s="9">
        <v>0</v>
      </c>
      <c r="H132" s="5" t="s">
        <v>1</v>
      </c>
      <c r="I132" s="16">
        <f t="shared" si="9"/>
        <v>0</v>
      </c>
      <c r="J132" s="110">
        <f t="shared" si="14"/>
        <v>75</v>
      </c>
      <c r="K132" s="5">
        <v>92</v>
      </c>
      <c r="L132" s="5" t="s">
        <v>1</v>
      </c>
      <c r="M132" s="80">
        <f t="shared" si="15"/>
        <v>92</v>
      </c>
      <c r="N132" s="78">
        <f t="shared" si="16"/>
        <v>6900</v>
      </c>
      <c r="O132" s="111">
        <f t="shared" si="17"/>
        <v>6900</v>
      </c>
      <c r="P132" s="5">
        <v>115</v>
      </c>
      <c r="Q132" s="5">
        <v>138</v>
      </c>
      <c r="R132" s="5"/>
      <c r="S132" s="5"/>
      <c r="T132" s="102"/>
      <c r="U132" s="5">
        <v>155034</v>
      </c>
    </row>
    <row r="133" spans="1:21" x14ac:dyDescent="0.25">
      <c r="A133" s="31">
        <v>28</v>
      </c>
      <c r="B133" s="4" t="s">
        <v>819</v>
      </c>
      <c r="C133" s="5">
        <v>1</v>
      </c>
      <c r="D133" s="7">
        <v>0</v>
      </c>
      <c r="E133" s="3">
        <f t="shared" si="10"/>
        <v>1</v>
      </c>
      <c r="F133" s="3" t="s">
        <v>867</v>
      </c>
      <c r="G133" s="9">
        <v>0</v>
      </c>
      <c r="H133" s="5" t="s">
        <v>1</v>
      </c>
      <c r="I133" s="16">
        <f t="shared" si="9"/>
        <v>0</v>
      </c>
      <c r="J133" s="110">
        <f t="shared" si="14"/>
        <v>75</v>
      </c>
      <c r="K133" s="5">
        <v>98</v>
      </c>
      <c r="L133" s="5" t="s">
        <v>1</v>
      </c>
      <c r="M133" s="80">
        <f t="shared" si="15"/>
        <v>98</v>
      </c>
      <c r="N133" s="78">
        <f t="shared" si="16"/>
        <v>7350</v>
      </c>
      <c r="O133" s="111">
        <f t="shared" si="17"/>
        <v>7350</v>
      </c>
      <c r="P133" s="5">
        <v>122.5</v>
      </c>
      <c r="Q133" s="5">
        <v>147</v>
      </c>
      <c r="R133" s="5"/>
      <c r="S133" s="5"/>
      <c r="T133" s="102"/>
      <c r="U133" s="5">
        <v>155037</v>
      </c>
    </row>
    <row r="134" spans="1:21" x14ac:dyDescent="0.25">
      <c r="A134" s="31">
        <v>29</v>
      </c>
      <c r="B134" s="4" t="s">
        <v>820</v>
      </c>
      <c r="C134" s="5">
        <v>1</v>
      </c>
      <c r="D134" s="7">
        <v>0</v>
      </c>
      <c r="E134" s="3">
        <f t="shared" si="10"/>
        <v>1</v>
      </c>
      <c r="F134" s="3" t="s">
        <v>867</v>
      </c>
      <c r="G134" s="9">
        <v>0</v>
      </c>
      <c r="H134" s="5" t="s">
        <v>1</v>
      </c>
      <c r="I134" s="16">
        <f t="shared" ref="I134:I137" si="18">IF(H134="C",(G134/100)*E134,IF(H134="M",(G134/1000)*E134,G134*E134))</f>
        <v>0</v>
      </c>
      <c r="J134" s="110">
        <f t="shared" si="14"/>
        <v>75</v>
      </c>
      <c r="K134" s="5">
        <v>105</v>
      </c>
      <c r="L134" s="5" t="s">
        <v>1</v>
      </c>
      <c r="M134" s="80">
        <f t="shared" si="15"/>
        <v>105</v>
      </c>
      <c r="N134" s="78">
        <f t="shared" si="16"/>
        <v>7875</v>
      </c>
      <c r="O134" s="111">
        <f t="shared" si="17"/>
        <v>7875</v>
      </c>
      <c r="P134" s="5">
        <v>131.25</v>
      </c>
      <c r="Q134" s="5">
        <v>157.5</v>
      </c>
      <c r="R134" s="5">
        <v>60</v>
      </c>
      <c r="S134" s="5">
        <v>75</v>
      </c>
      <c r="T134" s="102">
        <v>90</v>
      </c>
      <c r="U134" s="5">
        <v>155040</v>
      </c>
    </row>
    <row r="135" spans="1:21" x14ac:dyDescent="0.25">
      <c r="A135" s="31">
        <v>30</v>
      </c>
      <c r="B135" s="4" t="s">
        <v>821</v>
      </c>
      <c r="C135" s="5">
        <v>1</v>
      </c>
      <c r="D135" s="7">
        <v>0</v>
      </c>
      <c r="E135" s="3">
        <f t="shared" ref="E135:E137" si="19">C135+(C135*D135)</f>
        <v>1</v>
      </c>
      <c r="F135" s="3" t="s">
        <v>867</v>
      </c>
      <c r="G135" s="9">
        <v>0</v>
      </c>
      <c r="H135" s="5" t="s">
        <v>1</v>
      </c>
      <c r="I135" s="16">
        <f t="shared" si="18"/>
        <v>0</v>
      </c>
      <c r="J135" s="110">
        <f t="shared" si="14"/>
        <v>75</v>
      </c>
      <c r="K135" s="5">
        <v>112</v>
      </c>
      <c r="L135" s="5" t="s">
        <v>1</v>
      </c>
      <c r="M135" s="80">
        <f t="shared" si="15"/>
        <v>112</v>
      </c>
      <c r="N135" s="78">
        <f t="shared" si="16"/>
        <v>8400</v>
      </c>
      <c r="O135" s="111">
        <f t="shared" si="17"/>
        <v>8400</v>
      </c>
      <c r="P135" s="5">
        <v>140</v>
      </c>
      <c r="Q135" s="5">
        <v>168</v>
      </c>
      <c r="R135" s="5">
        <v>68.5</v>
      </c>
      <c r="S135" s="5">
        <v>85.63</v>
      </c>
      <c r="T135" s="102">
        <v>102.75</v>
      </c>
      <c r="U135" s="5">
        <v>155043</v>
      </c>
    </row>
    <row r="136" spans="1:21" x14ac:dyDescent="0.25">
      <c r="A136" s="31">
        <v>31</v>
      </c>
      <c r="B136" s="4" t="s">
        <v>822</v>
      </c>
      <c r="C136" s="5">
        <v>1</v>
      </c>
      <c r="D136" s="7">
        <v>0</v>
      </c>
      <c r="E136" s="3">
        <f t="shared" si="19"/>
        <v>1</v>
      </c>
      <c r="F136" s="3" t="s">
        <v>867</v>
      </c>
      <c r="G136" s="9">
        <v>0</v>
      </c>
      <c r="H136" s="5" t="s">
        <v>1</v>
      </c>
      <c r="I136" s="16">
        <f t="shared" si="18"/>
        <v>0</v>
      </c>
      <c r="J136" s="110">
        <f t="shared" si="14"/>
        <v>75</v>
      </c>
      <c r="K136" s="5">
        <v>120</v>
      </c>
      <c r="L136" s="5" t="s">
        <v>1</v>
      </c>
      <c r="M136" s="80">
        <f t="shared" si="15"/>
        <v>120</v>
      </c>
      <c r="N136" s="78">
        <f t="shared" si="16"/>
        <v>9000</v>
      </c>
      <c r="O136" s="111">
        <f t="shared" si="17"/>
        <v>9000</v>
      </c>
      <c r="P136" s="5">
        <v>150</v>
      </c>
      <c r="Q136" s="5">
        <v>180</v>
      </c>
      <c r="R136" s="5"/>
      <c r="S136" s="5"/>
      <c r="T136" s="102"/>
      <c r="U136" s="5">
        <v>155046</v>
      </c>
    </row>
    <row r="137" spans="1:21" x14ac:dyDescent="0.25">
      <c r="A137" s="31">
        <v>32</v>
      </c>
      <c r="B137" s="4" t="s">
        <v>823</v>
      </c>
      <c r="C137" s="5">
        <v>1</v>
      </c>
      <c r="D137" s="7">
        <v>0</v>
      </c>
      <c r="E137" s="3">
        <f t="shared" si="19"/>
        <v>1</v>
      </c>
      <c r="F137" s="3" t="s">
        <v>867</v>
      </c>
      <c r="G137" s="9">
        <v>0</v>
      </c>
      <c r="H137" s="5" t="s">
        <v>1</v>
      </c>
      <c r="I137" s="16">
        <f t="shared" si="18"/>
        <v>0</v>
      </c>
      <c r="J137" s="110">
        <f t="shared" si="14"/>
        <v>75</v>
      </c>
      <c r="K137" s="5">
        <v>126</v>
      </c>
      <c r="L137" s="5" t="s">
        <v>1</v>
      </c>
      <c r="M137" s="80">
        <f t="shared" si="15"/>
        <v>126</v>
      </c>
      <c r="N137" s="78">
        <f t="shared" si="16"/>
        <v>9450</v>
      </c>
      <c r="O137" s="111">
        <f t="shared" si="17"/>
        <v>9450</v>
      </c>
      <c r="P137" s="5">
        <v>157.5</v>
      </c>
      <c r="Q137" s="5">
        <v>189</v>
      </c>
      <c r="R137" s="5"/>
      <c r="S137" s="5"/>
      <c r="T137" s="102"/>
      <c r="U137" s="5">
        <v>155049</v>
      </c>
    </row>
    <row r="138" spans="1:21" ht="15.75" thickBot="1" x14ac:dyDescent="0.3">
      <c r="A138" s="33"/>
      <c r="B138" s="28"/>
      <c r="C138" s="29"/>
      <c r="D138" s="28"/>
      <c r="E138" s="28"/>
      <c r="F138" s="28"/>
      <c r="G138" s="34"/>
      <c r="H138" s="29"/>
      <c r="I138" s="28"/>
      <c r="J138" s="28"/>
      <c r="K138" s="29"/>
      <c r="L138" s="29"/>
      <c r="M138" s="28"/>
      <c r="N138" s="28"/>
      <c r="O138" s="52"/>
      <c r="P138" s="29"/>
      <c r="Q138" s="29"/>
      <c r="R138" s="29"/>
      <c r="S138" s="29"/>
      <c r="T138" s="106"/>
      <c r="U138" s="5"/>
    </row>
  </sheetData>
  <mergeCells count="1">
    <mergeCell ref="M4:N4"/>
  </mergeCells>
  <pageMargins left="0.7" right="0.7" top="0.75" bottom="0.75" header="0.3" footer="0.3"/>
  <pageSetup paperSize="9" scale="41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95"/>
  <sheetViews>
    <sheetView view="pageBreakPreview" zoomScale="90" zoomScaleNormal="85" zoomScaleSheetLayoutView="90" workbookViewId="0">
      <selection activeCell="A14" sqref="A14:XFD14"/>
    </sheetView>
  </sheetViews>
  <sheetFormatPr defaultColWidth="9.140625" defaultRowHeight="15" x14ac:dyDescent="0.25"/>
  <cols>
    <col min="1" max="1" width="4.42578125" style="2" bestFit="1" customWidth="1"/>
    <col min="2" max="2" width="45.42578125" style="1" customWidth="1"/>
    <col min="3" max="3" width="10.7109375" style="2" customWidth="1"/>
    <col min="4" max="5" width="10.7109375" style="1" customWidth="1"/>
    <col min="6" max="6" width="5.85546875" style="1" bestFit="1" customWidth="1"/>
    <col min="7" max="7" width="11" style="10" bestFit="1" customWidth="1"/>
    <col min="8" max="8" width="5.85546875" style="2" bestFit="1" customWidth="1"/>
    <col min="9" max="9" width="10.42578125" style="1" bestFit="1" customWidth="1"/>
    <col min="10" max="10" width="7.42578125" style="1" bestFit="1" customWidth="1"/>
    <col min="11" max="11" width="7.42578125" style="2" bestFit="1" customWidth="1"/>
    <col min="12" max="12" width="5.85546875" style="2" bestFit="1" customWidth="1"/>
    <col min="13" max="13" width="7.42578125" style="1" bestFit="1" customWidth="1"/>
    <col min="14" max="14" width="10.42578125" style="1" bestFit="1" customWidth="1"/>
    <col min="15" max="15" width="8.85546875" style="1" bestFit="1" customWidth="1"/>
    <col min="16" max="17" width="7.85546875" style="1" bestFit="1" customWidth="1"/>
    <col min="18" max="18" width="7.5703125" style="1" bestFit="1" customWidth="1"/>
    <col min="19" max="19" width="8.140625" style="1" bestFit="1" customWidth="1"/>
    <col min="20" max="20" width="11" style="1" bestFit="1" customWidth="1"/>
    <col min="21" max="21" width="11.28515625" style="1" bestFit="1" customWidth="1"/>
    <col min="22" max="16384" width="9.140625" style="1"/>
  </cols>
  <sheetData>
    <row r="1" spans="1:21" x14ac:dyDescent="0.25">
      <c r="I1" s="43"/>
      <c r="K1" s="1"/>
      <c r="N1" s="43"/>
      <c r="O1" s="43"/>
    </row>
    <row r="2" spans="1:21" x14ac:dyDescent="0.25">
      <c r="I2" s="43"/>
      <c r="K2" s="1"/>
      <c r="N2" s="43"/>
      <c r="O2" s="43"/>
    </row>
    <row r="3" spans="1:21" ht="15.75" thickBot="1" x14ac:dyDescent="0.3">
      <c r="I3" s="43"/>
      <c r="K3" s="1"/>
      <c r="N3" s="43"/>
      <c r="O3" s="43"/>
    </row>
    <row r="4" spans="1:21" ht="16.5" thickBot="1" x14ac:dyDescent="0.3">
      <c r="I4" s="43"/>
      <c r="K4" s="1"/>
      <c r="M4" s="253" t="s">
        <v>1199</v>
      </c>
      <c r="N4" s="254"/>
      <c r="O4" s="108">
        <v>75</v>
      </c>
    </row>
    <row r="5" spans="1:21" ht="44.25" customHeight="1" thickBot="1" x14ac:dyDescent="0.3">
      <c r="A5" s="82" t="s">
        <v>1201</v>
      </c>
      <c r="B5" s="81" t="s">
        <v>280</v>
      </c>
      <c r="C5" s="81" t="s">
        <v>281</v>
      </c>
      <c r="D5" s="81" t="s">
        <v>278</v>
      </c>
      <c r="E5" s="81" t="s">
        <v>279</v>
      </c>
      <c r="F5" s="86" t="s">
        <v>284</v>
      </c>
      <c r="G5" s="81" t="s">
        <v>282</v>
      </c>
      <c r="H5" s="81" t="s">
        <v>284</v>
      </c>
      <c r="I5" s="81" t="s">
        <v>283</v>
      </c>
      <c r="J5" s="81" t="s">
        <v>869</v>
      </c>
      <c r="K5" s="81" t="s">
        <v>285</v>
      </c>
      <c r="L5" s="82" t="s">
        <v>284</v>
      </c>
      <c r="M5" s="81" t="s">
        <v>286</v>
      </c>
      <c r="N5" s="83" t="s">
        <v>871</v>
      </c>
      <c r="O5" s="84" t="s">
        <v>872</v>
      </c>
      <c r="P5" s="84" t="s">
        <v>288</v>
      </c>
      <c r="Q5" s="84" t="s">
        <v>289</v>
      </c>
      <c r="R5" s="84" t="s">
        <v>290</v>
      </c>
      <c r="S5" s="84" t="s">
        <v>291</v>
      </c>
      <c r="T5" s="84" t="s">
        <v>292</v>
      </c>
      <c r="U5" s="109" t="s">
        <v>1200</v>
      </c>
    </row>
    <row r="6" spans="1:21" ht="15.75" thickBot="1" x14ac:dyDescent="0.3">
      <c r="A6" s="96"/>
      <c r="B6" s="97"/>
      <c r="C6" s="98"/>
      <c r="D6" s="97"/>
      <c r="E6" s="97"/>
      <c r="F6" s="97"/>
      <c r="G6" s="99"/>
      <c r="H6" s="98"/>
      <c r="I6" s="97"/>
      <c r="J6" s="97"/>
      <c r="K6" s="98"/>
      <c r="L6" s="98"/>
      <c r="M6" s="97"/>
      <c r="N6" s="97"/>
      <c r="O6" s="100"/>
      <c r="P6" s="98"/>
      <c r="Q6" s="98"/>
      <c r="R6" s="98"/>
      <c r="S6" s="98"/>
      <c r="T6" s="101"/>
      <c r="U6" s="101"/>
    </row>
    <row r="7" spans="1:21" ht="15.75" thickBot="1" x14ac:dyDescent="0.3">
      <c r="A7" s="31"/>
      <c r="B7" s="120" t="s">
        <v>1107</v>
      </c>
      <c r="C7" s="5"/>
      <c r="D7" s="4"/>
      <c r="E7" s="4"/>
      <c r="F7" s="4"/>
      <c r="G7" s="9"/>
      <c r="H7" s="5"/>
      <c r="I7" s="4"/>
      <c r="J7" s="4"/>
      <c r="K7" s="5"/>
      <c r="L7" s="5"/>
      <c r="M7" s="4"/>
      <c r="N7" s="4"/>
      <c r="O7" s="49"/>
      <c r="P7" s="5"/>
      <c r="Q7" s="5"/>
      <c r="R7" s="5"/>
      <c r="S7" s="5"/>
      <c r="T7" s="102"/>
      <c r="U7" s="101"/>
    </row>
    <row r="8" spans="1:21" x14ac:dyDescent="0.25">
      <c r="A8" s="31">
        <v>1</v>
      </c>
      <c r="B8" s="4" t="s">
        <v>1100</v>
      </c>
      <c r="C8" s="20">
        <v>1</v>
      </c>
      <c r="D8" s="7">
        <v>0</v>
      </c>
      <c r="E8" s="3">
        <f t="shared" ref="E8:E94" si="0">C8+(C8*D8)</f>
        <v>1</v>
      </c>
      <c r="F8" s="85" t="s">
        <v>867</v>
      </c>
      <c r="G8" s="9">
        <v>130</v>
      </c>
      <c r="H8" s="22" t="s">
        <v>1</v>
      </c>
      <c r="I8" s="78">
        <f t="shared" ref="I8:I94" si="1">IF(H8="C",(G8/100)*E8,IF(H8="M",(G8/1000)*E8,G8*E8))</f>
        <v>130</v>
      </c>
      <c r="J8" s="110">
        <f>$O$4</f>
        <v>75</v>
      </c>
      <c r="K8" s="4">
        <v>3</v>
      </c>
      <c r="L8" s="22" t="s">
        <v>1</v>
      </c>
      <c r="M8" s="80">
        <f t="shared" ref="M8:M94" si="2">IF(L8="C",(K8/100)*E8,IF(L8="M",(K8/1000)*E8,K8*E8))</f>
        <v>3</v>
      </c>
      <c r="N8" s="78">
        <f t="shared" ref="N8:N94" si="3">M8*J8</f>
        <v>225</v>
      </c>
      <c r="O8" s="111">
        <f t="shared" ref="O8:O94" si="4">N8+I8</f>
        <v>355</v>
      </c>
      <c r="P8" s="5">
        <v>3.75</v>
      </c>
      <c r="Q8" s="5">
        <v>4.5</v>
      </c>
      <c r="R8" s="5"/>
      <c r="S8" s="5"/>
      <c r="T8" s="102"/>
      <c r="U8" s="101"/>
    </row>
    <row r="9" spans="1:21" x14ac:dyDescent="0.25">
      <c r="A9" s="31">
        <v>2</v>
      </c>
      <c r="B9" s="4" t="s">
        <v>1105</v>
      </c>
      <c r="C9" s="20">
        <v>1</v>
      </c>
      <c r="D9" s="7">
        <v>0</v>
      </c>
      <c r="E9" s="3">
        <f t="shared" si="0"/>
        <v>1</v>
      </c>
      <c r="F9" s="85" t="s">
        <v>867</v>
      </c>
      <c r="G9" s="9">
        <v>235</v>
      </c>
      <c r="H9" s="22" t="s">
        <v>1</v>
      </c>
      <c r="I9" s="78">
        <f t="shared" si="1"/>
        <v>235</v>
      </c>
      <c r="J9" s="110">
        <f t="shared" ref="J9:J27" si="5">$O$4</f>
        <v>75</v>
      </c>
      <c r="K9" s="4">
        <v>3</v>
      </c>
      <c r="L9" s="22" t="s">
        <v>1</v>
      </c>
      <c r="M9" s="80">
        <f t="shared" si="2"/>
        <v>3</v>
      </c>
      <c r="N9" s="78">
        <f t="shared" si="3"/>
        <v>225</v>
      </c>
      <c r="O9" s="111">
        <f t="shared" si="4"/>
        <v>460</v>
      </c>
      <c r="P9" s="5">
        <v>3.75</v>
      </c>
      <c r="Q9" s="5">
        <v>4.5</v>
      </c>
      <c r="R9" s="5"/>
      <c r="S9" s="5"/>
      <c r="T9" s="102"/>
      <c r="U9" s="101"/>
    </row>
    <row r="10" spans="1:21" x14ac:dyDescent="0.25">
      <c r="A10" s="31">
        <v>3</v>
      </c>
      <c r="B10" s="4" t="s">
        <v>1101</v>
      </c>
      <c r="C10" s="20">
        <v>1</v>
      </c>
      <c r="D10" s="7">
        <v>0</v>
      </c>
      <c r="E10" s="3">
        <f t="shared" si="0"/>
        <v>1</v>
      </c>
      <c r="F10" s="85" t="s">
        <v>867</v>
      </c>
      <c r="G10" s="9">
        <v>290</v>
      </c>
      <c r="H10" s="22" t="s">
        <v>1</v>
      </c>
      <c r="I10" s="78">
        <f t="shared" si="1"/>
        <v>290</v>
      </c>
      <c r="J10" s="110">
        <f t="shared" si="5"/>
        <v>75</v>
      </c>
      <c r="K10" s="4">
        <v>3</v>
      </c>
      <c r="L10" s="22" t="s">
        <v>1</v>
      </c>
      <c r="M10" s="80">
        <f t="shared" si="2"/>
        <v>3</v>
      </c>
      <c r="N10" s="78">
        <f t="shared" si="3"/>
        <v>225</v>
      </c>
      <c r="O10" s="111">
        <f t="shared" si="4"/>
        <v>515</v>
      </c>
      <c r="P10" s="5">
        <v>3.75</v>
      </c>
      <c r="Q10" s="5">
        <v>4.5</v>
      </c>
      <c r="R10" s="5"/>
      <c r="S10" s="5"/>
      <c r="T10" s="102"/>
      <c r="U10" s="101"/>
    </row>
    <row r="11" spans="1:21" x14ac:dyDescent="0.25">
      <c r="A11" s="31">
        <v>4</v>
      </c>
      <c r="B11" s="4" t="s">
        <v>1104</v>
      </c>
      <c r="C11" s="20">
        <v>1</v>
      </c>
      <c r="D11" s="7">
        <v>0</v>
      </c>
      <c r="E11" s="3">
        <f t="shared" si="0"/>
        <v>1</v>
      </c>
      <c r="F11" s="85" t="s">
        <v>867</v>
      </c>
      <c r="G11" s="9">
        <v>324</v>
      </c>
      <c r="H11" s="22" t="s">
        <v>1</v>
      </c>
      <c r="I11" s="78">
        <f t="shared" si="1"/>
        <v>324</v>
      </c>
      <c r="J11" s="110">
        <f t="shared" si="5"/>
        <v>75</v>
      </c>
      <c r="K11" s="4">
        <v>4</v>
      </c>
      <c r="L11" s="22" t="s">
        <v>1</v>
      </c>
      <c r="M11" s="80">
        <f t="shared" si="2"/>
        <v>4</v>
      </c>
      <c r="N11" s="78">
        <f t="shared" si="3"/>
        <v>300</v>
      </c>
      <c r="O11" s="111">
        <f t="shared" si="4"/>
        <v>624</v>
      </c>
      <c r="P11" s="5">
        <v>5</v>
      </c>
      <c r="Q11" s="5">
        <v>6</v>
      </c>
      <c r="R11" s="5"/>
      <c r="S11" s="5"/>
      <c r="T11" s="102"/>
      <c r="U11" s="101"/>
    </row>
    <row r="12" spans="1:21" x14ac:dyDescent="0.25">
      <c r="A12" s="31">
        <v>5</v>
      </c>
      <c r="B12" s="4" t="s">
        <v>1103</v>
      </c>
      <c r="C12" s="20">
        <v>1</v>
      </c>
      <c r="D12" s="7">
        <v>0</v>
      </c>
      <c r="E12" s="3">
        <f t="shared" si="0"/>
        <v>1</v>
      </c>
      <c r="F12" s="85" t="s">
        <v>867</v>
      </c>
      <c r="G12" s="9">
        <v>394</v>
      </c>
      <c r="H12" s="22" t="s">
        <v>1</v>
      </c>
      <c r="I12" s="78">
        <f t="shared" si="1"/>
        <v>394</v>
      </c>
      <c r="J12" s="110">
        <f t="shared" si="5"/>
        <v>75</v>
      </c>
      <c r="K12" s="4">
        <v>4</v>
      </c>
      <c r="L12" s="22" t="s">
        <v>1</v>
      </c>
      <c r="M12" s="80">
        <f t="shared" si="2"/>
        <v>4</v>
      </c>
      <c r="N12" s="78">
        <f t="shared" si="3"/>
        <v>300</v>
      </c>
      <c r="O12" s="111">
        <f t="shared" si="4"/>
        <v>694</v>
      </c>
      <c r="P12" s="5">
        <v>5</v>
      </c>
      <c r="Q12" s="5">
        <v>6</v>
      </c>
      <c r="R12" s="5"/>
      <c r="S12" s="5"/>
      <c r="T12" s="102"/>
      <c r="U12" s="101"/>
    </row>
    <row r="13" spans="1:21" x14ac:dyDescent="0.25">
      <c r="A13" s="31">
        <v>6</v>
      </c>
      <c r="B13" s="4" t="s">
        <v>1102</v>
      </c>
      <c r="C13" s="20">
        <v>1</v>
      </c>
      <c r="D13" s="7">
        <v>0</v>
      </c>
      <c r="E13" s="3">
        <f t="shared" si="0"/>
        <v>1</v>
      </c>
      <c r="F13" s="85" t="s">
        <v>867</v>
      </c>
      <c r="G13" s="9">
        <v>483</v>
      </c>
      <c r="H13" s="22" t="s">
        <v>1</v>
      </c>
      <c r="I13" s="78">
        <f t="shared" si="1"/>
        <v>483</v>
      </c>
      <c r="J13" s="110">
        <f t="shared" si="5"/>
        <v>75</v>
      </c>
      <c r="K13" s="4">
        <v>4</v>
      </c>
      <c r="L13" s="22" t="s">
        <v>1</v>
      </c>
      <c r="M13" s="80">
        <f t="shared" si="2"/>
        <v>4</v>
      </c>
      <c r="N13" s="78">
        <f t="shared" si="3"/>
        <v>300</v>
      </c>
      <c r="O13" s="111">
        <f t="shared" si="4"/>
        <v>783</v>
      </c>
      <c r="P13" s="5">
        <v>5</v>
      </c>
      <c r="Q13" s="5">
        <v>6</v>
      </c>
      <c r="R13" s="5">
        <v>6</v>
      </c>
      <c r="S13" s="5">
        <v>7.5</v>
      </c>
      <c r="T13" s="102">
        <v>9</v>
      </c>
      <c r="U13" s="101"/>
    </row>
    <row r="14" spans="1:21" x14ac:dyDescent="0.25">
      <c r="A14" s="31">
        <v>7</v>
      </c>
      <c r="B14" s="4" t="s">
        <v>1106</v>
      </c>
      <c r="C14" s="20">
        <v>1</v>
      </c>
      <c r="D14" s="7">
        <v>0</v>
      </c>
      <c r="E14" s="3">
        <f t="shared" ref="E14:E27" si="6">C14+(C14*D14)</f>
        <v>1</v>
      </c>
      <c r="F14" s="85" t="s">
        <v>867</v>
      </c>
      <c r="G14" s="9">
        <v>523</v>
      </c>
      <c r="H14" s="22" t="s">
        <v>1</v>
      </c>
      <c r="I14" s="78">
        <f t="shared" ref="I14:I27" si="7">IF(H14="C",(G14/100)*E14,IF(H14="M",(G14/1000)*E14,G14*E14))</f>
        <v>523</v>
      </c>
      <c r="J14" s="110">
        <f t="shared" si="5"/>
        <v>75</v>
      </c>
      <c r="K14" s="4">
        <v>6</v>
      </c>
      <c r="L14" s="22" t="s">
        <v>1</v>
      </c>
      <c r="M14" s="80">
        <f t="shared" ref="M14:M27" si="8">IF(L14="C",(K14/100)*E14,IF(L14="M",(K14/1000)*E14,K14*E14))</f>
        <v>6</v>
      </c>
      <c r="N14" s="78">
        <f t="shared" ref="N14:N27" si="9">M14*J14</f>
        <v>450</v>
      </c>
      <c r="O14" s="111">
        <f t="shared" ref="O14:O27" si="10">N14+I14</f>
        <v>973</v>
      </c>
      <c r="P14" s="5">
        <v>7.5</v>
      </c>
      <c r="Q14" s="5">
        <v>9</v>
      </c>
      <c r="R14" s="5">
        <v>7</v>
      </c>
      <c r="S14" s="5">
        <v>8.75</v>
      </c>
      <c r="T14" s="102">
        <v>10.5</v>
      </c>
      <c r="U14" s="101"/>
    </row>
    <row r="15" spans="1:21" x14ac:dyDescent="0.25">
      <c r="A15" s="31">
        <v>8</v>
      </c>
      <c r="B15" s="4" t="s">
        <v>1109</v>
      </c>
      <c r="C15" s="20">
        <v>1</v>
      </c>
      <c r="D15" s="7">
        <v>0</v>
      </c>
      <c r="E15" s="3">
        <f t="shared" si="6"/>
        <v>1</v>
      </c>
      <c r="F15" s="85" t="s">
        <v>867</v>
      </c>
      <c r="G15" s="9">
        <v>729</v>
      </c>
      <c r="H15" s="22" t="s">
        <v>1</v>
      </c>
      <c r="I15" s="78">
        <f t="shared" si="7"/>
        <v>729</v>
      </c>
      <c r="J15" s="110">
        <f t="shared" si="5"/>
        <v>75</v>
      </c>
      <c r="K15" s="4">
        <v>6</v>
      </c>
      <c r="L15" s="22" t="s">
        <v>1</v>
      </c>
      <c r="M15" s="80">
        <f t="shared" si="8"/>
        <v>6</v>
      </c>
      <c r="N15" s="78">
        <f t="shared" si="9"/>
        <v>450</v>
      </c>
      <c r="O15" s="111">
        <f t="shared" si="10"/>
        <v>1179</v>
      </c>
      <c r="P15" s="5">
        <v>7.5</v>
      </c>
      <c r="Q15" s="5">
        <v>9</v>
      </c>
      <c r="R15" s="5">
        <v>8</v>
      </c>
      <c r="S15" s="5">
        <v>10</v>
      </c>
      <c r="T15" s="102">
        <v>12</v>
      </c>
      <c r="U15" s="101"/>
    </row>
    <row r="16" spans="1:21" x14ac:dyDescent="0.25">
      <c r="A16" s="31">
        <v>9</v>
      </c>
      <c r="B16" s="4" t="s">
        <v>1110</v>
      </c>
      <c r="C16" s="20">
        <v>1</v>
      </c>
      <c r="D16" s="7">
        <v>0</v>
      </c>
      <c r="E16" s="3">
        <f t="shared" si="6"/>
        <v>1</v>
      </c>
      <c r="F16" s="85" t="s">
        <v>867</v>
      </c>
      <c r="G16" s="9">
        <v>765</v>
      </c>
      <c r="H16" s="22" t="s">
        <v>1</v>
      </c>
      <c r="I16" s="78">
        <f t="shared" si="7"/>
        <v>765</v>
      </c>
      <c r="J16" s="110">
        <f t="shared" si="5"/>
        <v>75</v>
      </c>
      <c r="K16" s="4">
        <v>6</v>
      </c>
      <c r="L16" s="22" t="s">
        <v>1</v>
      </c>
      <c r="M16" s="80">
        <f t="shared" si="8"/>
        <v>6</v>
      </c>
      <c r="N16" s="78">
        <f t="shared" si="9"/>
        <v>450</v>
      </c>
      <c r="O16" s="111">
        <f t="shared" si="10"/>
        <v>1215</v>
      </c>
      <c r="P16" s="5">
        <v>7.5</v>
      </c>
      <c r="Q16" s="5">
        <v>9</v>
      </c>
      <c r="R16" s="5">
        <v>8</v>
      </c>
      <c r="S16" s="5">
        <v>10</v>
      </c>
      <c r="T16" s="102">
        <v>12</v>
      </c>
      <c r="U16" s="101"/>
    </row>
    <row r="17" spans="1:21" x14ac:dyDescent="0.25">
      <c r="A17" s="31">
        <v>10</v>
      </c>
      <c r="B17" s="4" t="s">
        <v>1111</v>
      </c>
      <c r="C17" s="20">
        <v>1</v>
      </c>
      <c r="D17" s="7">
        <v>0</v>
      </c>
      <c r="E17" s="3">
        <f t="shared" si="6"/>
        <v>1</v>
      </c>
      <c r="F17" s="85" t="s">
        <v>867</v>
      </c>
      <c r="G17" s="9">
        <v>942</v>
      </c>
      <c r="H17" s="22" t="s">
        <v>1</v>
      </c>
      <c r="I17" s="78">
        <f t="shared" si="7"/>
        <v>942</v>
      </c>
      <c r="J17" s="110">
        <f t="shared" si="5"/>
        <v>75</v>
      </c>
      <c r="K17" s="4">
        <v>9</v>
      </c>
      <c r="L17" s="22" t="s">
        <v>1</v>
      </c>
      <c r="M17" s="80">
        <f t="shared" si="8"/>
        <v>9</v>
      </c>
      <c r="N17" s="78">
        <f t="shared" si="9"/>
        <v>675</v>
      </c>
      <c r="O17" s="111">
        <f t="shared" si="10"/>
        <v>1617</v>
      </c>
      <c r="P17" s="5">
        <v>11.25</v>
      </c>
      <c r="Q17" s="5">
        <v>13.5</v>
      </c>
      <c r="R17" s="5">
        <v>8</v>
      </c>
      <c r="S17" s="5">
        <v>10</v>
      </c>
      <c r="T17" s="102">
        <v>12</v>
      </c>
      <c r="U17" s="101"/>
    </row>
    <row r="18" spans="1:21" x14ac:dyDescent="0.25">
      <c r="A18" s="31">
        <v>11</v>
      </c>
      <c r="B18" s="4" t="s">
        <v>1112</v>
      </c>
      <c r="C18" s="20">
        <v>1</v>
      </c>
      <c r="D18" s="7">
        <v>0</v>
      </c>
      <c r="E18" s="3">
        <f t="shared" si="6"/>
        <v>1</v>
      </c>
      <c r="F18" s="85" t="s">
        <v>867</v>
      </c>
      <c r="G18" s="9">
        <v>1167</v>
      </c>
      <c r="H18" s="22" t="s">
        <v>1</v>
      </c>
      <c r="I18" s="78">
        <f t="shared" si="7"/>
        <v>1167</v>
      </c>
      <c r="J18" s="110">
        <f t="shared" si="5"/>
        <v>75</v>
      </c>
      <c r="K18" s="4">
        <v>9</v>
      </c>
      <c r="L18" s="22" t="s">
        <v>1</v>
      </c>
      <c r="M18" s="80">
        <f t="shared" si="8"/>
        <v>9</v>
      </c>
      <c r="N18" s="78">
        <f t="shared" si="9"/>
        <v>675</v>
      </c>
      <c r="O18" s="111">
        <f t="shared" si="10"/>
        <v>1842</v>
      </c>
      <c r="P18" s="5">
        <v>11.25</v>
      </c>
      <c r="Q18" s="5">
        <v>13.5</v>
      </c>
      <c r="R18" s="5">
        <v>11</v>
      </c>
      <c r="S18" s="5">
        <v>13.75</v>
      </c>
      <c r="T18" s="102">
        <v>16.5</v>
      </c>
      <c r="U18" s="101"/>
    </row>
    <row r="19" spans="1:21" x14ac:dyDescent="0.25">
      <c r="A19" s="31">
        <v>12</v>
      </c>
      <c r="B19" s="4" t="s">
        <v>1113</v>
      </c>
      <c r="C19" s="20">
        <v>1</v>
      </c>
      <c r="D19" s="7">
        <v>0</v>
      </c>
      <c r="E19" s="3">
        <f t="shared" si="6"/>
        <v>1</v>
      </c>
      <c r="F19" s="85" t="s">
        <v>867</v>
      </c>
      <c r="G19" s="9">
        <v>1285</v>
      </c>
      <c r="H19" s="22" t="s">
        <v>1</v>
      </c>
      <c r="I19" s="78">
        <f t="shared" si="7"/>
        <v>1285</v>
      </c>
      <c r="J19" s="110">
        <f t="shared" si="5"/>
        <v>75</v>
      </c>
      <c r="K19" s="4">
        <v>9</v>
      </c>
      <c r="L19" s="22" t="s">
        <v>1</v>
      </c>
      <c r="M19" s="80">
        <f t="shared" si="8"/>
        <v>9</v>
      </c>
      <c r="N19" s="78">
        <f t="shared" si="9"/>
        <v>675</v>
      </c>
      <c r="O19" s="111">
        <f t="shared" si="10"/>
        <v>1960</v>
      </c>
      <c r="P19" s="5">
        <v>11.25</v>
      </c>
      <c r="Q19" s="5">
        <v>13.5</v>
      </c>
      <c r="R19" s="5">
        <v>11</v>
      </c>
      <c r="S19" s="5">
        <v>13.75</v>
      </c>
      <c r="T19" s="102">
        <v>16.5</v>
      </c>
      <c r="U19" s="101"/>
    </row>
    <row r="20" spans="1:21" x14ac:dyDescent="0.25">
      <c r="A20" s="31">
        <v>13</v>
      </c>
      <c r="B20" s="4" t="s">
        <v>1114</v>
      </c>
      <c r="C20" s="20">
        <v>1</v>
      </c>
      <c r="D20" s="7">
        <v>0</v>
      </c>
      <c r="E20" s="3">
        <f t="shared" si="6"/>
        <v>1</v>
      </c>
      <c r="F20" s="85" t="s">
        <v>867</v>
      </c>
      <c r="G20" s="9">
        <v>1398</v>
      </c>
      <c r="H20" s="22" t="s">
        <v>1</v>
      </c>
      <c r="I20" s="78">
        <f t="shared" si="7"/>
        <v>1398</v>
      </c>
      <c r="J20" s="110">
        <f t="shared" si="5"/>
        <v>75</v>
      </c>
      <c r="K20" s="4">
        <v>9</v>
      </c>
      <c r="L20" s="22" t="s">
        <v>1</v>
      </c>
      <c r="M20" s="80">
        <f t="shared" si="8"/>
        <v>9</v>
      </c>
      <c r="N20" s="78">
        <f t="shared" si="9"/>
        <v>675</v>
      </c>
      <c r="O20" s="111">
        <f t="shared" si="10"/>
        <v>2073</v>
      </c>
      <c r="P20" s="5">
        <v>11.25</v>
      </c>
      <c r="Q20" s="5">
        <v>13.5</v>
      </c>
      <c r="R20" s="5">
        <v>11</v>
      </c>
      <c r="S20" s="5">
        <v>13.75</v>
      </c>
      <c r="T20" s="102">
        <v>16.5</v>
      </c>
      <c r="U20" s="101"/>
    </row>
    <row r="21" spans="1:21" x14ac:dyDescent="0.25">
      <c r="A21" s="31">
        <v>14</v>
      </c>
      <c r="B21" s="4" t="s">
        <v>1115</v>
      </c>
      <c r="C21" s="20">
        <v>1</v>
      </c>
      <c r="D21" s="7">
        <v>0</v>
      </c>
      <c r="E21" s="3">
        <f t="shared" si="6"/>
        <v>1</v>
      </c>
      <c r="F21" s="85" t="s">
        <v>867</v>
      </c>
      <c r="G21" s="9">
        <v>1590</v>
      </c>
      <c r="H21" s="22" t="s">
        <v>1</v>
      </c>
      <c r="I21" s="78">
        <f t="shared" si="7"/>
        <v>1590</v>
      </c>
      <c r="J21" s="110">
        <f t="shared" si="5"/>
        <v>75</v>
      </c>
      <c r="K21" s="4">
        <v>9</v>
      </c>
      <c r="L21" s="22" t="s">
        <v>1</v>
      </c>
      <c r="M21" s="80">
        <f t="shared" si="8"/>
        <v>9</v>
      </c>
      <c r="N21" s="78">
        <f t="shared" si="9"/>
        <v>675</v>
      </c>
      <c r="O21" s="111">
        <f t="shared" si="10"/>
        <v>2265</v>
      </c>
      <c r="P21" s="5">
        <v>11.25</v>
      </c>
      <c r="Q21" s="5">
        <v>13.5</v>
      </c>
      <c r="R21" s="5">
        <v>11</v>
      </c>
      <c r="S21" s="5">
        <v>13.75</v>
      </c>
      <c r="T21" s="102">
        <v>16.5</v>
      </c>
      <c r="U21" s="101"/>
    </row>
    <row r="22" spans="1:21" x14ac:dyDescent="0.25">
      <c r="A22" s="31">
        <v>15</v>
      </c>
      <c r="B22" s="4" t="s">
        <v>1116</v>
      </c>
      <c r="C22" s="20">
        <v>1</v>
      </c>
      <c r="D22" s="7">
        <v>0</v>
      </c>
      <c r="E22" s="3">
        <f t="shared" si="6"/>
        <v>1</v>
      </c>
      <c r="F22" s="85" t="s">
        <v>867</v>
      </c>
      <c r="G22" s="9">
        <v>3155</v>
      </c>
      <c r="H22" s="22" t="s">
        <v>1</v>
      </c>
      <c r="I22" s="78">
        <f t="shared" si="7"/>
        <v>3155</v>
      </c>
      <c r="J22" s="110">
        <f t="shared" si="5"/>
        <v>75</v>
      </c>
      <c r="K22" s="4">
        <v>12</v>
      </c>
      <c r="L22" s="22" t="s">
        <v>1</v>
      </c>
      <c r="M22" s="80">
        <f t="shared" si="8"/>
        <v>12</v>
      </c>
      <c r="N22" s="78">
        <f t="shared" si="9"/>
        <v>900</v>
      </c>
      <c r="O22" s="111">
        <f t="shared" si="10"/>
        <v>4055</v>
      </c>
      <c r="P22" s="5">
        <v>15</v>
      </c>
      <c r="Q22" s="5">
        <v>18</v>
      </c>
      <c r="R22" s="5">
        <v>13</v>
      </c>
      <c r="S22" s="5">
        <v>16.25</v>
      </c>
      <c r="T22" s="102">
        <v>19.5</v>
      </c>
      <c r="U22" s="101"/>
    </row>
    <row r="23" spans="1:21" x14ac:dyDescent="0.25">
      <c r="A23" s="31">
        <v>16</v>
      </c>
      <c r="B23" s="4" t="s">
        <v>1117</v>
      </c>
      <c r="C23" s="20">
        <v>1</v>
      </c>
      <c r="D23" s="7">
        <v>0</v>
      </c>
      <c r="E23" s="3">
        <f t="shared" si="6"/>
        <v>1</v>
      </c>
      <c r="F23" s="85" t="s">
        <v>867</v>
      </c>
      <c r="G23" s="9">
        <v>4019</v>
      </c>
      <c r="H23" s="22" t="s">
        <v>1</v>
      </c>
      <c r="I23" s="78">
        <f t="shared" si="7"/>
        <v>4019</v>
      </c>
      <c r="J23" s="110">
        <f t="shared" si="5"/>
        <v>75</v>
      </c>
      <c r="K23" s="4">
        <v>12</v>
      </c>
      <c r="L23" s="22" t="s">
        <v>1</v>
      </c>
      <c r="M23" s="80">
        <f t="shared" si="8"/>
        <v>12</v>
      </c>
      <c r="N23" s="78">
        <f t="shared" si="9"/>
        <v>900</v>
      </c>
      <c r="O23" s="111">
        <f t="shared" si="10"/>
        <v>4919</v>
      </c>
      <c r="P23" s="5">
        <v>15</v>
      </c>
      <c r="Q23" s="5">
        <v>18</v>
      </c>
      <c r="R23" s="5">
        <v>13</v>
      </c>
      <c r="S23" s="5">
        <v>16.25</v>
      </c>
      <c r="T23" s="102">
        <v>19.5</v>
      </c>
      <c r="U23" s="101"/>
    </row>
    <row r="24" spans="1:21" x14ac:dyDescent="0.25">
      <c r="A24" s="31">
        <v>17</v>
      </c>
      <c r="B24" s="4" t="s">
        <v>1118</v>
      </c>
      <c r="C24" s="20">
        <v>1</v>
      </c>
      <c r="D24" s="7">
        <v>0</v>
      </c>
      <c r="E24" s="3">
        <f t="shared" si="6"/>
        <v>1</v>
      </c>
      <c r="F24" s="85" t="s">
        <v>867</v>
      </c>
      <c r="G24" s="9">
        <v>4198</v>
      </c>
      <c r="H24" s="22" t="s">
        <v>1</v>
      </c>
      <c r="I24" s="78">
        <f t="shared" si="7"/>
        <v>4198</v>
      </c>
      <c r="J24" s="110">
        <f t="shared" si="5"/>
        <v>75</v>
      </c>
      <c r="K24" s="4">
        <v>16</v>
      </c>
      <c r="L24" s="22" t="s">
        <v>1</v>
      </c>
      <c r="M24" s="80">
        <f t="shared" si="8"/>
        <v>16</v>
      </c>
      <c r="N24" s="78">
        <f t="shared" si="9"/>
        <v>1200</v>
      </c>
      <c r="O24" s="111">
        <f t="shared" si="10"/>
        <v>5398</v>
      </c>
      <c r="P24" s="5">
        <v>20</v>
      </c>
      <c r="Q24" s="5">
        <v>24</v>
      </c>
      <c r="R24" s="5">
        <v>16</v>
      </c>
      <c r="S24" s="5">
        <v>20</v>
      </c>
      <c r="T24" s="102">
        <v>24</v>
      </c>
      <c r="U24" s="101"/>
    </row>
    <row r="25" spans="1:21" x14ac:dyDescent="0.25">
      <c r="A25" s="31">
        <v>18</v>
      </c>
      <c r="B25" s="4" t="s">
        <v>1119</v>
      </c>
      <c r="C25" s="20">
        <v>1</v>
      </c>
      <c r="D25" s="7">
        <v>0</v>
      </c>
      <c r="E25" s="3">
        <f t="shared" si="6"/>
        <v>1</v>
      </c>
      <c r="F25" s="85" t="s">
        <v>867</v>
      </c>
      <c r="G25" s="9">
        <v>4499</v>
      </c>
      <c r="H25" s="22" t="s">
        <v>1</v>
      </c>
      <c r="I25" s="78">
        <f t="shared" si="7"/>
        <v>4499</v>
      </c>
      <c r="J25" s="110">
        <f t="shared" si="5"/>
        <v>75</v>
      </c>
      <c r="K25" s="4">
        <v>16</v>
      </c>
      <c r="L25" s="22" t="s">
        <v>1</v>
      </c>
      <c r="M25" s="80">
        <f t="shared" si="8"/>
        <v>16</v>
      </c>
      <c r="N25" s="78">
        <f t="shared" si="9"/>
        <v>1200</v>
      </c>
      <c r="O25" s="111">
        <f t="shared" si="10"/>
        <v>5699</v>
      </c>
      <c r="P25" s="5">
        <v>20</v>
      </c>
      <c r="Q25" s="5">
        <v>24</v>
      </c>
      <c r="R25" s="5">
        <v>16</v>
      </c>
      <c r="S25" s="5">
        <v>20</v>
      </c>
      <c r="T25" s="102">
        <v>24</v>
      </c>
      <c r="U25" s="101"/>
    </row>
    <row r="26" spans="1:21" x14ac:dyDescent="0.25">
      <c r="A26" s="31">
        <v>19</v>
      </c>
      <c r="B26" s="4" t="s">
        <v>1120</v>
      </c>
      <c r="C26" s="20">
        <v>1</v>
      </c>
      <c r="D26" s="7">
        <v>0</v>
      </c>
      <c r="E26" s="3">
        <f t="shared" si="6"/>
        <v>1</v>
      </c>
      <c r="F26" s="85" t="s">
        <v>867</v>
      </c>
      <c r="G26" s="9">
        <v>6899</v>
      </c>
      <c r="H26" s="22" t="s">
        <v>1</v>
      </c>
      <c r="I26" s="78">
        <f t="shared" si="7"/>
        <v>6899</v>
      </c>
      <c r="J26" s="110">
        <f t="shared" si="5"/>
        <v>75</v>
      </c>
      <c r="K26" s="4">
        <v>20</v>
      </c>
      <c r="L26" s="22" t="s">
        <v>1</v>
      </c>
      <c r="M26" s="80">
        <f t="shared" si="8"/>
        <v>20</v>
      </c>
      <c r="N26" s="78">
        <f t="shared" si="9"/>
        <v>1500</v>
      </c>
      <c r="O26" s="111">
        <f t="shared" si="10"/>
        <v>8399</v>
      </c>
      <c r="P26" s="5">
        <v>25</v>
      </c>
      <c r="Q26" s="5">
        <v>30</v>
      </c>
      <c r="R26" s="5">
        <v>22</v>
      </c>
      <c r="S26" s="5">
        <v>27.5</v>
      </c>
      <c r="T26" s="102">
        <v>33</v>
      </c>
      <c r="U26" s="101"/>
    </row>
    <row r="27" spans="1:21" x14ac:dyDescent="0.25">
      <c r="A27" s="31">
        <v>20</v>
      </c>
      <c r="B27" s="4" t="s">
        <v>1121</v>
      </c>
      <c r="C27" s="20">
        <v>1</v>
      </c>
      <c r="D27" s="7">
        <v>0</v>
      </c>
      <c r="E27" s="3">
        <f t="shared" si="6"/>
        <v>1</v>
      </c>
      <c r="F27" s="85" t="s">
        <v>867</v>
      </c>
      <c r="G27" s="9">
        <v>8060</v>
      </c>
      <c r="H27" s="22" t="s">
        <v>1</v>
      </c>
      <c r="I27" s="78">
        <f t="shared" si="7"/>
        <v>8060</v>
      </c>
      <c r="J27" s="110">
        <f t="shared" si="5"/>
        <v>75</v>
      </c>
      <c r="K27" s="4">
        <v>20</v>
      </c>
      <c r="L27" s="22" t="s">
        <v>1</v>
      </c>
      <c r="M27" s="80">
        <f t="shared" si="8"/>
        <v>20</v>
      </c>
      <c r="N27" s="78">
        <f t="shared" si="9"/>
        <v>1500</v>
      </c>
      <c r="O27" s="111">
        <f t="shared" si="10"/>
        <v>9560</v>
      </c>
      <c r="P27" s="5">
        <v>25</v>
      </c>
      <c r="Q27" s="5">
        <v>30</v>
      </c>
      <c r="R27" s="5">
        <v>24</v>
      </c>
      <c r="S27" s="5">
        <v>30</v>
      </c>
      <c r="T27" s="102">
        <v>36</v>
      </c>
      <c r="U27" s="101"/>
    </row>
    <row r="28" spans="1:21" x14ac:dyDescent="0.25">
      <c r="A28" s="31"/>
      <c r="B28" s="4"/>
      <c r="C28" s="20"/>
      <c r="D28" s="7"/>
      <c r="E28" s="3"/>
      <c r="F28" s="85"/>
      <c r="G28" s="77" t="s">
        <v>1202</v>
      </c>
      <c r="H28" s="22"/>
      <c r="I28" s="78"/>
      <c r="J28" s="110"/>
      <c r="K28" s="4"/>
      <c r="L28" s="22"/>
      <c r="M28" s="80"/>
      <c r="N28" s="78"/>
      <c r="O28" s="111"/>
      <c r="P28" s="5"/>
      <c r="Q28" s="5"/>
      <c r="R28" s="5"/>
      <c r="S28" s="5"/>
      <c r="T28" s="102"/>
      <c r="U28" s="101"/>
    </row>
    <row r="29" spans="1:21" x14ac:dyDescent="0.25">
      <c r="A29" s="31">
        <v>1</v>
      </c>
      <c r="B29" s="4" t="s">
        <v>1122</v>
      </c>
      <c r="C29" s="20">
        <v>1</v>
      </c>
      <c r="D29" s="7">
        <v>0</v>
      </c>
      <c r="E29" s="3">
        <f t="shared" ref="E29:E49" si="11">C29+(C29*D29)</f>
        <v>1</v>
      </c>
      <c r="F29" s="85" t="s">
        <v>867</v>
      </c>
      <c r="G29" s="9">
        <v>229</v>
      </c>
      <c r="H29" s="22" t="s">
        <v>1</v>
      </c>
      <c r="I29" s="78">
        <f t="shared" ref="I29:I49" si="12">IF(H29="C",(G29/100)*E29,IF(H29="M",(G29/1000)*E29,G29*E29))</f>
        <v>229</v>
      </c>
      <c r="J29" s="110">
        <f>$O$4</f>
        <v>75</v>
      </c>
      <c r="K29" s="4">
        <v>4</v>
      </c>
      <c r="L29" s="22" t="s">
        <v>1</v>
      </c>
      <c r="M29" s="80">
        <f t="shared" ref="M29:M49" si="13">IF(L29="C",(K29/100)*E29,IF(L29="M",(K29/1000)*E29,K29*E29))</f>
        <v>4</v>
      </c>
      <c r="N29" s="78">
        <f t="shared" ref="N29:N49" si="14">M29*J29</f>
        <v>300</v>
      </c>
      <c r="O29" s="111">
        <f t="shared" ref="O29:O49" si="15">N29+I29</f>
        <v>529</v>
      </c>
      <c r="P29" s="5">
        <v>5</v>
      </c>
      <c r="Q29" s="5">
        <v>6</v>
      </c>
      <c r="R29" s="5"/>
      <c r="S29" s="5"/>
      <c r="T29" s="102"/>
      <c r="U29" s="101"/>
    </row>
    <row r="30" spans="1:21" x14ac:dyDescent="0.25">
      <c r="A30" s="31">
        <v>2</v>
      </c>
      <c r="B30" s="4" t="s">
        <v>1123</v>
      </c>
      <c r="C30" s="20">
        <v>1</v>
      </c>
      <c r="D30" s="7">
        <v>0</v>
      </c>
      <c r="E30" s="3">
        <f t="shared" si="11"/>
        <v>1</v>
      </c>
      <c r="F30" s="85" t="s">
        <v>867</v>
      </c>
      <c r="G30" s="9">
        <v>299</v>
      </c>
      <c r="H30" s="22" t="s">
        <v>1</v>
      </c>
      <c r="I30" s="78">
        <f t="shared" si="12"/>
        <v>299</v>
      </c>
      <c r="J30" s="110">
        <f t="shared" ref="J30:J49" si="16">$O$4</f>
        <v>75</v>
      </c>
      <c r="K30" s="4">
        <v>4</v>
      </c>
      <c r="L30" s="22" t="s">
        <v>1</v>
      </c>
      <c r="M30" s="80">
        <f t="shared" si="13"/>
        <v>4</v>
      </c>
      <c r="N30" s="78">
        <f t="shared" si="14"/>
        <v>300</v>
      </c>
      <c r="O30" s="111">
        <f t="shared" si="15"/>
        <v>599</v>
      </c>
      <c r="P30" s="5">
        <v>5</v>
      </c>
      <c r="Q30" s="5">
        <v>6</v>
      </c>
      <c r="R30" s="5"/>
      <c r="S30" s="5"/>
      <c r="T30" s="102"/>
      <c r="U30" s="101"/>
    </row>
    <row r="31" spans="1:21" x14ac:dyDescent="0.25">
      <c r="A31" s="31">
        <v>3</v>
      </c>
      <c r="B31" s="4" t="s">
        <v>1124</v>
      </c>
      <c r="C31" s="20">
        <v>1</v>
      </c>
      <c r="D31" s="7">
        <v>0</v>
      </c>
      <c r="E31" s="3">
        <f t="shared" si="11"/>
        <v>1</v>
      </c>
      <c r="F31" s="85" t="s">
        <v>867</v>
      </c>
      <c r="G31" s="9">
        <v>395</v>
      </c>
      <c r="H31" s="22" t="s">
        <v>1</v>
      </c>
      <c r="I31" s="78">
        <f t="shared" si="12"/>
        <v>395</v>
      </c>
      <c r="J31" s="110">
        <f t="shared" si="16"/>
        <v>75</v>
      </c>
      <c r="K31" s="4">
        <v>4</v>
      </c>
      <c r="L31" s="22" t="s">
        <v>1</v>
      </c>
      <c r="M31" s="80">
        <f t="shared" si="13"/>
        <v>4</v>
      </c>
      <c r="N31" s="78">
        <f t="shared" si="14"/>
        <v>300</v>
      </c>
      <c r="O31" s="111">
        <f t="shared" si="15"/>
        <v>695</v>
      </c>
      <c r="P31" s="5">
        <v>5</v>
      </c>
      <c r="Q31" s="5">
        <v>6</v>
      </c>
      <c r="R31" s="5"/>
      <c r="S31" s="5"/>
      <c r="T31" s="102"/>
      <c r="U31" s="101"/>
    </row>
    <row r="32" spans="1:21" x14ac:dyDescent="0.25">
      <c r="A32" s="31">
        <v>4</v>
      </c>
      <c r="B32" s="4" t="s">
        <v>1125</v>
      </c>
      <c r="C32" s="20">
        <v>1</v>
      </c>
      <c r="D32" s="7">
        <v>0</v>
      </c>
      <c r="E32" s="3">
        <f t="shared" si="11"/>
        <v>1</v>
      </c>
      <c r="F32" s="85" t="s">
        <v>867</v>
      </c>
      <c r="G32" s="9">
        <v>489</v>
      </c>
      <c r="H32" s="22" t="s">
        <v>1</v>
      </c>
      <c r="I32" s="78">
        <f t="shared" si="12"/>
        <v>489</v>
      </c>
      <c r="J32" s="110">
        <f t="shared" si="16"/>
        <v>75</v>
      </c>
      <c r="K32" s="4">
        <v>5</v>
      </c>
      <c r="L32" s="22" t="s">
        <v>1</v>
      </c>
      <c r="M32" s="80">
        <f t="shared" si="13"/>
        <v>5</v>
      </c>
      <c r="N32" s="78">
        <f t="shared" si="14"/>
        <v>375</v>
      </c>
      <c r="O32" s="111">
        <f t="shared" si="15"/>
        <v>864</v>
      </c>
      <c r="P32" s="5">
        <v>6.25</v>
      </c>
      <c r="Q32" s="5">
        <v>7.5</v>
      </c>
      <c r="R32" s="5"/>
      <c r="S32" s="5"/>
      <c r="T32" s="102"/>
      <c r="U32" s="101"/>
    </row>
    <row r="33" spans="1:21" x14ac:dyDescent="0.25">
      <c r="A33" s="31">
        <v>5</v>
      </c>
      <c r="B33" s="4" t="s">
        <v>1126</v>
      </c>
      <c r="C33" s="20">
        <v>1</v>
      </c>
      <c r="D33" s="7">
        <v>0</v>
      </c>
      <c r="E33" s="3">
        <f t="shared" si="11"/>
        <v>1</v>
      </c>
      <c r="F33" s="85" t="s">
        <v>867</v>
      </c>
      <c r="G33" s="9">
        <v>799</v>
      </c>
      <c r="H33" s="22" t="s">
        <v>1</v>
      </c>
      <c r="I33" s="78">
        <f t="shared" si="12"/>
        <v>799</v>
      </c>
      <c r="J33" s="110">
        <f t="shared" si="16"/>
        <v>75</v>
      </c>
      <c r="K33" s="4">
        <v>5</v>
      </c>
      <c r="L33" s="22" t="s">
        <v>1</v>
      </c>
      <c r="M33" s="80">
        <f t="shared" si="13"/>
        <v>5</v>
      </c>
      <c r="N33" s="78">
        <f t="shared" si="14"/>
        <v>375</v>
      </c>
      <c r="O33" s="111">
        <f t="shared" si="15"/>
        <v>1174</v>
      </c>
      <c r="P33" s="5">
        <v>6.25</v>
      </c>
      <c r="Q33" s="5">
        <v>7.5</v>
      </c>
      <c r="R33" s="5"/>
      <c r="S33" s="5"/>
      <c r="T33" s="102"/>
      <c r="U33" s="101"/>
    </row>
    <row r="34" spans="1:21" x14ac:dyDescent="0.25">
      <c r="A34" s="31">
        <v>6</v>
      </c>
      <c r="B34" s="4" t="s">
        <v>1127</v>
      </c>
      <c r="C34" s="20">
        <v>1</v>
      </c>
      <c r="D34" s="7">
        <v>0</v>
      </c>
      <c r="E34" s="3">
        <f t="shared" si="11"/>
        <v>1</v>
      </c>
      <c r="F34" s="85" t="s">
        <v>867</v>
      </c>
      <c r="G34" s="9">
        <v>965</v>
      </c>
      <c r="H34" s="22" t="s">
        <v>1</v>
      </c>
      <c r="I34" s="78">
        <f t="shared" si="12"/>
        <v>965</v>
      </c>
      <c r="J34" s="110">
        <f t="shared" si="16"/>
        <v>75</v>
      </c>
      <c r="K34" s="4">
        <v>5</v>
      </c>
      <c r="L34" s="22" t="s">
        <v>1</v>
      </c>
      <c r="M34" s="80">
        <f t="shared" si="13"/>
        <v>5</v>
      </c>
      <c r="N34" s="78">
        <f t="shared" si="14"/>
        <v>375</v>
      </c>
      <c r="O34" s="111">
        <f t="shared" si="15"/>
        <v>1340</v>
      </c>
      <c r="P34" s="5">
        <v>6.25</v>
      </c>
      <c r="Q34" s="5">
        <v>7.5</v>
      </c>
      <c r="R34" s="5"/>
      <c r="S34" s="5"/>
      <c r="T34" s="102"/>
      <c r="U34" s="101"/>
    </row>
    <row r="35" spans="1:21" x14ac:dyDescent="0.25">
      <c r="A35" s="31">
        <v>7</v>
      </c>
      <c r="B35" s="4" t="s">
        <v>1128</v>
      </c>
      <c r="C35" s="20">
        <v>1</v>
      </c>
      <c r="D35" s="7">
        <v>0</v>
      </c>
      <c r="E35" s="3">
        <f t="shared" si="11"/>
        <v>1</v>
      </c>
      <c r="F35" s="85" t="s">
        <v>867</v>
      </c>
      <c r="G35" s="9">
        <v>1109</v>
      </c>
      <c r="H35" s="22" t="s">
        <v>1</v>
      </c>
      <c r="I35" s="78">
        <f t="shared" si="12"/>
        <v>1109</v>
      </c>
      <c r="J35" s="110">
        <f t="shared" si="16"/>
        <v>75</v>
      </c>
      <c r="K35" s="4">
        <v>7</v>
      </c>
      <c r="L35" s="22" t="s">
        <v>1</v>
      </c>
      <c r="M35" s="80">
        <f t="shared" si="13"/>
        <v>7</v>
      </c>
      <c r="N35" s="78">
        <f t="shared" si="14"/>
        <v>525</v>
      </c>
      <c r="O35" s="111">
        <f t="shared" si="15"/>
        <v>1634</v>
      </c>
      <c r="P35" s="5">
        <v>8.75</v>
      </c>
      <c r="Q35" s="5">
        <v>10.5</v>
      </c>
      <c r="R35" s="5"/>
      <c r="S35" s="5"/>
      <c r="T35" s="102"/>
      <c r="U35" s="101"/>
    </row>
    <row r="36" spans="1:21" x14ac:dyDescent="0.25">
      <c r="A36" s="31">
        <v>8</v>
      </c>
      <c r="B36" s="4" t="s">
        <v>1129</v>
      </c>
      <c r="C36" s="20">
        <v>1</v>
      </c>
      <c r="D36" s="7">
        <v>0</v>
      </c>
      <c r="E36" s="3">
        <f t="shared" si="11"/>
        <v>1</v>
      </c>
      <c r="F36" s="85" t="s">
        <v>867</v>
      </c>
      <c r="G36" s="9">
        <v>1349</v>
      </c>
      <c r="H36" s="22" t="s">
        <v>1</v>
      </c>
      <c r="I36" s="78">
        <f t="shared" si="12"/>
        <v>1349</v>
      </c>
      <c r="J36" s="110">
        <f t="shared" si="16"/>
        <v>75</v>
      </c>
      <c r="K36" s="4">
        <v>7</v>
      </c>
      <c r="L36" s="22" t="s">
        <v>1</v>
      </c>
      <c r="M36" s="80">
        <f t="shared" si="13"/>
        <v>7</v>
      </c>
      <c r="N36" s="78">
        <f t="shared" si="14"/>
        <v>525</v>
      </c>
      <c r="O36" s="111">
        <f t="shared" si="15"/>
        <v>1874</v>
      </c>
      <c r="P36" s="5">
        <v>8.75</v>
      </c>
      <c r="Q36" s="5">
        <v>10.5</v>
      </c>
      <c r="R36" s="5"/>
      <c r="S36" s="5"/>
      <c r="T36" s="102"/>
      <c r="U36" s="101"/>
    </row>
    <row r="37" spans="1:21" x14ac:dyDescent="0.25">
      <c r="A37" s="31">
        <v>9</v>
      </c>
      <c r="B37" s="4" t="s">
        <v>1130</v>
      </c>
      <c r="C37" s="20">
        <v>1</v>
      </c>
      <c r="D37" s="7">
        <v>0</v>
      </c>
      <c r="E37" s="3">
        <f t="shared" si="11"/>
        <v>1</v>
      </c>
      <c r="F37" s="85" t="s">
        <v>867</v>
      </c>
      <c r="G37" s="9">
        <v>1447</v>
      </c>
      <c r="H37" s="22" t="s">
        <v>1</v>
      </c>
      <c r="I37" s="78">
        <f t="shared" si="12"/>
        <v>1447</v>
      </c>
      <c r="J37" s="110">
        <f t="shared" si="16"/>
        <v>75</v>
      </c>
      <c r="K37" s="4">
        <v>7</v>
      </c>
      <c r="L37" s="22" t="s">
        <v>1</v>
      </c>
      <c r="M37" s="80">
        <f t="shared" si="13"/>
        <v>7</v>
      </c>
      <c r="N37" s="78">
        <f t="shared" si="14"/>
        <v>525</v>
      </c>
      <c r="O37" s="111">
        <f t="shared" si="15"/>
        <v>1972</v>
      </c>
      <c r="P37" s="5">
        <v>8.75</v>
      </c>
      <c r="Q37" s="5">
        <v>10.5</v>
      </c>
      <c r="R37" s="5"/>
      <c r="S37" s="5"/>
      <c r="T37" s="102"/>
      <c r="U37" s="101"/>
    </row>
    <row r="38" spans="1:21" x14ac:dyDescent="0.25">
      <c r="A38" s="31">
        <v>10</v>
      </c>
      <c r="B38" s="4" t="s">
        <v>1131</v>
      </c>
      <c r="C38" s="20">
        <v>1</v>
      </c>
      <c r="D38" s="7">
        <v>0</v>
      </c>
      <c r="E38" s="3">
        <f t="shared" si="11"/>
        <v>1</v>
      </c>
      <c r="F38" s="85" t="s">
        <v>867</v>
      </c>
      <c r="G38" s="9">
        <v>1549</v>
      </c>
      <c r="H38" s="22" t="s">
        <v>1</v>
      </c>
      <c r="I38" s="78">
        <f t="shared" si="12"/>
        <v>1549</v>
      </c>
      <c r="J38" s="110">
        <f t="shared" si="16"/>
        <v>75</v>
      </c>
      <c r="K38" s="4">
        <v>7</v>
      </c>
      <c r="L38" s="22" t="s">
        <v>1</v>
      </c>
      <c r="M38" s="80">
        <f t="shared" si="13"/>
        <v>7</v>
      </c>
      <c r="N38" s="78">
        <f t="shared" si="14"/>
        <v>525</v>
      </c>
      <c r="O38" s="111">
        <f t="shared" si="15"/>
        <v>2074</v>
      </c>
      <c r="P38" s="5">
        <v>8.75</v>
      </c>
      <c r="Q38" s="5">
        <v>10.5</v>
      </c>
      <c r="R38" s="5"/>
      <c r="S38" s="5"/>
      <c r="T38" s="102"/>
      <c r="U38" s="101"/>
    </row>
    <row r="39" spans="1:21" x14ac:dyDescent="0.25">
      <c r="A39" s="31">
        <v>11</v>
      </c>
      <c r="B39" s="4" t="s">
        <v>1132</v>
      </c>
      <c r="C39" s="20">
        <v>1</v>
      </c>
      <c r="D39" s="7">
        <v>0</v>
      </c>
      <c r="E39" s="3">
        <f t="shared" si="11"/>
        <v>1</v>
      </c>
      <c r="F39" s="85" t="s">
        <v>867</v>
      </c>
      <c r="G39" s="9">
        <v>1999</v>
      </c>
      <c r="H39" s="22" t="s">
        <v>1</v>
      </c>
      <c r="I39" s="78">
        <f t="shared" si="12"/>
        <v>1999</v>
      </c>
      <c r="J39" s="110">
        <f t="shared" si="16"/>
        <v>75</v>
      </c>
      <c r="K39" s="4">
        <v>10</v>
      </c>
      <c r="L39" s="22" t="s">
        <v>1</v>
      </c>
      <c r="M39" s="80">
        <f t="shared" si="13"/>
        <v>10</v>
      </c>
      <c r="N39" s="78">
        <f t="shared" si="14"/>
        <v>750</v>
      </c>
      <c r="O39" s="111">
        <f t="shared" si="15"/>
        <v>2749</v>
      </c>
      <c r="P39" s="5">
        <v>12.5</v>
      </c>
      <c r="Q39" s="5">
        <v>15</v>
      </c>
      <c r="R39" s="5">
        <v>9</v>
      </c>
      <c r="S39" s="5">
        <v>11.25</v>
      </c>
      <c r="T39" s="102">
        <v>13.5</v>
      </c>
      <c r="U39" s="101"/>
    </row>
    <row r="40" spans="1:21" x14ac:dyDescent="0.25">
      <c r="A40" s="31">
        <v>12</v>
      </c>
      <c r="B40" s="4" t="s">
        <v>1133</v>
      </c>
      <c r="C40" s="20">
        <v>1</v>
      </c>
      <c r="D40" s="7">
        <v>0</v>
      </c>
      <c r="E40" s="3">
        <f t="shared" si="11"/>
        <v>1</v>
      </c>
      <c r="F40" s="85" t="s">
        <v>867</v>
      </c>
      <c r="G40" s="9">
        <v>2164</v>
      </c>
      <c r="H40" s="22" t="s">
        <v>1</v>
      </c>
      <c r="I40" s="78">
        <f t="shared" si="12"/>
        <v>2164</v>
      </c>
      <c r="J40" s="110">
        <f t="shared" si="16"/>
        <v>75</v>
      </c>
      <c r="K40" s="4">
        <v>10</v>
      </c>
      <c r="L40" s="22" t="s">
        <v>1</v>
      </c>
      <c r="M40" s="80">
        <f t="shared" si="13"/>
        <v>10</v>
      </c>
      <c r="N40" s="78">
        <f t="shared" si="14"/>
        <v>750</v>
      </c>
      <c r="O40" s="111">
        <f t="shared" si="15"/>
        <v>2914</v>
      </c>
      <c r="P40" s="5">
        <v>12.5</v>
      </c>
      <c r="Q40" s="5">
        <v>15</v>
      </c>
      <c r="R40" s="5">
        <v>10</v>
      </c>
      <c r="S40" s="5">
        <v>12.5</v>
      </c>
      <c r="T40" s="102">
        <v>15</v>
      </c>
      <c r="U40" s="101"/>
    </row>
    <row r="41" spans="1:21" x14ac:dyDescent="0.25">
      <c r="A41" s="31">
        <v>13</v>
      </c>
      <c r="B41" s="4" t="s">
        <v>1134</v>
      </c>
      <c r="C41" s="20">
        <v>1</v>
      </c>
      <c r="D41" s="7">
        <v>0</v>
      </c>
      <c r="E41" s="3">
        <f t="shared" si="11"/>
        <v>1</v>
      </c>
      <c r="F41" s="85" t="s">
        <v>867</v>
      </c>
      <c r="G41" s="9">
        <v>2273</v>
      </c>
      <c r="H41" s="22" t="s">
        <v>1</v>
      </c>
      <c r="I41" s="78">
        <f t="shared" si="12"/>
        <v>2273</v>
      </c>
      <c r="J41" s="110">
        <f t="shared" si="16"/>
        <v>75</v>
      </c>
      <c r="K41" s="4">
        <v>10</v>
      </c>
      <c r="L41" s="22" t="s">
        <v>1</v>
      </c>
      <c r="M41" s="80">
        <f t="shared" si="13"/>
        <v>10</v>
      </c>
      <c r="N41" s="78">
        <f t="shared" si="14"/>
        <v>750</v>
      </c>
      <c r="O41" s="111">
        <f t="shared" si="15"/>
        <v>3023</v>
      </c>
      <c r="P41" s="5">
        <v>12.5</v>
      </c>
      <c r="Q41" s="5">
        <v>15</v>
      </c>
      <c r="R41" s="5">
        <v>12</v>
      </c>
      <c r="S41" s="5">
        <v>15</v>
      </c>
      <c r="T41" s="102">
        <v>18</v>
      </c>
      <c r="U41" s="101"/>
    </row>
    <row r="42" spans="1:21" x14ac:dyDescent="0.25">
      <c r="A42" s="31">
        <v>14</v>
      </c>
      <c r="B42" s="4" t="s">
        <v>1135</v>
      </c>
      <c r="C42" s="20">
        <v>1</v>
      </c>
      <c r="D42" s="7">
        <v>0</v>
      </c>
      <c r="E42" s="3">
        <f t="shared" si="11"/>
        <v>1</v>
      </c>
      <c r="F42" s="85" t="s">
        <v>867</v>
      </c>
      <c r="G42" s="9">
        <v>2279</v>
      </c>
      <c r="H42" s="22" t="s">
        <v>1</v>
      </c>
      <c r="I42" s="78">
        <f t="shared" si="12"/>
        <v>2279</v>
      </c>
      <c r="J42" s="110">
        <f t="shared" si="16"/>
        <v>75</v>
      </c>
      <c r="K42" s="4">
        <v>10</v>
      </c>
      <c r="L42" s="22" t="s">
        <v>1</v>
      </c>
      <c r="M42" s="80">
        <f t="shared" si="13"/>
        <v>10</v>
      </c>
      <c r="N42" s="78">
        <f t="shared" si="14"/>
        <v>750</v>
      </c>
      <c r="O42" s="111">
        <f t="shared" si="15"/>
        <v>3029</v>
      </c>
      <c r="P42" s="5">
        <v>12.5</v>
      </c>
      <c r="Q42" s="5">
        <v>15</v>
      </c>
      <c r="R42" s="5">
        <v>12</v>
      </c>
      <c r="S42" s="5">
        <v>15</v>
      </c>
      <c r="T42" s="102">
        <v>18</v>
      </c>
      <c r="U42" s="101"/>
    </row>
    <row r="43" spans="1:21" x14ac:dyDescent="0.25">
      <c r="A43" s="31">
        <v>15</v>
      </c>
      <c r="B43" s="4" t="s">
        <v>1136</v>
      </c>
      <c r="C43" s="20">
        <v>1</v>
      </c>
      <c r="D43" s="7">
        <v>0</v>
      </c>
      <c r="E43" s="3">
        <f t="shared" si="11"/>
        <v>1</v>
      </c>
      <c r="F43" s="85" t="s">
        <v>867</v>
      </c>
      <c r="G43" s="9">
        <v>2413</v>
      </c>
      <c r="H43" s="22" t="s">
        <v>1</v>
      </c>
      <c r="I43" s="78">
        <f t="shared" si="12"/>
        <v>2413</v>
      </c>
      <c r="J43" s="110">
        <f t="shared" si="16"/>
        <v>75</v>
      </c>
      <c r="K43" s="4">
        <v>10</v>
      </c>
      <c r="L43" s="22" t="s">
        <v>1</v>
      </c>
      <c r="M43" s="80">
        <f t="shared" si="13"/>
        <v>10</v>
      </c>
      <c r="N43" s="78">
        <f t="shared" si="14"/>
        <v>750</v>
      </c>
      <c r="O43" s="111">
        <f t="shared" si="15"/>
        <v>3163</v>
      </c>
      <c r="P43" s="5">
        <v>12.5</v>
      </c>
      <c r="Q43" s="5">
        <v>15</v>
      </c>
      <c r="R43" s="5">
        <v>12</v>
      </c>
      <c r="S43" s="5">
        <v>15</v>
      </c>
      <c r="T43" s="102">
        <v>18</v>
      </c>
      <c r="U43" s="101"/>
    </row>
    <row r="44" spans="1:21" x14ac:dyDescent="0.25">
      <c r="A44" s="31">
        <v>16</v>
      </c>
      <c r="B44" s="4" t="s">
        <v>1137</v>
      </c>
      <c r="C44" s="20">
        <v>1</v>
      </c>
      <c r="D44" s="7">
        <v>0</v>
      </c>
      <c r="E44" s="3">
        <f t="shared" si="11"/>
        <v>1</v>
      </c>
      <c r="F44" s="85" t="s">
        <v>867</v>
      </c>
      <c r="G44" s="9">
        <v>3499</v>
      </c>
      <c r="H44" s="22" t="s">
        <v>1</v>
      </c>
      <c r="I44" s="78">
        <f t="shared" si="12"/>
        <v>3499</v>
      </c>
      <c r="J44" s="110">
        <f t="shared" si="16"/>
        <v>75</v>
      </c>
      <c r="K44" s="4">
        <v>14</v>
      </c>
      <c r="L44" s="22" t="s">
        <v>1</v>
      </c>
      <c r="M44" s="80">
        <f t="shared" si="13"/>
        <v>14</v>
      </c>
      <c r="N44" s="78">
        <f t="shared" si="14"/>
        <v>1050</v>
      </c>
      <c r="O44" s="111">
        <f t="shared" si="15"/>
        <v>4549</v>
      </c>
      <c r="P44" s="5">
        <v>17.5</v>
      </c>
      <c r="Q44" s="5">
        <v>21</v>
      </c>
      <c r="R44" s="5">
        <v>15</v>
      </c>
      <c r="S44" s="5">
        <v>18.75</v>
      </c>
      <c r="T44" s="102">
        <v>22.5</v>
      </c>
      <c r="U44" s="101"/>
    </row>
    <row r="45" spans="1:21" x14ac:dyDescent="0.25">
      <c r="A45" s="31">
        <v>17</v>
      </c>
      <c r="B45" s="4" t="s">
        <v>1138</v>
      </c>
      <c r="C45" s="20">
        <v>1</v>
      </c>
      <c r="D45" s="7">
        <v>0</v>
      </c>
      <c r="E45" s="3">
        <f t="shared" si="11"/>
        <v>1</v>
      </c>
      <c r="F45" s="85" t="s">
        <v>867</v>
      </c>
      <c r="G45" s="9">
        <v>4599</v>
      </c>
      <c r="H45" s="22" t="s">
        <v>1</v>
      </c>
      <c r="I45" s="78">
        <f t="shared" si="12"/>
        <v>4599</v>
      </c>
      <c r="J45" s="110">
        <f t="shared" si="16"/>
        <v>75</v>
      </c>
      <c r="K45" s="4">
        <v>14</v>
      </c>
      <c r="L45" s="22" t="s">
        <v>1</v>
      </c>
      <c r="M45" s="80">
        <f t="shared" si="13"/>
        <v>14</v>
      </c>
      <c r="N45" s="78">
        <f t="shared" si="14"/>
        <v>1050</v>
      </c>
      <c r="O45" s="111">
        <f t="shared" si="15"/>
        <v>5649</v>
      </c>
      <c r="P45" s="5">
        <v>17.5</v>
      </c>
      <c r="Q45" s="5">
        <v>21</v>
      </c>
      <c r="R45" s="5">
        <v>15</v>
      </c>
      <c r="S45" s="5">
        <v>18.75</v>
      </c>
      <c r="T45" s="102">
        <v>22.5</v>
      </c>
      <c r="U45" s="101"/>
    </row>
    <row r="46" spans="1:21" x14ac:dyDescent="0.25">
      <c r="A46" s="31">
        <v>18</v>
      </c>
      <c r="B46" s="4" t="s">
        <v>1139</v>
      </c>
      <c r="C46" s="20">
        <v>1</v>
      </c>
      <c r="D46" s="7">
        <v>0</v>
      </c>
      <c r="E46" s="3">
        <f t="shared" si="11"/>
        <v>1</v>
      </c>
      <c r="F46" s="85" t="s">
        <v>867</v>
      </c>
      <c r="G46" s="9">
        <v>4999</v>
      </c>
      <c r="H46" s="22" t="s">
        <v>1</v>
      </c>
      <c r="I46" s="78">
        <f t="shared" si="12"/>
        <v>4999</v>
      </c>
      <c r="J46" s="110">
        <f t="shared" si="16"/>
        <v>75</v>
      </c>
      <c r="K46" s="4">
        <v>18</v>
      </c>
      <c r="L46" s="22" t="s">
        <v>1</v>
      </c>
      <c r="M46" s="80">
        <f t="shared" si="13"/>
        <v>18</v>
      </c>
      <c r="N46" s="78">
        <f t="shared" si="14"/>
        <v>1350</v>
      </c>
      <c r="O46" s="111">
        <f t="shared" si="15"/>
        <v>6349</v>
      </c>
      <c r="P46" s="5">
        <v>22.5</v>
      </c>
      <c r="Q46" s="5">
        <v>27</v>
      </c>
      <c r="R46" s="5">
        <v>18</v>
      </c>
      <c r="S46" s="5">
        <v>22.5</v>
      </c>
      <c r="T46" s="102">
        <v>27</v>
      </c>
      <c r="U46" s="101"/>
    </row>
    <row r="47" spans="1:21" x14ac:dyDescent="0.25">
      <c r="A47" s="31">
        <v>19</v>
      </c>
      <c r="B47" s="4" t="s">
        <v>1140</v>
      </c>
      <c r="C47" s="20">
        <v>1</v>
      </c>
      <c r="D47" s="7">
        <v>0</v>
      </c>
      <c r="E47" s="3">
        <f t="shared" si="11"/>
        <v>1</v>
      </c>
      <c r="F47" s="85" t="s">
        <v>867</v>
      </c>
      <c r="G47" s="9">
        <v>4999</v>
      </c>
      <c r="H47" s="22" t="s">
        <v>1</v>
      </c>
      <c r="I47" s="78">
        <f t="shared" si="12"/>
        <v>4999</v>
      </c>
      <c r="J47" s="110">
        <f t="shared" si="16"/>
        <v>75</v>
      </c>
      <c r="K47" s="4">
        <v>18</v>
      </c>
      <c r="L47" s="22" t="s">
        <v>1</v>
      </c>
      <c r="M47" s="80">
        <f t="shared" si="13"/>
        <v>18</v>
      </c>
      <c r="N47" s="78">
        <f t="shared" si="14"/>
        <v>1350</v>
      </c>
      <c r="O47" s="111">
        <f t="shared" si="15"/>
        <v>6349</v>
      </c>
      <c r="P47" s="5">
        <v>22.5</v>
      </c>
      <c r="Q47" s="5">
        <v>27</v>
      </c>
      <c r="R47" s="5">
        <v>18</v>
      </c>
      <c r="S47" s="5">
        <v>22.5</v>
      </c>
      <c r="T47" s="102">
        <v>27</v>
      </c>
      <c r="U47" s="101"/>
    </row>
    <row r="48" spans="1:21" x14ac:dyDescent="0.25">
      <c r="A48" s="31">
        <v>20</v>
      </c>
      <c r="B48" s="4" t="s">
        <v>1141</v>
      </c>
      <c r="C48" s="20">
        <v>1</v>
      </c>
      <c r="D48" s="7">
        <v>0</v>
      </c>
      <c r="E48" s="3">
        <f t="shared" si="11"/>
        <v>1</v>
      </c>
      <c r="F48" s="85" t="s">
        <v>867</v>
      </c>
      <c r="G48" s="9">
        <v>7199</v>
      </c>
      <c r="H48" s="22" t="s">
        <v>1</v>
      </c>
      <c r="I48" s="78">
        <f t="shared" si="12"/>
        <v>7199</v>
      </c>
      <c r="J48" s="110">
        <f t="shared" si="16"/>
        <v>75</v>
      </c>
      <c r="K48" s="4">
        <v>22</v>
      </c>
      <c r="L48" s="22" t="s">
        <v>1</v>
      </c>
      <c r="M48" s="80">
        <f t="shared" si="13"/>
        <v>22</v>
      </c>
      <c r="N48" s="78">
        <f t="shared" si="14"/>
        <v>1650</v>
      </c>
      <c r="O48" s="111">
        <f t="shared" si="15"/>
        <v>8849</v>
      </c>
      <c r="P48" s="5">
        <v>27.5</v>
      </c>
      <c r="Q48" s="5">
        <v>33</v>
      </c>
      <c r="R48" s="5">
        <v>24</v>
      </c>
      <c r="S48" s="5">
        <v>30</v>
      </c>
      <c r="T48" s="102">
        <v>36</v>
      </c>
      <c r="U48" s="101"/>
    </row>
    <row r="49" spans="1:21" x14ac:dyDescent="0.25">
      <c r="A49" s="31">
        <v>21</v>
      </c>
      <c r="B49" s="4" t="s">
        <v>1142</v>
      </c>
      <c r="C49" s="20">
        <v>1</v>
      </c>
      <c r="D49" s="7">
        <v>0</v>
      </c>
      <c r="E49" s="3">
        <f t="shared" si="11"/>
        <v>1</v>
      </c>
      <c r="F49" s="85" t="s">
        <v>867</v>
      </c>
      <c r="G49" s="9">
        <v>8449</v>
      </c>
      <c r="H49" s="22" t="s">
        <v>1</v>
      </c>
      <c r="I49" s="78">
        <f t="shared" si="12"/>
        <v>8449</v>
      </c>
      <c r="J49" s="110">
        <f t="shared" si="16"/>
        <v>75</v>
      </c>
      <c r="K49" s="4">
        <v>22</v>
      </c>
      <c r="L49" s="22" t="s">
        <v>1</v>
      </c>
      <c r="M49" s="80">
        <f t="shared" si="13"/>
        <v>22</v>
      </c>
      <c r="N49" s="78">
        <f t="shared" si="14"/>
        <v>1650</v>
      </c>
      <c r="O49" s="111">
        <f t="shared" si="15"/>
        <v>10099</v>
      </c>
      <c r="P49" s="5">
        <v>27.5</v>
      </c>
      <c r="Q49" s="5">
        <v>33</v>
      </c>
      <c r="R49" s="5">
        <v>26</v>
      </c>
      <c r="S49" s="5">
        <v>32.5</v>
      </c>
      <c r="T49" s="102">
        <v>39</v>
      </c>
      <c r="U49" s="101"/>
    </row>
    <row r="50" spans="1:21" ht="15.75" thickBot="1" x14ac:dyDescent="0.3">
      <c r="A50" s="31"/>
      <c r="B50" s="4"/>
      <c r="C50" s="20"/>
      <c r="D50" s="7"/>
      <c r="E50" s="3"/>
      <c r="F50" s="85"/>
      <c r="G50" s="77" t="s">
        <v>1202</v>
      </c>
      <c r="H50" s="22"/>
      <c r="I50" s="78"/>
      <c r="J50" s="110"/>
      <c r="K50" s="4"/>
      <c r="L50" s="22"/>
      <c r="M50" s="80"/>
      <c r="N50" s="78"/>
      <c r="O50" s="111"/>
      <c r="P50" s="5"/>
      <c r="Q50" s="5"/>
      <c r="R50" s="5"/>
      <c r="S50" s="5"/>
      <c r="T50" s="102"/>
      <c r="U50" s="101"/>
    </row>
    <row r="51" spans="1:21" ht="15.75" thickBot="1" x14ac:dyDescent="0.3">
      <c r="A51" s="31"/>
      <c r="B51" s="120" t="s">
        <v>1108</v>
      </c>
      <c r="C51" s="20"/>
      <c r="D51" s="7"/>
      <c r="E51" s="3"/>
      <c r="F51" s="85"/>
      <c r="G51" s="77" t="s">
        <v>1202</v>
      </c>
      <c r="H51" s="22"/>
      <c r="I51" s="78"/>
      <c r="J51" s="110"/>
      <c r="K51" s="4"/>
      <c r="L51" s="22"/>
      <c r="M51" s="80"/>
      <c r="N51" s="78"/>
      <c r="O51" s="111"/>
      <c r="P51" s="5"/>
      <c r="Q51" s="5"/>
      <c r="R51" s="5"/>
      <c r="S51" s="5"/>
      <c r="T51" s="102"/>
      <c r="U51" s="101"/>
    </row>
    <row r="52" spans="1:21" x14ac:dyDescent="0.25">
      <c r="A52" s="31">
        <v>1</v>
      </c>
      <c r="B52" s="4" t="s">
        <v>1193</v>
      </c>
      <c r="C52" s="20">
        <v>1</v>
      </c>
      <c r="D52" s="7">
        <v>0</v>
      </c>
      <c r="E52" s="3">
        <f t="shared" ref="E52:E57" si="17">C52+(C52*D52)</f>
        <v>1</v>
      </c>
      <c r="F52" s="85" t="s">
        <v>867</v>
      </c>
      <c r="G52" s="9">
        <v>196</v>
      </c>
      <c r="H52" s="22" t="s">
        <v>1</v>
      </c>
      <c r="I52" s="78">
        <f t="shared" ref="I52:I53" si="18">IF(H52="C",(G52/100)*E52,IF(H52="M",(G52/1000)*E52,G52*E52))</f>
        <v>196</v>
      </c>
      <c r="J52" s="110">
        <f t="shared" ref="J52:J94" si="19">$O$4</f>
        <v>75</v>
      </c>
      <c r="K52" s="4">
        <v>3</v>
      </c>
      <c r="L52" s="22" t="s">
        <v>1</v>
      </c>
      <c r="M52" s="80">
        <f t="shared" ref="M52:M57" si="20">IF(L52="C",(K52/100)*E52,IF(L52="M",(K52/1000)*E52,K52*E52))</f>
        <v>3</v>
      </c>
      <c r="N52" s="78">
        <f t="shared" ref="N52:N57" si="21">M52*J52</f>
        <v>225</v>
      </c>
      <c r="O52" s="111">
        <f t="shared" ref="O52:O57" si="22">N52+I52</f>
        <v>421</v>
      </c>
      <c r="P52" s="5">
        <v>3.75</v>
      </c>
      <c r="Q52" s="5">
        <v>4.5</v>
      </c>
      <c r="R52" s="5"/>
      <c r="S52" s="5"/>
      <c r="T52" s="102"/>
      <c r="U52" s="101">
        <v>155097</v>
      </c>
    </row>
    <row r="53" spans="1:21" x14ac:dyDescent="0.25">
      <c r="A53" s="31">
        <v>2</v>
      </c>
      <c r="B53" s="4" t="s">
        <v>1194</v>
      </c>
      <c r="C53" s="20">
        <v>1</v>
      </c>
      <c r="D53" s="7">
        <v>0</v>
      </c>
      <c r="E53" s="3">
        <f t="shared" si="17"/>
        <v>1</v>
      </c>
      <c r="F53" s="85" t="s">
        <v>867</v>
      </c>
      <c r="G53" s="9">
        <v>227.5</v>
      </c>
      <c r="H53" s="22" t="s">
        <v>1</v>
      </c>
      <c r="I53" s="78">
        <f t="shared" si="18"/>
        <v>227.5</v>
      </c>
      <c r="J53" s="110">
        <f t="shared" si="19"/>
        <v>75</v>
      </c>
      <c r="K53" s="4">
        <v>3</v>
      </c>
      <c r="L53" s="22" t="s">
        <v>1</v>
      </c>
      <c r="M53" s="80">
        <f t="shared" si="20"/>
        <v>3</v>
      </c>
      <c r="N53" s="78">
        <f t="shared" si="21"/>
        <v>225</v>
      </c>
      <c r="O53" s="111">
        <f>N53+G53</f>
        <v>452.5</v>
      </c>
      <c r="P53" s="5">
        <v>3.75</v>
      </c>
      <c r="Q53" s="5">
        <v>4.5</v>
      </c>
      <c r="R53" s="5"/>
      <c r="S53" s="5"/>
      <c r="T53" s="102"/>
      <c r="U53" s="101">
        <v>155100</v>
      </c>
    </row>
    <row r="54" spans="1:21" x14ac:dyDescent="0.25">
      <c r="A54" s="31">
        <v>3</v>
      </c>
      <c r="B54" s="4" t="s">
        <v>1195</v>
      </c>
      <c r="C54" s="20">
        <v>1</v>
      </c>
      <c r="D54" s="7">
        <v>0</v>
      </c>
      <c r="E54" s="3">
        <f t="shared" si="17"/>
        <v>1</v>
      </c>
      <c r="F54" s="85" t="s">
        <v>867</v>
      </c>
      <c r="G54" s="9">
        <v>489</v>
      </c>
      <c r="H54" s="22" t="s">
        <v>1</v>
      </c>
      <c r="I54" s="78">
        <f t="shared" ref="I54:I57" si="23">IF(H54="C",(G54/100)*E54,IF(H54="M",(G54/1000)*E54,G54*E54))</f>
        <v>489</v>
      </c>
      <c r="J54" s="110">
        <f t="shared" si="19"/>
        <v>75</v>
      </c>
      <c r="K54" s="4">
        <v>3</v>
      </c>
      <c r="L54" s="22" t="s">
        <v>1</v>
      </c>
      <c r="M54" s="80">
        <f t="shared" si="20"/>
        <v>3</v>
      </c>
      <c r="N54" s="78">
        <f t="shared" si="21"/>
        <v>225</v>
      </c>
      <c r="O54" s="111">
        <f t="shared" si="22"/>
        <v>714</v>
      </c>
      <c r="P54" s="5">
        <v>3.75</v>
      </c>
      <c r="Q54" s="5">
        <v>4.5</v>
      </c>
      <c r="R54" s="5"/>
      <c r="S54" s="5"/>
      <c r="T54" s="102"/>
      <c r="U54" s="101">
        <v>155103</v>
      </c>
    </row>
    <row r="55" spans="1:21" x14ac:dyDescent="0.25">
      <c r="A55" s="31">
        <v>4</v>
      </c>
      <c r="B55" s="4" t="s">
        <v>1196</v>
      </c>
      <c r="C55" s="20">
        <v>1</v>
      </c>
      <c r="D55" s="7">
        <v>0</v>
      </c>
      <c r="E55" s="3">
        <f t="shared" si="17"/>
        <v>1</v>
      </c>
      <c r="F55" s="85" t="s">
        <v>867</v>
      </c>
      <c r="G55" s="9">
        <v>665</v>
      </c>
      <c r="H55" s="22" t="s">
        <v>1</v>
      </c>
      <c r="I55" s="78">
        <f t="shared" si="23"/>
        <v>665</v>
      </c>
      <c r="J55" s="110">
        <f t="shared" si="19"/>
        <v>75</v>
      </c>
      <c r="K55" s="4">
        <v>4</v>
      </c>
      <c r="L55" s="22" t="s">
        <v>1</v>
      </c>
      <c r="M55" s="80">
        <f t="shared" si="20"/>
        <v>4</v>
      </c>
      <c r="N55" s="78">
        <f t="shared" si="21"/>
        <v>300</v>
      </c>
      <c r="O55" s="111">
        <f t="shared" si="22"/>
        <v>965</v>
      </c>
      <c r="P55" s="5">
        <v>5</v>
      </c>
      <c r="Q55" s="5">
        <v>6</v>
      </c>
      <c r="R55" s="5"/>
      <c r="S55" s="5"/>
      <c r="T55" s="102"/>
      <c r="U55" s="101">
        <v>155106</v>
      </c>
    </row>
    <row r="56" spans="1:21" x14ac:dyDescent="0.25">
      <c r="A56" s="31">
        <v>5</v>
      </c>
      <c r="B56" s="4" t="s">
        <v>1197</v>
      </c>
      <c r="C56" s="20">
        <v>1</v>
      </c>
      <c r="D56" s="7">
        <v>0</v>
      </c>
      <c r="E56" s="3">
        <f t="shared" si="17"/>
        <v>1</v>
      </c>
      <c r="F56" s="85" t="s">
        <v>867</v>
      </c>
      <c r="G56" s="9">
        <v>709</v>
      </c>
      <c r="H56" s="22" t="s">
        <v>1</v>
      </c>
      <c r="I56" s="78">
        <f t="shared" si="23"/>
        <v>709</v>
      </c>
      <c r="J56" s="110">
        <f t="shared" si="19"/>
        <v>75</v>
      </c>
      <c r="K56" s="4">
        <v>4</v>
      </c>
      <c r="L56" s="22" t="s">
        <v>1</v>
      </c>
      <c r="M56" s="80">
        <f t="shared" si="20"/>
        <v>4</v>
      </c>
      <c r="N56" s="78">
        <f t="shared" si="21"/>
        <v>300</v>
      </c>
      <c r="O56" s="111">
        <f t="shared" si="22"/>
        <v>1009</v>
      </c>
      <c r="P56" s="5">
        <v>5</v>
      </c>
      <c r="Q56" s="5">
        <v>6</v>
      </c>
      <c r="R56" s="5"/>
      <c r="S56" s="5"/>
      <c r="T56" s="102"/>
      <c r="U56" s="101">
        <v>155109</v>
      </c>
    </row>
    <row r="57" spans="1:21" x14ac:dyDescent="0.25">
      <c r="A57" s="31">
        <v>6</v>
      </c>
      <c r="B57" s="4" t="s">
        <v>1198</v>
      </c>
      <c r="C57" s="20">
        <v>1</v>
      </c>
      <c r="D57" s="7">
        <v>0</v>
      </c>
      <c r="E57" s="3">
        <f t="shared" si="17"/>
        <v>1</v>
      </c>
      <c r="F57" s="85" t="s">
        <v>867</v>
      </c>
      <c r="G57" s="9">
        <v>807</v>
      </c>
      <c r="H57" s="22" t="s">
        <v>1</v>
      </c>
      <c r="I57" s="78">
        <f t="shared" si="23"/>
        <v>807</v>
      </c>
      <c r="J57" s="110">
        <f t="shared" si="19"/>
        <v>75</v>
      </c>
      <c r="K57" s="4">
        <v>4</v>
      </c>
      <c r="L57" s="22" t="s">
        <v>1</v>
      </c>
      <c r="M57" s="80">
        <f t="shared" si="20"/>
        <v>4</v>
      </c>
      <c r="N57" s="78">
        <f t="shared" si="21"/>
        <v>300</v>
      </c>
      <c r="O57" s="111">
        <f t="shared" si="22"/>
        <v>1107</v>
      </c>
      <c r="P57" s="5">
        <v>5</v>
      </c>
      <c r="Q57" s="5">
        <v>6</v>
      </c>
      <c r="R57" s="5">
        <v>6</v>
      </c>
      <c r="S57" s="5">
        <v>7.5</v>
      </c>
      <c r="T57" s="102">
        <v>9</v>
      </c>
      <c r="U57" s="101">
        <v>155112</v>
      </c>
    </row>
    <row r="58" spans="1:21" x14ac:dyDescent="0.25">
      <c r="A58" s="31">
        <v>7</v>
      </c>
      <c r="B58" s="4" t="s">
        <v>824</v>
      </c>
      <c r="C58" s="20">
        <v>1</v>
      </c>
      <c r="D58" s="7">
        <v>0</v>
      </c>
      <c r="E58" s="3">
        <f t="shared" si="0"/>
        <v>1</v>
      </c>
      <c r="F58" s="85" t="s">
        <v>867</v>
      </c>
      <c r="G58" s="9">
        <v>850</v>
      </c>
      <c r="H58" s="22" t="s">
        <v>1</v>
      </c>
      <c r="I58" s="78">
        <f t="shared" si="1"/>
        <v>850</v>
      </c>
      <c r="J58" s="110">
        <f t="shared" si="19"/>
        <v>75</v>
      </c>
      <c r="K58" s="4">
        <v>6</v>
      </c>
      <c r="L58" s="22" t="s">
        <v>1</v>
      </c>
      <c r="M58" s="80">
        <f t="shared" si="2"/>
        <v>6</v>
      </c>
      <c r="N58" s="78">
        <f t="shared" si="3"/>
        <v>450</v>
      </c>
      <c r="O58" s="111">
        <f t="shared" si="4"/>
        <v>1300</v>
      </c>
      <c r="P58" s="5">
        <v>7.5</v>
      </c>
      <c r="Q58" s="5">
        <v>9</v>
      </c>
      <c r="R58" s="5">
        <v>7</v>
      </c>
      <c r="S58" s="5">
        <v>8.75</v>
      </c>
      <c r="T58" s="102">
        <v>10.5</v>
      </c>
      <c r="U58" s="101">
        <v>155115</v>
      </c>
    </row>
    <row r="59" spans="1:21" x14ac:dyDescent="0.25">
      <c r="A59" s="31">
        <v>8</v>
      </c>
      <c r="B59" s="4" t="s">
        <v>825</v>
      </c>
      <c r="C59" s="20">
        <v>1</v>
      </c>
      <c r="D59" s="7">
        <v>0</v>
      </c>
      <c r="E59" s="3">
        <f t="shared" si="0"/>
        <v>1</v>
      </c>
      <c r="F59" s="85" t="s">
        <v>867</v>
      </c>
      <c r="G59" s="9">
        <v>1009</v>
      </c>
      <c r="H59" s="22" t="s">
        <v>1</v>
      </c>
      <c r="I59" s="78">
        <f t="shared" si="1"/>
        <v>1009</v>
      </c>
      <c r="J59" s="110">
        <f t="shared" si="19"/>
        <v>75</v>
      </c>
      <c r="K59" s="4">
        <v>6</v>
      </c>
      <c r="L59" s="22" t="s">
        <v>1</v>
      </c>
      <c r="M59" s="80">
        <f t="shared" si="2"/>
        <v>6</v>
      </c>
      <c r="N59" s="78">
        <f t="shared" si="3"/>
        <v>450</v>
      </c>
      <c r="O59" s="111">
        <f t="shared" si="4"/>
        <v>1459</v>
      </c>
      <c r="P59" s="5">
        <v>7.5</v>
      </c>
      <c r="Q59" s="5">
        <v>9</v>
      </c>
      <c r="R59" s="5">
        <v>7</v>
      </c>
      <c r="S59" s="5">
        <v>8.75</v>
      </c>
      <c r="T59" s="102">
        <v>10.5</v>
      </c>
      <c r="U59" s="101">
        <v>155118</v>
      </c>
    </row>
    <row r="60" spans="1:21" x14ac:dyDescent="0.25">
      <c r="A60" s="31">
        <v>9</v>
      </c>
      <c r="B60" s="4" t="s">
        <v>826</v>
      </c>
      <c r="C60" s="20">
        <v>1</v>
      </c>
      <c r="D60" s="7">
        <v>0</v>
      </c>
      <c r="E60" s="3">
        <f t="shared" si="0"/>
        <v>1</v>
      </c>
      <c r="F60" s="85" t="s">
        <v>867</v>
      </c>
      <c r="G60" s="9">
        <v>1081</v>
      </c>
      <c r="H60" s="22" t="s">
        <v>1</v>
      </c>
      <c r="I60" s="78">
        <f t="shared" si="1"/>
        <v>1081</v>
      </c>
      <c r="J60" s="110">
        <f t="shared" si="19"/>
        <v>75</v>
      </c>
      <c r="K60" s="4">
        <v>6</v>
      </c>
      <c r="L60" s="22" t="s">
        <v>1</v>
      </c>
      <c r="M60" s="80">
        <f t="shared" si="2"/>
        <v>6</v>
      </c>
      <c r="N60" s="78">
        <f t="shared" si="3"/>
        <v>450</v>
      </c>
      <c r="O60" s="111">
        <f t="shared" si="4"/>
        <v>1531</v>
      </c>
      <c r="P60" s="5">
        <v>7.5</v>
      </c>
      <c r="Q60" s="5">
        <v>9</v>
      </c>
      <c r="R60" s="5">
        <v>8</v>
      </c>
      <c r="S60" s="5">
        <v>10</v>
      </c>
      <c r="T60" s="102">
        <v>12</v>
      </c>
      <c r="U60" s="101">
        <v>155121</v>
      </c>
    </row>
    <row r="61" spans="1:21" x14ac:dyDescent="0.25">
      <c r="A61" s="31">
        <v>10</v>
      </c>
      <c r="B61" s="4" t="s">
        <v>827</v>
      </c>
      <c r="C61" s="20">
        <v>1</v>
      </c>
      <c r="D61" s="7">
        <v>0</v>
      </c>
      <c r="E61" s="3">
        <f t="shared" si="0"/>
        <v>1</v>
      </c>
      <c r="F61" s="85" t="s">
        <v>867</v>
      </c>
      <c r="G61" s="9">
        <v>1150</v>
      </c>
      <c r="H61" s="22" t="s">
        <v>1</v>
      </c>
      <c r="I61" s="78">
        <f t="shared" si="1"/>
        <v>1150</v>
      </c>
      <c r="J61" s="110">
        <f t="shared" si="19"/>
        <v>75</v>
      </c>
      <c r="K61" s="4">
        <v>6</v>
      </c>
      <c r="L61" s="22" t="s">
        <v>1</v>
      </c>
      <c r="M61" s="80">
        <f t="shared" si="2"/>
        <v>6</v>
      </c>
      <c r="N61" s="78">
        <f t="shared" si="3"/>
        <v>450</v>
      </c>
      <c r="O61" s="111">
        <f t="shared" si="4"/>
        <v>1600</v>
      </c>
      <c r="P61" s="5">
        <v>7.5</v>
      </c>
      <c r="Q61" s="5">
        <v>9</v>
      </c>
      <c r="R61" s="5">
        <v>8</v>
      </c>
      <c r="S61" s="5">
        <v>10</v>
      </c>
      <c r="T61" s="102">
        <v>12</v>
      </c>
      <c r="U61" s="101">
        <v>155124</v>
      </c>
    </row>
    <row r="62" spans="1:21" x14ac:dyDescent="0.25">
      <c r="A62" s="31">
        <v>11</v>
      </c>
      <c r="B62" s="4" t="s">
        <v>828</v>
      </c>
      <c r="C62" s="20">
        <v>1</v>
      </c>
      <c r="D62" s="7">
        <v>0</v>
      </c>
      <c r="E62" s="3">
        <f t="shared" si="0"/>
        <v>1</v>
      </c>
      <c r="F62" s="85" t="s">
        <v>867</v>
      </c>
      <c r="G62" s="9">
        <v>1340</v>
      </c>
      <c r="H62" s="22" t="s">
        <v>1</v>
      </c>
      <c r="I62" s="78">
        <f t="shared" si="1"/>
        <v>1340</v>
      </c>
      <c r="J62" s="110">
        <f t="shared" si="19"/>
        <v>75</v>
      </c>
      <c r="K62" s="4">
        <v>9</v>
      </c>
      <c r="L62" s="22" t="s">
        <v>1</v>
      </c>
      <c r="M62" s="80">
        <f t="shared" si="2"/>
        <v>9</v>
      </c>
      <c r="N62" s="78">
        <f t="shared" si="3"/>
        <v>675</v>
      </c>
      <c r="O62" s="111">
        <f t="shared" si="4"/>
        <v>2015</v>
      </c>
      <c r="P62" s="5">
        <v>11.25</v>
      </c>
      <c r="Q62" s="5">
        <v>13.5</v>
      </c>
      <c r="R62" s="5">
        <v>8</v>
      </c>
      <c r="S62" s="5">
        <v>10</v>
      </c>
      <c r="T62" s="102">
        <v>12</v>
      </c>
      <c r="U62" s="101">
        <v>155127</v>
      </c>
    </row>
    <row r="63" spans="1:21" x14ac:dyDescent="0.25">
      <c r="A63" s="31">
        <v>12</v>
      </c>
      <c r="B63" s="4" t="s">
        <v>829</v>
      </c>
      <c r="C63" s="20">
        <v>1</v>
      </c>
      <c r="D63" s="7">
        <v>0</v>
      </c>
      <c r="E63" s="3">
        <f t="shared" si="0"/>
        <v>1</v>
      </c>
      <c r="F63" s="85" t="s">
        <v>867</v>
      </c>
      <c r="G63" s="9">
        <v>2199</v>
      </c>
      <c r="H63" s="22" t="s">
        <v>1</v>
      </c>
      <c r="I63" s="78">
        <f t="shared" si="1"/>
        <v>2199</v>
      </c>
      <c r="J63" s="110">
        <f t="shared" si="19"/>
        <v>75</v>
      </c>
      <c r="K63" s="4">
        <v>9</v>
      </c>
      <c r="L63" s="22" t="s">
        <v>1</v>
      </c>
      <c r="M63" s="80">
        <f t="shared" si="2"/>
        <v>9</v>
      </c>
      <c r="N63" s="78">
        <f t="shared" si="3"/>
        <v>675</v>
      </c>
      <c r="O63" s="111">
        <f t="shared" si="4"/>
        <v>2874</v>
      </c>
      <c r="P63" s="5">
        <v>11.25</v>
      </c>
      <c r="Q63" s="5">
        <v>13.5</v>
      </c>
      <c r="R63" s="5">
        <v>11</v>
      </c>
      <c r="S63" s="5">
        <v>13.75</v>
      </c>
      <c r="T63" s="102">
        <v>16.5</v>
      </c>
      <c r="U63" s="101">
        <v>155130</v>
      </c>
    </row>
    <row r="64" spans="1:21" x14ac:dyDescent="0.25">
      <c r="A64" s="31">
        <v>13</v>
      </c>
      <c r="B64" s="4" t="s">
        <v>830</v>
      </c>
      <c r="C64" s="20">
        <v>1</v>
      </c>
      <c r="D64" s="7">
        <v>0</v>
      </c>
      <c r="E64" s="3">
        <f t="shared" si="0"/>
        <v>1</v>
      </c>
      <c r="F64" s="85" t="s">
        <v>867</v>
      </c>
      <c r="G64" s="9">
        <v>2490</v>
      </c>
      <c r="H64" s="22" t="s">
        <v>1</v>
      </c>
      <c r="I64" s="78">
        <f t="shared" si="1"/>
        <v>2490</v>
      </c>
      <c r="J64" s="110">
        <f t="shared" si="19"/>
        <v>75</v>
      </c>
      <c r="K64" s="4">
        <v>9</v>
      </c>
      <c r="L64" s="22" t="s">
        <v>1</v>
      </c>
      <c r="M64" s="80">
        <f t="shared" si="2"/>
        <v>9</v>
      </c>
      <c r="N64" s="78">
        <f t="shared" si="3"/>
        <v>675</v>
      </c>
      <c r="O64" s="111">
        <f t="shared" si="4"/>
        <v>3165</v>
      </c>
      <c r="P64" s="5">
        <v>11.25</v>
      </c>
      <c r="Q64" s="5">
        <v>13.5</v>
      </c>
      <c r="R64" s="5">
        <v>11</v>
      </c>
      <c r="S64" s="5">
        <v>13.75</v>
      </c>
      <c r="T64" s="102">
        <v>16.5</v>
      </c>
      <c r="U64" s="101">
        <v>155133</v>
      </c>
    </row>
    <row r="65" spans="1:21" x14ac:dyDescent="0.25">
      <c r="A65" s="31">
        <v>14</v>
      </c>
      <c r="B65" s="4" t="s">
        <v>831</v>
      </c>
      <c r="C65" s="20">
        <v>1</v>
      </c>
      <c r="D65" s="7">
        <v>0</v>
      </c>
      <c r="E65" s="3">
        <f t="shared" si="0"/>
        <v>1</v>
      </c>
      <c r="F65" s="85" t="s">
        <v>867</v>
      </c>
      <c r="G65" s="9">
        <v>2495</v>
      </c>
      <c r="H65" s="22" t="s">
        <v>1</v>
      </c>
      <c r="I65" s="78">
        <f t="shared" si="1"/>
        <v>2495</v>
      </c>
      <c r="J65" s="110">
        <f t="shared" si="19"/>
        <v>75</v>
      </c>
      <c r="K65" s="4">
        <v>9</v>
      </c>
      <c r="L65" s="22" t="s">
        <v>1</v>
      </c>
      <c r="M65" s="80">
        <f t="shared" si="2"/>
        <v>9</v>
      </c>
      <c r="N65" s="78">
        <f t="shared" si="3"/>
        <v>675</v>
      </c>
      <c r="O65" s="111">
        <f t="shared" si="4"/>
        <v>3170</v>
      </c>
      <c r="P65" s="5">
        <v>11.25</v>
      </c>
      <c r="Q65" s="5">
        <v>13.5</v>
      </c>
      <c r="R65" s="5">
        <v>11</v>
      </c>
      <c r="S65" s="5">
        <v>13.75</v>
      </c>
      <c r="T65" s="102">
        <v>16.5</v>
      </c>
      <c r="U65" s="101">
        <v>155136</v>
      </c>
    </row>
    <row r="66" spans="1:21" x14ac:dyDescent="0.25">
      <c r="A66" s="31">
        <v>15</v>
      </c>
      <c r="B66" s="4" t="s">
        <v>832</v>
      </c>
      <c r="C66" s="20">
        <v>1</v>
      </c>
      <c r="D66" s="7">
        <v>0</v>
      </c>
      <c r="E66" s="3">
        <f t="shared" si="0"/>
        <v>1</v>
      </c>
      <c r="F66" s="85" t="s">
        <v>867</v>
      </c>
      <c r="G66" s="9">
        <v>2649</v>
      </c>
      <c r="H66" s="22" t="s">
        <v>1</v>
      </c>
      <c r="I66" s="78">
        <f t="shared" si="1"/>
        <v>2649</v>
      </c>
      <c r="J66" s="110">
        <f t="shared" si="19"/>
        <v>75</v>
      </c>
      <c r="K66" s="4">
        <v>9</v>
      </c>
      <c r="L66" s="22" t="s">
        <v>1</v>
      </c>
      <c r="M66" s="80">
        <f t="shared" si="2"/>
        <v>9</v>
      </c>
      <c r="N66" s="78">
        <f t="shared" si="3"/>
        <v>675</v>
      </c>
      <c r="O66" s="111">
        <f t="shared" si="4"/>
        <v>3324</v>
      </c>
      <c r="P66" s="5">
        <v>11.25</v>
      </c>
      <c r="Q66" s="5">
        <v>13.5</v>
      </c>
      <c r="R66" s="5">
        <v>11</v>
      </c>
      <c r="S66" s="5">
        <v>13.75</v>
      </c>
      <c r="T66" s="102">
        <v>16.5</v>
      </c>
      <c r="U66" s="101">
        <v>155139</v>
      </c>
    </row>
    <row r="67" spans="1:21" x14ac:dyDescent="0.25">
      <c r="A67" s="31">
        <v>16</v>
      </c>
      <c r="B67" s="4" t="s">
        <v>833</v>
      </c>
      <c r="C67" s="20">
        <v>1</v>
      </c>
      <c r="D67" s="7">
        <v>0</v>
      </c>
      <c r="E67" s="3">
        <f t="shared" si="0"/>
        <v>1</v>
      </c>
      <c r="F67" s="85" t="s">
        <v>867</v>
      </c>
      <c r="G67" s="9">
        <v>3279</v>
      </c>
      <c r="H67" s="22" t="s">
        <v>1</v>
      </c>
      <c r="I67" s="78">
        <f t="shared" si="1"/>
        <v>3279</v>
      </c>
      <c r="J67" s="110">
        <f t="shared" si="19"/>
        <v>75</v>
      </c>
      <c r="K67" s="4">
        <v>12</v>
      </c>
      <c r="L67" s="22" t="s">
        <v>1</v>
      </c>
      <c r="M67" s="80">
        <f t="shared" si="2"/>
        <v>12</v>
      </c>
      <c r="N67" s="78">
        <f t="shared" si="3"/>
        <v>900</v>
      </c>
      <c r="O67" s="111">
        <f t="shared" si="4"/>
        <v>4179</v>
      </c>
      <c r="P67" s="5">
        <v>15</v>
      </c>
      <c r="Q67" s="5">
        <v>18</v>
      </c>
      <c r="R67" s="5">
        <v>13</v>
      </c>
      <c r="S67" s="5">
        <v>16.25</v>
      </c>
      <c r="T67" s="102">
        <v>19.5</v>
      </c>
      <c r="U67" s="101">
        <v>155142</v>
      </c>
    </row>
    <row r="68" spans="1:21" x14ac:dyDescent="0.25">
      <c r="A68" s="31">
        <v>17</v>
      </c>
      <c r="B68" s="4" t="s">
        <v>834</v>
      </c>
      <c r="C68" s="20">
        <v>1</v>
      </c>
      <c r="D68" s="7">
        <v>0</v>
      </c>
      <c r="E68" s="3">
        <f t="shared" si="0"/>
        <v>1</v>
      </c>
      <c r="F68" s="85" t="s">
        <v>867</v>
      </c>
      <c r="G68" s="9">
        <v>4199</v>
      </c>
      <c r="H68" s="22" t="s">
        <v>1</v>
      </c>
      <c r="I68" s="78">
        <f t="shared" si="1"/>
        <v>4199</v>
      </c>
      <c r="J68" s="110">
        <f t="shared" si="19"/>
        <v>75</v>
      </c>
      <c r="K68" s="4">
        <v>12</v>
      </c>
      <c r="L68" s="22" t="s">
        <v>1</v>
      </c>
      <c r="M68" s="80">
        <f t="shared" si="2"/>
        <v>12</v>
      </c>
      <c r="N68" s="78">
        <f t="shared" si="3"/>
        <v>900</v>
      </c>
      <c r="O68" s="111">
        <f t="shared" si="4"/>
        <v>5099</v>
      </c>
      <c r="P68" s="5">
        <v>15</v>
      </c>
      <c r="Q68" s="5">
        <v>18</v>
      </c>
      <c r="R68" s="5">
        <v>13</v>
      </c>
      <c r="S68" s="5">
        <v>16.25</v>
      </c>
      <c r="T68" s="102">
        <v>19.5</v>
      </c>
      <c r="U68" s="101">
        <v>155145</v>
      </c>
    </row>
    <row r="69" spans="1:21" x14ac:dyDescent="0.25">
      <c r="A69" s="31">
        <v>18</v>
      </c>
      <c r="B69" s="4" t="s">
        <v>835</v>
      </c>
      <c r="C69" s="20">
        <v>1</v>
      </c>
      <c r="D69" s="7">
        <v>0</v>
      </c>
      <c r="E69" s="3">
        <f t="shared" si="0"/>
        <v>1</v>
      </c>
      <c r="F69" s="85" t="s">
        <v>867</v>
      </c>
      <c r="G69" s="9">
        <v>4951</v>
      </c>
      <c r="H69" s="22" t="s">
        <v>1</v>
      </c>
      <c r="I69" s="78">
        <f t="shared" si="1"/>
        <v>4951</v>
      </c>
      <c r="J69" s="110">
        <f t="shared" si="19"/>
        <v>75</v>
      </c>
      <c r="K69" s="4">
        <v>16</v>
      </c>
      <c r="L69" s="22" t="s">
        <v>1</v>
      </c>
      <c r="M69" s="80">
        <f t="shared" si="2"/>
        <v>16</v>
      </c>
      <c r="N69" s="78">
        <f t="shared" si="3"/>
        <v>1200</v>
      </c>
      <c r="O69" s="111">
        <f t="shared" si="4"/>
        <v>6151</v>
      </c>
      <c r="P69" s="5">
        <v>20</v>
      </c>
      <c r="Q69" s="5">
        <v>24</v>
      </c>
      <c r="R69" s="5">
        <v>16</v>
      </c>
      <c r="S69" s="5">
        <v>20</v>
      </c>
      <c r="T69" s="102">
        <v>24</v>
      </c>
      <c r="U69" s="101">
        <v>155148</v>
      </c>
    </row>
    <row r="70" spans="1:21" x14ac:dyDescent="0.25">
      <c r="A70" s="31">
        <v>19</v>
      </c>
      <c r="B70" s="4" t="s">
        <v>836</v>
      </c>
      <c r="C70" s="20">
        <v>1</v>
      </c>
      <c r="D70" s="7">
        <v>0</v>
      </c>
      <c r="E70" s="3">
        <f t="shared" si="0"/>
        <v>1</v>
      </c>
      <c r="F70" s="85" t="s">
        <v>867</v>
      </c>
      <c r="G70" s="9">
        <v>5249</v>
      </c>
      <c r="H70" s="22" t="s">
        <v>1</v>
      </c>
      <c r="I70" s="78">
        <f t="shared" si="1"/>
        <v>5249</v>
      </c>
      <c r="J70" s="110">
        <f t="shared" si="19"/>
        <v>75</v>
      </c>
      <c r="K70" s="4">
        <v>16</v>
      </c>
      <c r="L70" s="22" t="s">
        <v>1</v>
      </c>
      <c r="M70" s="80">
        <f t="shared" si="2"/>
        <v>16</v>
      </c>
      <c r="N70" s="78">
        <f t="shared" si="3"/>
        <v>1200</v>
      </c>
      <c r="O70" s="111">
        <f t="shared" si="4"/>
        <v>6449</v>
      </c>
      <c r="P70" s="5">
        <v>20</v>
      </c>
      <c r="Q70" s="5">
        <v>24</v>
      </c>
      <c r="R70" s="5">
        <v>16</v>
      </c>
      <c r="S70" s="5">
        <v>20</v>
      </c>
      <c r="T70" s="102">
        <v>24</v>
      </c>
      <c r="U70" s="101">
        <v>155151</v>
      </c>
    </row>
    <row r="71" spans="1:21" x14ac:dyDescent="0.25">
      <c r="A71" s="31">
        <v>20</v>
      </c>
      <c r="B71" s="4" t="s">
        <v>837</v>
      </c>
      <c r="C71" s="20">
        <v>1</v>
      </c>
      <c r="D71" s="7">
        <v>0</v>
      </c>
      <c r="E71" s="3">
        <f t="shared" si="0"/>
        <v>1</v>
      </c>
      <c r="F71" s="85" t="s">
        <v>867</v>
      </c>
      <c r="G71" s="9">
        <v>7133</v>
      </c>
      <c r="H71" s="22" t="s">
        <v>1</v>
      </c>
      <c r="I71" s="78">
        <f t="shared" si="1"/>
        <v>7133</v>
      </c>
      <c r="J71" s="110">
        <f t="shared" si="19"/>
        <v>75</v>
      </c>
      <c r="K71" s="4">
        <v>20</v>
      </c>
      <c r="L71" s="22" t="s">
        <v>1</v>
      </c>
      <c r="M71" s="80">
        <f t="shared" si="2"/>
        <v>20</v>
      </c>
      <c r="N71" s="78">
        <f t="shared" si="3"/>
        <v>1500</v>
      </c>
      <c r="O71" s="111">
        <f t="shared" si="4"/>
        <v>8633</v>
      </c>
      <c r="P71" s="5">
        <v>25</v>
      </c>
      <c r="Q71" s="5">
        <v>30</v>
      </c>
      <c r="R71" s="5">
        <v>22</v>
      </c>
      <c r="S71" s="5">
        <v>27.5</v>
      </c>
      <c r="T71" s="102">
        <v>33</v>
      </c>
      <c r="U71" s="101">
        <v>155154</v>
      </c>
    </row>
    <row r="72" spans="1:21" x14ac:dyDescent="0.25">
      <c r="A72" s="31">
        <v>21</v>
      </c>
      <c r="B72" s="4" t="s">
        <v>838</v>
      </c>
      <c r="C72" s="20">
        <v>1</v>
      </c>
      <c r="D72" s="7">
        <v>0</v>
      </c>
      <c r="E72" s="3">
        <f t="shared" si="0"/>
        <v>1</v>
      </c>
      <c r="F72" s="85" t="s">
        <v>867</v>
      </c>
      <c r="G72" s="9">
        <v>8599</v>
      </c>
      <c r="H72" s="22" t="s">
        <v>1</v>
      </c>
      <c r="I72" s="78">
        <f t="shared" si="1"/>
        <v>8599</v>
      </c>
      <c r="J72" s="110">
        <f t="shared" si="19"/>
        <v>75</v>
      </c>
      <c r="K72" s="4">
        <v>20</v>
      </c>
      <c r="L72" s="22" t="s">
        <v>1</v>
      </c>
      <c r="M72" s="80">
        <f t="shared" si="2"/>
        <v>20</v>
      </c>
      <c r="N72" s="78">
        <f t="shared" si="3"/>
        <v>1500</v>
      </c>
      <c r="O72" s="111">
        <f t="shared" si="4"/>
        <v>10099</v>
      </c>
      <c r="P72" s="5">
        <v>25</v>
      </c>
      <c r="Q72" s="5">
        <v>30</v>
      </c>
      <c r="R72" s="5">
        <v>24</v>
      </c>
      <c r="S72" s="5">
        <v>30</v>
      </c>
      <c r="T72" s="102">
        <v>36</v>
      </c>
      <c r="U72" s="101">
        <v>155157</v>
      </c>
    </row>
    <row r="73" spans="1:21" x14ac:dyDescent="0.25">
      <c r="A73" s="31"/>
      <c r="B73" s="4"/>
      <c r="C73" s="20"/>
      <c r="D73" s="7"/>
      <c r="E73" s="3"/>
      <c r="F73" s="85"/>
      <c r="G73" s="77" t="s">
        <v>1202</v>
      </c>
      <c r="H73" s="22"/>
      <c r="I73" s="78"/>
      <c r="J73" s="110"/>
      <c r="K73" s="4"/>
      <c r="L73" s="22"/>
      <c r="M73" s="80"/>
      <c r="N73" s="78"/>
      <c r="O73" s="111"/>
      <c r="P73" s="5"/>
      <c r="Q73" s="5"/>
      <c r="R73" s="5"/>
      <c r="S73" s="5"/>
      <c r="T73" s="102"/>
      <c r="U73" s="101"/>
    </row>
    <row r="74" spans="1:21" x14ac:dyDescent="0.25">
      <c r="A74" s="31">
        <v>1</v>
      </c>
      <c r="B74" s="4" t="s">
        <v>839</v>
      </c>
      <c r="C74" s="20">
        <v>1</v>
      </c>
      <c r="D74" s="7">
        <v>0</v>
      </c>
      <c r="E74" s="3">
        <f t="shared" si="0"/>
        <v>1</v>
      </c>
      <c r="F74" s="85" t="s">
        <v>867</v>
      </c>
      <c r="G74" s="9">
        <v>290</v>
      </c>
      <c r="H74" s="22" t="s">
        <v>1</v>
      </c>
      <c r="I74" s="78">
        <f t="shared" si="1"/>
        <v>290</v>
      </c>
      <c r="J74" s="110">
        <f t="shared" si="19"/>
        <v>75</v>
      </c>
      <c r="K74" s="4">
        <v>4</v>
      </c>
      <c r="L74" s="22" t="s">
        <v>1</v>
      </c>
      <c r="M74" s="80">
        <f t="shared" si="2"/>
        <v>4</v>
      </c>
      <c r="N74" s="78">
        <f t="shared" si="3"/>
        <v>300</v>
      </c>
      <c r="O74" s="111">
        <f t="shared" si="4"/>
        <v>590</v>
      </c>
      <c r="P74" s="5">
        <v>5</v>
      </c>
      <c r="Q74" s="5">
        <v>6</v>
      </c>
      <c r="R74" s="5"/>
      <c r="S74" s="5"/>
      <c r="T74" s="102"/>
      <c r="U74" s="101">
        <v>155160</v>
      </c>
    </row>
    <row r="75" spans="1:21" x14ac:dyDescent="0.25">
      <c r="A75" s="31">
        <v>2</v>
      </c>
      <c r="B75" s="4" t="s">
        <v>840</v>
      </c>
      <c r="C75" s="20">
        <v>1</v>
      </c>
      <c r="D75" s="7">
        <v>0</v>
      </c>
      <c r="E75" s="3">
        <f t="shared" si="0"/>
        <v>1</v>
      </c>
      <c r="F75" s="85" t="s">
        <v>867</v>
      </c>
      <c r="G75" s="9">
        <v>325</v>
      </c>
      <c r="H75" s="22" t="s">
        <v>1</v>
      </c>
      <c r="I75" s="78">
        <f t="shared" si="1"/>
        <v>325</v>
      </c>
      <c r="J75" s="110">
        <f t="shared" si="19"/>
        <v>75</v>
      </c>
      <c r="K75" s="4">
        <v>4</v>
      </c>
      <c r="L75" s="22" t="s">
        <v>1</v>
      </c>
      <c r="M75" s="80">
        <f t="shared" si="2"/>
        <v>4</v>
      </c>
      <c r="N75" s="78">
        <f t="shared" si="3"/>
        <v>300</v>
      </c>
      <c r="O75" s="111">
        <f t="shared" si="4"/>
        <v>625</v>
      </c>
      <c r="P75" s="5">
        <v>5</v>
      </c>
      <c r="Q75" s="5">
        <v>6</v>
      </c>
      <c r="R75" s="5"/>
      <c r="S75" s="5"/>
      <c r="T75" s="102"/>
      <c r="U75" s="101">
        <v>155163</v>
      </c>
    </row>
    <row r="76" spans="1:21" x14ac:dyDescent="0.25">
      <c r="A76" s="31">
        <v>3</v>
      </c>
      <c r="B76" s="4" t="s">
        <v>841</v>
      </c>
      <c r="C76" s="20">
        <v>1</v>
      </c>
      <c r="D76" s="7">
        <v>0</v>
      </c>
      <c r="E76" s="3">
        <f t="shared" si="0"/>
        <v>1</v>
      </c>
      <c r="F76" s="85" t="s">
        <v>867</v>
      </c>
      <c r="G76" s="9">
        <v>525</v>
      </c>
      <c r="H76" s="22" t="s">
        <v>1</v>
      </c>
      <c r="I76" s="78">
        <f t="shared" si="1"/>
        <v>525</v>
      </c>
      <c r="J76" s="110">
        <f t="shared" si="19"/>
        <v>75</v>
      </c>
      <c r="K76" s="4">
        <v>4</v>
      </c>
      <c r="L76" s="22" t="s">
        <v>1</v>
      </c>
      <c r="M76" s="80">
        <f t="shared" si="2"/>
        <v>4</v>
      </c>
      <c r="N76" s="78">
        <f t="shared" si="3"/>
        <v>300</v>
      </c>
      <c r="O76" s="111">
        <f t="shared" si="4"/>
        <v>825</v>
      </c>
      <c r="P76" s="5">
        <v>5</v>
      </c>
      <c r="Q76" s="5">
        <v>6</v>
      </c>
      <c r="R76" s="5"/>
      <c r="S76" s="5"/>
      <c r="T76" s="102"/>
      <c r="U76" s="101">
        <v>155166</v>
      </c>
    </row>
    <row r="77" spans="1:21" x14ac:dyDescent="0.25">
      <c r="A77" s="31">
        <v>4</v>
      </c>
      <c r="B77" s="4" t="s">
        <v>842</v>
      </c>
      <c r="C77" s="20">
        <v>1</v>
      </c>
      <c r="D77" s="7">
        <v>0</v>
      </c>
      <c r="E77" s="3">
        <f t="shared" si="0"/>
        <v>1</v>
      </c>
      <c r="F77" s="85" t="s">
        <v>867</v>
      </c>
      <c r="G77" s="9">
        <v>665</v>
      </c>
      <c r="H77" s="22" t="s">
        <v>1</v>
      </c>
      <c r="I77" s="78">
        <f t="shared" si="1"/>
        <v>665</v>
      </c>
      <c r="J77" s="110">
        <f t="shared" si="19"/>
        <v>75</v>
      </c>
      <c r="K77" s="4">
        <v>5</v>
      </c>
      <c r="L77" s="22" t="s">
        <v>1</v>
      </c>
      <c r="M77" s="80">
        <f t="shared" si="2"/>
        <v>5</v>
      </c>
      <c r="N77" s="78">
        <f t="shared" si="3"/>
        <v>375</v>
      </c>
      <c r="O77" s="111">
        <f t="shared" si="4"/>
        <v>1040</v>
      </c>
      <c r="P77" s="5">
        <v>6.25</v>
      </c>
      <c r="Q77" s="5">
        <v>7.5</v>
      </c>
      <c r="R77" s="5"/>
      <c r="S77" s="5"/>
      <c r="T77" s="102"/>
      <c r="U77" s="101">
        <v>155169</v>
      </c>
    </row>
    <row r="78" spans="1:21" x14ac:dyDescent="0.25">
      <c r="A78" s="31">
        <v>5</v>
      </c>
      <c r="B78" s="4" t="s">
        <v>843</v>
      </c>
      <c r="C78" s="20">
        <v>1</v>
      </c>
      <c r="D78" s="7">
        <v>0</v>
      </c>
      <c r="E78" s="3">
        <f t="shared" si="0"/>
        <v>1</v>
      </c>
      <c r="F78" s="85" t="s">
        <v>867</v>
      </c>
      <c r="G78" s="9">
        <v>775</v>
      </c>
      <c r="H78" s="22" t="s">
        <v>1</v>
      </c>
      <c r="I78" s="78">
        <f t="shared" si="1"/>
        <v>775</v>
      </c>
      <c r="J78" s="110">
        <f t="shared" si="19"/>
        <v>75</v>
      </c>
      <c r="K78" s="4">
        <v>5</v>
      </c>
      <c r="L78" s="22" t="s">
        <v>1</v>
      </c>
      <c r="M78" s="80">
        <f t="shared" si="2"/>
        <v>5</v>
      </c>
      <c r="N78" s="78">
        <f t="shared" si="3"/>
        <v>375</v>
      </c>
      <c r="O78" s="111">
        <f t="shared" si="4"/>
        <v>1150</v>
      </c>
      <c r="P78" s="5">
        <v>6.25</v>
      </c>
      <c r="Q78" s="5">
        <v>7.5</v>
      </c>
      <c r="R78" s="5"/>
      <c r="S78" s="5"/>
      <c r="T78" s="102"/>
      <c r="U78" s="101">
        <v>155172</v>
      </c>
    </row>
    <row r="79" spans="1:21" x14ac:dyDescent="0.25">
      <c r="A79" s="31">
        <v>6</v>
      </c>
      <c r="B79" s="4" t="s">
        <v>844</v>
      </c>
      <c r="C79" s="20">
        <v>1</v>
      </c>
      <c r="D79" s="7">
        <v>0</v>
      </c>
      <c r="E79" s="3">
        <f t="shared" si="0"/>
        <v>1</v>
      </c>
      <c r="F79" s="85" t="s">
        <v>867</v>
      </c>
      <c r="G79" s="9">
        <v>949</v>
      </c>
      <c r="H79" s="22" t="s">
        <v>1</v>
      </c>
      <c r="I79" s="78">
        <f t="shared" si="1"/>
        <v>949</v>
      </c>
      <c r="J79" s="110">
        <f t="shared" si="19"/>
        <v>75</v>
      </c>
      <c r="K79" s="4">
        <v>5</v>
      </c>
      <c r="L79" s="22" t="s">
        <v>1</v>
      </c>
      <c r="M79" s="80">
        <f t="shared" si="2"/>
        <v>5</v>
      </c>
      <c r="N79" s="78">
        <f t="shared" si="3"/>
        <v>375</v>
      </c>
      <c r="O79" s="111">
        <f t="shared" si="4"/>
        <v>1324</v>
      </c>
      <c r="P79" s="5">
        <v>6.25</v>
      </c>
      <c r="Q79" s="5">
        <v>7.5</v>
      </c>
      <c r="R79" s="5"/>
      <c r="S79" s="5"/>
      <c r="T79" s="102"/>
      <c r="U79" s="101">
        <v>155175</v>
      </c>
    </row>
    <row r="80" spans="1:21" x14ac:dyDescent="0.25">
      <c r="A80" s="31">
        <v>7</v>
      </c>
      <c r="B80" s="4" t="s">
        <v>845</v>
      </c>
      <c r="C80" s="20">
        <v>1</v>
      </c>
      <c r="D80" s="7">
        <v>0</v>
      </c>
      <c r="E80" s="3">
        <f t="shared" si="0"/>
        <v>1</v>
      </c>
      <c r="F80" s="85" t="s">
        <v>867</v>
      </c>
      <c r="G80" s="9">
        <v>1475</v>
      </c>
      <c r="H80" s="22" t="s">
        <v>1</v>
      </c>
      <c r="I80" s="78">
        <f t="shared" si="1"/>
        <v>1475</v>
      </c>
      <c r="J80" s="110">
        <f t="shared" si="19"/>
        <v>75</v>
      </c>
      <c r="K80" s="4">
        <v>7</v>
      </c>
      <c r="L80" s="22" t="s">
        <v>1</v>
      </c>
      <c r="M80" s="80">
        <f t="shared" si="2"/>
        <v>7</v>
      </c>
      <c r="N80" s="78">
        <f t="shared" si="3"/>
        <v>525</v>
      </c>
      <c r="O80" s="111">
        <f t="shared" si="4"/>
        <v>2000</v>
      </c>
      <c r="P80" s="5">
        <v>8.75</v>
      </c>
      <c r="Q80" s="5">
        <v>10.5</v>
      </c>
      <c r="R80" s="5"/>
      <c r="S80" s="5"/>
      <c r="T80" s="102"/>
      <c r="U80" s="101">
        <v>155178</v>
      </c>
    </row>
    <row r="81" spans="1:21" x14ac:dyDescent="0.25">
      <c r="A81" s="31">
        <v>8</v>
      </c>
      <c r="B81" s="4" t="s">
        <v>846</v>
      </c>
      <c r="C81" s="20">
        <v>1</v>
      </c>
      <c r="D81" s="7">
        <v>0</v>
      </c>
      <c r="E81" s="3">
        <f t="shared" si="0"/>
        <v>1</v>
      </c>
      <c r="F81" s="85" t="s">
        <v>867</v>
      </c>
      <c r="G81" s="9">
        <v>1597</v>
      </c>
      <c r="H81" s="22" t="s">
        <v>1</v>
      </c>
      <c r="I81" s="78">
        <f t="shared" si="1"/>
        <v>1597</v>
      </c>
      <c r="J81" s="110">
        <f t="shared" si="19"/>
        <v>75</v>
      </c>
      <c r="K81" s="4">
        <v>7</v>
      </c>
      <c r="L81" s="22" t="s">
        <v>1</v>
      </c>
      <c r="M81" s="80">
        <f t="shared" si="2"/>
        <v>7</v>
      </c>
      <c r="N81" s="78">
        <f t="shared" si="3"/>
        <v>525</v>
      </c>
      <c r="O81" s="111">
        <f t="shared" si="4"/>
        <v>2122</v>
      </c>
      <c r="P81" s="5">
        <v>8.75</v>
      </c>
      <c r="Q81" s="5">
        <v>10.5</v>
      </c>
      <c r="R81" s="5"/>
      <c r="S81" s="5"/>
      <c r="T81" s="102"/>
      <c r="U81" s="101">
        <v>155181</v>
      </c>
    </row>
    <row r="82" spans="1:21" x14ac:dyDescent="0.25">
      <c r="A82" s="31">
        <v>9</v>
      </c>
      <c r="B82" s="4" t="s">
        <v>847</v>
      </c>
      <c r="C82" s="20">
        <v>1</v>
      </c>
      <c r="D82" s="7">
        <v>0</v>
      </c>
      <c r="E82" s="3">
        <f t="shared" si="0"/>
        <v>1</v>
      </c>
      <c r="F82" s="85" t="s">
        <v>867</v>
      </c>
      <c r="G82" s="9">
        <v>1669</v>
      </c>
      <c r="H82" s="22" t="s">
        <v>1</v>
      </c>
      <c r="I82" s="78">
        <f t="shared" si="1"/>
        <v>1669</v>
      </c>
      <c r="J82" s="110">
        <f t="shared" si="19"/>
        <v>75</v>
      </c>
      <c r="K82" s="4">
        <v>7</v>
      </c>
      <c r="L82" s="22" t="s">
        <v>1</v>
      </c>
      <c r="M82" s="80">
        <f t="shared" si="2"/>
        <v>7</v>
      </c>
      <c r="N82" s="78">
        <f t="shared" si="3"/>
        <v>525</v>
      </c>
      <c r="O82" s="111">
        <f t="shared" si="4"/>
        <v>2194</v>
      </c>
      <c r="P82" s="5">
        <v>8.75</v>
      </c>
      <c r="Q82" s="5">
        <v>10.5</v>
      </c>
      <c r="R82" s="5"/>
      <c r="S82" s="5"/>
      <c r="T82" s="102"/>
      <c r="U82" s="101">
        <v>155184</v>
      </c>
    </row>
    <row r="83" spans="1:21" x14ac:dyDescent="0.25">
      <c r="A83" s="31">
        <v>10</v>
      </c>
      <c r="B83" s="4" t="s">
        <v>848</v>
      </c>
      <c r="C83" s="20">
        <v>1</v>
      </c>
      <c r="D83" s="7">
        <v>0</v>
      </c>
      <c r="E83" s="3">
        <f t="shared" si="0"/>
        <v>1</v>
      </c>
      <c r="F83" s="85" t="s">
        <v>867</v>
      </c>
      <c r="G83" s="9">
        <v>1899</v>
      </c>
      <c r="H83" s="22" t="s">
        <v>1</v>
      </c>
      <c r="I83" s="78">
        <f t="shared" si="1"/>
        <v>1899</v>
      </c>
      <c r="J83" s="110">
        <f t="shared" si="19"/>
        <v>75</v>
      </c>
      <c r="K83" s="4">
        <v>7</v>
      </c>
      <c r="L83" s="22" t="s">
        <v>1</v>
      </c>
      <c r="M83" s="80">
        <f t="shared" si="2"/>
        <v>7</v>
      </c>
      <c r="N83" s="78">
        <f t="shared" si="3"/>
        <v>525</v>
      </c>
      <c r="O83" s="111">
        <f t="shared" si="4"/>
        <v>2424</v>
      </c>
      <c r="P83" s="5">
        <v>8.75</v>
      </c>
      <c r="Q83" s="5">
        <v>10.5</v>
      </c>
      <c r="R83" s="5"/>
      <c r="S83" s="5"/>
      <c r="T83" s="102"/>
      <c r="U83" s="101">
        <v>155187</v>
      </c>
    </row>
    <row r="84" spans="1:21" x14ac:dyDescent="0.25">
      <c r="A84" s="31">
        <v>11</v>
      </c>
      <c r="B84" s="4" t="s">
        <v>849</v>
      </c>
      <c r="C84" s="20">
        <v>1</v>
      </c>
      <c r="D84" s="7">
        <v>0</v>
      </c>
      <c r="E84" s="3">
        <f t="shared" ref="E84" si="24">C84+(C84*D84)</f>
        <v>1</v>
      </c>
      <c r="F84" s="85" t="s">
        <v>867</v>
      </c>
      <c r="G84" s="9">
        <v>2270</v>
      </c>
      <c r="H84" s="22" t="s">
        <v>1</v>
      </c>
      <c r="I84" s="78">
        <f t="shared" si="1"/>
        <v>2270</v>
      </c>
      <c r="J84" s="110">
        <f t="shared" si="19"/>
        <v>75</v>
      </c>
      <c r="K84" s="4">
        <v>10</v>
      </c>
      <c r="L84" s="22" t="s">
        <v>1</v>
      </c>
      <c r="M84" s="80">
        <f t="shared" si="2"/>
        <v>10</v>
      </c>
      <c r="N84" s="78">
        <f t="shared" si="3"/>
        <v>750</v>
      </c>
      <c r="O84" s="111">
        <f t="shared" si="4"/>
        <v>3020</v>
      </c>
      <c r="P84" s="5">
        <v>12.5</v>
      </c>
      <c r="Q84" s="5">
        <v>15</v>
      </c>
      <c r="R84" s="5">
        <v>9</v>
      </c>
      <c r="S84" s="5">
        <v>11.25</v>
      </c>
      <c r="T84" s="102">
        <v>13.5</v>
      </c>
      <c r="U84" s="101">
        <v>155190</v>
      </c>
    </row>
    <row r="85" spans="1:21" x14ac:dyDescent="0.25">
      <c r="A85" s="31">
        <v>12</v>
      </c>
      <c r="B85" s="4" t="s">
        <v>850</v>
      </c>
      <c r="C85" s="20">
        <v>1</v>
      </c>
      <c r="D85" s="7">
        <v>0</v>
      </c>
      <c r="E85" s="3">
        <f t="shared" si="0"/>
        <v>1</v>
      </c>
      <c r="F85" s="85" t="s">
        <v>867</v>
      </c>
      <c r="G85" s="9">
        <v>2450</v>
      </c>
      <c r="H85" s="22" t="s">
        <v>1</v>
      </c>
      <c r="I85" s="78">
        <f t="shared" si="1"/>
        <v>2450</v>
      </c>
      <c r="J85" s="110">
        <f t="shared" si="19"/>
        <v>75</v>
      </c>
      <c r="K85" s="4">
        <v>10</v>
      </c>
      <c r="L85" s="22" t="s">
        <v>1</v>
      </c>
      <c r="M85" s="80">
        <f t="shared" si="2"/>
        <v>10</v>
      </c>
      <c r="N85" s="78">
        <f t="shared" si="3"/>
        <v>750</v>
      </c>
      <c r="O85" s="111">
        <f t="shared" si="4"/>
        <v>3200</v>
      </c>
      <c r="P85" s="5">
        <v>12.5</v>
      </c>
      <c r="Q85" s="5">
        <v>15</v>
      </c>
      <c r="R85" s="5">
        <v>10</v>
      </c>
      <c r="S85" s="5">
        <v>12.5</v>
      </c>
      <c r="T85" s="102">
        <v>15</v>
      </c>
      <c r="U85" s="101">
        <v>155193</v>
      </c>
    </row>
    <row r="86" spans="1:21" x14ac:dyDescent="0.25">
      <c r="A86" s="31">
        <v>13</v>
      </c>
      <c r="B86" s="4" t="s">
        <v>851</v>
      </c>
      <c r="C86" s="20">
        <v>1</v>
      </c>
      <c r="D86" s="7">
        <v>0</v>
      </c>
      <c r="E86" s="3">
        <f t="shared" si="0"/>
        <v>1</v>
      </c>
      <c r="F86" s="85" t="s">
        <v>867</v>
      </c>
      <c r="G86" s="9">
        <v>2628</v>
      </c>
      <c r="H86" s="22" t="s">
        <v>1</v>
      </c>
      <c r="I86" s="78">
        <f t="shared" si="1"/>
        <v>2628</v>
      </c>
      <c r="J86" s="110">
        <f t="shared" si="19"/>
        <v>75</v>
      </c>
      <c r="K86" s="4">
        <v>10</v>
      </c>
      <c r="L86" s="22" t="s">
        <v>1</v>
      </c>
      <c r="M86" s="80">
        <f t="shared" si="2"/>
        <v>10</v>
      </c>
      <c r="N86" s="78">
        <f t="shared" si="3"/>
        <v>750</v>
      </c>
      <c r="O86" s="111">
        <f t="shared" si="4"/>
        <v>3378</v>
      </c>
      <c r="P86" s="5">
        <v>12.5</v>
      </c>
      <c r="Q86" s="5">
        <v>15</v>
      </c>
      <c r="R86" s="5">
        <v>12</v>
      </c>
      <c r="S86" s="5">
        <v>15</v>
      </c>
      <c r="T86" s="102">
        <v>18</v>
      </c>
      <c r="U86" s="101">
        <v>155196</v>
      </c>
    </row>
    <row r="87" spans="1:21" x14ac:dyDescent="0.25">
      <c r="A87" s="31">
        <v>14</v>
      </c>
      <c r="B87" s="4" t="s">
        <v>852</v>
      </c>
      <c r="C87" s="20">
        <v>1</v>
      </c>
      <c r="D87" s="7">
        <v>0</v>
      </c>
      <c r="E87" s="3">
        <f t="shared" si="0"/>
        <v>1</v>
      </c>
      <c r="F87" s="85" t="s">
        <v>867</v>
      </c>
      <c r="G87" s="9">
        <v>2798</v>
      </c>
      <c r="H87" s="22" t="s">
        <v>1</v>
      </c>
      <c r="I87" s="78">
        <f t="shared" si="1"/>
        <v>2798</v>
      </c>
      <c r="J87" s="110">
        <f t="shared" si="19"/>
        <v>75</v>
      </c>
      <c r="K87" s="4">
        <v>10</v>
      </c>
      <c r="L87" s="22" t="s">
        <v>1</v>
      </c>
      <c r="M87" s="80">
        <f t="shared" si="2"/>
        <v>10</v>
      </c>
      <c r="N87" s="78">
        <f t="shared" si="3"/>
        <v>750</v>
      </c>
      <c r="O87" s="111">
        <f t="shared" si="4"/>
        <v>3548</v>
      </c>
      <c r="P87" s="5">
        <v>12.5</v>
      </c>
      <c r="Q87" s="5">
        <v>15</v>
      </c>
      <c r="R87" s="5">
        <v>12</v>
      </c>
      <c r="S87" s="5">
        <v>15</v>
      </c>
      <c r="T87" s="102">
        <v>18</v>
      </c>
      <c r="U87" s="101">
        <v>155199</v>
      </c>
    </row>
    <row r="88" spans="1:21" x14ac:dyDescent="0.25">
      <c r="A88" s="31">
        <v>15</v>
      </c>
      <c r="B88" s="4" t="s">
        <v>853</v>
      </c>
      <c r="C88" s="20">
        <v>1</v>
      </c>
      <c r="D88" s="7">
        <v>0</v>
      </c>
      <c r="E88" s="3">
        <f t="shared" si="0"/>
        <v>1</v>
      </c>
      <c r="F88" s="85" t="s">
        <v>867</v>
      </c>
      <c r="G88" s="9">
        <v>2949</v>
      </c>
      <c r="H88" s="22" t="s">
        <v>1</v>
      </c>
      <c r="I88" s="78">
        <f t="shared" si="1"/>
        <v>2949</v>
      </c>
      <c r="J88" s="110">
        <f t="shared" si="19"/>
        <v>75</v>
      </c>
      <c r="K88" s="4">
        <v>10</v>
      </c>
      <c r="L88" s="22" t="s">
        <v>1</v>
      </c>
      <c r="M88" s="80">
        <f t="shared" si="2"/>
        <v>10</v>
      </c>
      <c r="N88" s="78">
        <f t="shared" si="3"/>
        <v>750</v>
      </c>
      <c r="O88" s="111">
        <f t="shared" si="4"/>
        <v>3699</v>
      </c>
      <c r="P88" s="5">
        <v>12.5</v>
      </c>
      <c r="Q88" s="5">
        <v>15</v>
      </c>
      <c r="R88" s="5">
        <v>12</v>
      </c>
      <c r="S88" s="5">
        <v>15</v>
      </c>
      <c r="T88" s="102">
        <v>18</v>
      </c>
      <c r="U88" s="101">
        <v>155202</v>
      </c>
    </row>
    <row r="89" spans="1:21" x14ac:dyDescent="0.25">
      <c r="A89" s="31">
        <v>16</v>
      </c>
      <c r="B89" s="4" t="s">
        <v>854</v>
      </c>
      <c r="C89" s="20">
        <v>1</v>
      </c>
      <c r="D89" s="7">
        <v>0</v>
      </c>
      <c r="E89" s="3">
        <f t="shared" si="0"/>
        <v>1</v>
      </c>
      <c r="F89" s="85" t="s">
        <v>867</v>
      </c>
      <c r="G89" s="9">
        <v>3799</v>
      </c>
      <c r="H89" s="22" t="s">
        <v>1</v>
      </c>
      <c r="I89" s="78">
        <f t="shared" si="1"/>
        <v>3799</v>
      </c>
      <c r="J89" s="110">
        <f t="shared" si="19"/>
        <v>75</v>
      </c>
      <c r="K89" s="4">
        <v>14</v>
      </c>
      <c r="L89" s="22" t="s">
        <v>1</v>
      </c>
      <c r="M89" s="80">
        <f t="shared" si="2"/>
        <v>14</v>
      </c>
      <c r="N89" s="78">
        <f t="shared" si="3"/>
        <v>1050</v>
      </c>
      <c r="O89" s="111">
        <f t="shared" si="4"/>
        <v>4849</v>
      </c>
      <c r="P89" s="5">
        <v>17.5</v>
      </c>
      <c r="Q89" s="5">
        <v>21</v>
      </c>
      <c r="R89" s="5">
        <v>15</v>
      </c>
      <c r="S89" s="5">
        <v>18.75</v>
      </c>
      <c r="T89" s="102">
        <v>22.5</v>
      </c>
      <c r="U89" s="101">
        <v>155205</v>
      </c>
    </row>
    <row r="90" spans="1:21" x14ac:dyDescent="0.25">
      <c r="A90" s="31">
        <v>17</v>
      </c>
      <c r="B90" s="4" t="s">
        <v>855</v>
      </c>
      <c r="C90" s="20">
        <v>1</v>
      </c>
      <c r="D90" s="7">
        <v>0</v>
      </c>
      <c r="E90" s="3">
        <f t="shared" si="0"/>
        <v>1</v>
      </c>
      <c r="F90" s="85" t="s">
        <v>867</v>
      </c>
      <c r="G90" s="9">
        <v>5049</v>
      </c>
      <c r="H90" s="22" t="s">
        <v>1</v>
      </c>
      <c r="I90" s="78">
        <f t="shared" si="1"/>
        <v>5049</v>
      </c>
      <c r="J90" s="110">
        <f t="shared" si="19"/>
        <v>75</v>
      </c>
      <c r="K90" s="4">
        <v>14</v>
      </c>
      <c r="L90" s="22" t="s">
        <v>1</v>
      </c>
      <c r="M90" s="80">
        <f t="shared" si="2"/>
        <v>14</v>
      </c>
      <c r="N90" s="78">
        <f t="shared" si="3"/>
        <v>1050</v>
      </c>
      <c r="O90" s="111">
        <f t="shared" si="4"/>
        <v>6099</v>
      </c>
      <c r="P90" s="5">
        <v>17.5</v>
      </c>
      <c r="Q90" s="5">
        <v>21</v>
      </c>
      <c r="R90" s="5">
        <v>15</v>
      </c>
      <c r="S90" s="5">
        <v>18.75</v>
      </c>
      <c r="T90" s="102">
        <v>22.5</v>
      </c>
      <c r="U90" s="101">
        <v>155208</v>
      </c>
    </row>
    <row r="91" spans="1:21" x14ac:dyDescent="0.25">
      <c r="A91" s="31">
        <v>18</v>
      </c>
      <c r="B91" s="4" t="s">
        <v>856</v>
      </c>
      <c r="C91" s="20">
        <v>1</v>
      </c>
      <c r="D91" s="7">
        <v>0</v>
      </c>
      <c r="E91" s="3">
        <f t="shared" si="0"/>
        <v>1</v>
      </c>
      <c r="F91" s="85" t="s">
        <v>867</v>
      </c>
      <c r="G91" s="9">
        <v>5179.75</v>
      </c>
      <c r="H91" s="22" t="s">
        <v>1</v>
      </c>
      <c r="I91" s="78">
        <f t="shared" si="1"/>
        <v>5179.75</v>
      </c>
      <c r="J91" s="110">
        <f t="shared" si="19"/>
        <v>75</v>
      </c>
      <c r="K91" s="4">
        <v>18</v>
      </c>
      <c r="L91" s="22" t="s">
        <v>1</v>
      </c>
      <c r="M91" s="80">
        <f t="shared" si="2"/>
        <v>18</v>
      </c>
      <c r="N91" s="78">
        <f t="shared" si="3"/>
        <v>1350</v>
      </c>
      <c r="O91" s="111">
        <f t="shared" si="4"/>
        <v>6529.75</v>
      </c>
      <c r="P91" s="5">
        <v>22.5</v>
      </c>
      <c r="Q91" s="5">
        <v>27</v>
      </c>
      <c r="R91" s="5">
        <v>18</v>
      </c>
      <c r="S91" s="5">
        <v>22.5</v>
      </c>
      <c r="T91" s="102">
        <v>27</v>
      </c>
      <c r="U91" s="101">
        <v>155211</v>
      </c>
    </row>
    <row r="92" spans="1:21" x14ac:dyDescent="0.25">
      <c r="A92" s="31">
        <v>19</v>
      </c>
      <c r="B92" s="4" t="s">
        <v>857</v>
      </c>
      <c r="C92" s="20">
        <v>1</v>
      </c>
      <c r="D92" s="7">
        <v>0</v>
      </c>
      <c r="E92" s="3">
        <f t="shared" si="0"/>
        <v>1</v>
      </c>
      <c r="F92" s="85" t="s">
        <v>867</v>
      </c>
      <c r="G92" s="9">
        <v>5449</v>
      </c>
      <c r="H92" s="22" t="s">
        <v>1</v>
      </c>
      <c r="I92" s="78">
        <f t="shared" si="1"/>
        <v>5449</v>
      </c>
      <c r="J92" s="110">
        <f t="shared" si="19"/>
        <v>75</v>
      </c>
      <c r="K92" s="4">
        <v>18</v>
      </c>
      <c r="L92" s="22" t="s">
        <v>1</v>
      </c>
      <c r="M92" s="80">
        <f t="shared" si="2"/>
        <v>18</v>
      </c>
      <c r="N92" s="78">
        <f t="shared" si="3"/>
        <v>1350</v>
      </c>
      <c r="O92" s="111">
        <f t="shared" si="4"/>
        <v>6799</v>
      </c>
      <c r="P92" s="5">
        <v>22.5</v>
      </c>
      <c r="Q92" s="5">
        <v>27</v>
      </c>
      <c r="R92" s="5">
        <v>18</v>
      </c>
      <c r="S92" s="5">
        <v>22.5</v>
      </c>
      <c r="T92" s="102">
        <v>27</v>
      </c>
      <c r="U92" s="101">
        <v>155214</v>
      </c>
    </row>
    <row r="93" spans="1:21" x14ac:dyDescent="0.25">
      <c r="A93" s="31">
        <v>20</v>
      </c>
      <c r="B93" s="4" t="s">
        <v>858</v>
      </c>
      <c r="C93" s="20">
        <v>1</v>
      </c>
      <c r="D93" s="7">
        <v>0</v>
      </c>
      <c r="E93" s="3">
        <f t="shared" si="0"/>
        <v>1</v>
      </c>
      <c r="F93" s="85" t="s">
        <v>867</v>
      </c>
      <c r="G93" s="9">
        <v>7751</v>
      </c>
      <c r="H93" s="22" t="s">
        <v>1</v>
      </c>
      <c r="I93" s="78">
        <f t="shared" si="1"/>
        <v>7751</v>
      </c>
      <c r="J93" s="110">
        <f t="shared" si="19"/>
        <v>75</v>
      </c>
      <c r="K93" s="4">
        <v>22</v>
      </c>
      <c r="L93" s="22" t="s">
        <v>1</v>
      </c>
      <c r="M93" s="80">
        <f t="shared" si="2"/>
        <v>22</v>
      </c>
      <c r="N93" s="78">
        <f t="shared" si="3"/>
        <v>1650</v>
      </c>
      <c r="O93" s="111">
        <f t="shared" si="4"/>
        <v>9401</v>
      </c>
      <c r="P93" s="5">
        <v>27.5</v>
      </c>
      <c r="Q93" s="5">
        <v>33</v>
      </c>
      <c r="R93" s="5">
        <v>24</v>
      </c>
      <c r="S93" s="5">
        <v>30</v>
      </c>
      <c r="T93" s="102">
        <v>36</v>
      </c>
      <c r="U93" s="101">
        <v>155217</v>
      </c>
    </row>
    <row r="94" spans="1:21" x14ac:dyDescent="0.25">
      <c r="A94" s="31">
        <v>21</v>
      </c>
      <c r="B94" s="4" t="s">
        <v>859</v>
      </c>
      <c r="C94" s="20">
        <v>1</v>
      </c>
      <c r="D94" s="7">
        <v>0</v>
      </c>
      <c r="E94" s="3">
        <f t="shared" si="0"/>
        <v>1</v>
      </c>
      <c r="F94" s="85" t="s">
        <v>867</v>
      </c>
      <c r="G94" s="9">
        <v>8697</v>
      </c>
      <c r="H94" s="22" t="s">
        <v>1</v>
      </c>
      <c r="I94" s="78">
        <f t="shared" si="1"/>
        <v>8697</v>
      </c>
      <c r="J94" s="110">
        <f t="shared" si="19"/>
        <v>75</v>
      </c>
      <c r="K94" s="4">
        <v>22</v>
      </c>
      <c r="L94" s="22" t="s">
        <v>1</v>
      </c>
      <c r="M94" s="80">
        <f t="shared" si="2"/>
        <v>22</v>
      </c>
      <c r="N94" s="78">
        <f t="shared" si="3"/>
        <v>1650</v>
      </c>
      <c r="O94" s="111">
        <f t="shared" si="4"/>
        <v>10347</v>
      </c>
      <c r="P94" s="5">
        <v>27.5</v>
      </c>
      <c r="Q94" s="5">
        <v>33</v>
      </c>
      <c r="R94" s="5">
        <v>26</v>
      </c>
      <c r="S94" s="5">
        <v>32.5</v>
      </c>
      <c r="T94" s="102">
        <v>39</v>
      </c>
      <c r="U94" s="101">
        <v>155220</v>
      </c>
    </row>
    <row r="95" spans="1:21" ht="15.75" thickBot="1" x14ac:dyDescent="0.3">
      <c r="A95" s="33"/>
      <c r="B95" s="28"/>
      <c r="C95" s="29"/>
      <c r="D95" s="28"/>
      <c r="E95" s="28"/>
      <c r="F95" s="28"/>
      <c r="G95" s="34"/>
      <c r="H95" s="29"/>
      <c r="I95" s="28"/>
      <c r="J95" s="28"/>
      <c r="K95" s="29"/>
      <c r="L95" s="29"/>
      <c r="M95" s="28"/>
      <c r="N95" s="28"/>
      <c r="O95" s="52"/>
      <c r="P95" s="103"/>
      <c r="Q95" s="103"/>
      <c r="R95" s="103"/>
      <c r="S95" s="103"/>
      <c r="T95" s="104"/>
      <c r="U95" s="101"/>
    </row>
  </sheetData>
  <mergeCells count="1">
    <mergeCell ref="M4:N4"/>
  </mergeCells>
  <pageMargins left="0.7" right="0.7" top="0.75" bottom="0.75" header="0.3" footer="0.3"/>
  <pageSetup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Demolition</vt:lpstr>
      <vt:lpstr>High Voltage Switchgear </vt:lpstr>
      <vt:lpstr>Distribution Switchgear</vt:lpstr>
      <vt:lpstr>Motor Control Center</vt:lpstr>
      <vt:lpstr>H.Voltage Motor Control Center</vt:lpstr>
      <vt:lpstr>Metering &amp; Splitters</vt:lpstr>
      <vt:lpstr>Voltage Regulator &amp; UPS</vt:lpstr>
      <vt:lpstr>Grounding</vt:lpstr>
      <vt:lpstr>Breakers</vt:lpstr>
      <vt:lpstr>Receptacles</vt:lpstr>
      <vt:lpstr>Receptacles (FOR NM)</vt:lpstr>
      <vt:lpstr>Switches</vt:lpstr>
      <vt:lpstr>Disconnect Switches</vt:lpstr>
      <vt:lpstr>Junction Box</vt:lpstr>
      <vt:lpstr>Voice &amp; Data</vt:lpstr>
      <vt:lpstr>Transformers</vt:lpstr>
      <vt:lpstr>Generators</vt:lpstr>
      <vt:lpstr>Transfer Switches</vt:lpstr>
      <vt:lpstr>Breakers!Print_Area</vt:lpstr>
      <vt:lpstr>Grounding!Print_Area</vt:lpstr>
      <vt:lpstr>'H.Voltage Motor Control Center'!Print_Area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International Esti</dc:creator>
  <cp:lastModifiedBy>Asif Nayab Hussain/IT/SDQ</cp:lastModifiedBy>
  <dcterms:created xsi:type="dcterms:W3CDTF">2019-09-17T06:11:18Z</dcterms:created>
  <dcterms:modified xsi:type="dcterms:W3CDTF">2026-03-12T08:50:15Z</dcterms:modified>
</cp:coreProperties>
</file>